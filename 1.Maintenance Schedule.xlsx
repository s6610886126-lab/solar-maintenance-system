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Maintenance Schedule " sheetId="1" r:id="rId5"/>
    <sheet state="visible" name="MA Report Tracking" sheetId="2" r:id="rId6"/>
    <sheet state="visible" name="TON - Maintenance Schedule" sheetId="3" r:id="rId7"/>
    <sheet state="visible" name="Customer Connected PEA." sheetId="4" r:id="rId8"/>
    <sheet state="visible" name="Maintenance Agreement" sheetId="5" r:id="rId9"/>
    <sheet state="visible" name="MA Price" sheetId="6" r:id="rId10"/>
    <sheet state="visible" name="Cancel Maintenance" sheetId="7" r:id="rId11"/>
    <sheet state="visible" name="Hand Over-Commissioning" sheetId="8" r:id="rId12"/>
    <sheet state="visible" name="(Old)Maintenance Schedule" sheetId="9" r:id="rId13"/>
  </sheets>
  <definedNames>
    <definedName name="Actual">#REF!</definedName>
    <definedName name="PeriodInPlan">#REF!</definedName>
    <definedName name="PeriodInActual">#REF!</definedName>
    <definedName name="period_selected">#REF!</definedName>
    <definedName name="ActualBeyond">#REF!</definedName>
    <definedName name="PercentCompleteBeyond">#REF!</definedName>
    <definedName name="Plan">#REF!</definedName>
    <definedName name="TitleRegion..BO60">#REF!</definedName>
    <definedName hidden="1" localSheetId="0" name="_xlnm._FilterDatabase">' Maintenance Schedule '!$A$3:$AU$286</definedName>
    <definedName hidden="1" localSheetId="2" name="_xlnm._FilterDatabase">'TON - Maintenance Schedule'!$A$3:$AF$92</definedName>
    <definedName hidden="1" localSheetId="3" name="_xlnm._FilterDatabase">'Customer Connected PEA.'!$A$2:$AL$157</definedName>
    <definedName hidden="1" localSheetId="4" name="_xlnm._FilterDatabase">'Maintenance Agreement'!$B$3:$AE$116</definedName>
    <definedName hidden="1" localSheetId="7" name="_xlnm._FilterDatabase">'Hand Over-Commissioning'!$A$3:$Y$117</definedName>
    <definedName hidden="1" localSheetId="8" name="_xlnm._FilterDatabase">'(Old)Maintenance Schedule'!$B$3:$AA$116</definedName>
    <definedName hidden="1" localSheetId="1" name="Z_5DF2DC61_0997_469A_9C3E_DACAAA62DD4B_.wvu.FilterData">'MA Report Tracking'!$A$3:$AG$146</definedName>
    <definedName hidden="1" localSheetId="3" name="Z_5DF2DC61_0997_469A_9C3E_DACAAA62DD4B_.wvu.FilterData">'Customer Connected PEA.'!$A$2:$AL$147</definedName>
    <definedName hidden="1" localSheetId="0" name="Z_5DF2DC61_0997_469A_9C3E_DACAAA62DD4B_.wvu.FilterData">' Maintenance Schedule '!$A$3:$AU$147</definedName>
    <definedName hidden="1" localSheetId="1" name="Z_53F73B74_79FC_4033_B99B_EE0ADA954C95_.wvu.FilterData">'MA Report Tracking'!$A$3:$AG$132</definedName>
    <definedName hidden="1" localSheetId="3" name="Z_53F73B74_79FC_4033_B99B_EE0ADA954C95_.wvu.FilterData">'Customer Connected PEA.'!$A$2:$AL$133</definedName>
    <definedName hidden="1" localSheetId="0" name="Z_53F73B74_79FC_4033_B99B_EE0ADA954C95_.wvu.FilterData">' Maintenance Schedule '!$A$3:$AU$133</definedName>
  </definedNames>
  <calcPr/>
  <customWorkbookViews>
    <customWorkbookView activeSheetId="0" maximized="1" windowHeight="0" windowWidth="0" guid="{5DF2DC61-0997-469A-9C3E-DACAAA62DD4B}" name="Filter 1"/>
    <customWorkbookView activeSheetId="0" maximized="1" windowHeight="0" windowWidth="0" guid="{53F73B74-79FC-4033-B99B-EE0ADA954C95}" name="Filter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tc={92d01cdc-6c33-4e32-9ec0-0a53ee6ff6b1}</author>
  </authors>
  <commentList>
    <comment authorId="0" xr:uid="{92d01cdc-6c33-4e32-9ec0-0a53ee6ff6b1}" ref="R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Inc. on upgrade system to 40kw
</t>
      </text>
    </comment>
  </commentList>
</comments>
</file>

<file path=xl/sharedStrings.xml><?xml version="1.0" encoding="utf-8"?>
<sst xmlns="http://schemas.openxmlformats.org/spreadsheetml/2006/main" count="4903" uniqueCount="1286">
  <si>
    <t xml:space="preserve"> </t>
  </si>
  <si>
    <t>6 Month / 1 time</t>
  </si>
  <si>
    <t>Maintenance Schedule</t>
  </si>
  <si>
    <t>No</t>
  </si>
  <si>
    <t>Solar Plant</t>
  </si>
  <si>
    <t>Location / Area</t>
  </si>
  <si>
    <t>Item</t>
  </si>
  <si>
    <t>Property / Village</t>
  </si>
  <si>
    <t>Map</t>
  </si>
  <si>
    <t>Status</t>
  </si>
  <si>
    <t>Name</t>
  </si>
  <si>
    <t>Tel.</t>
  </si>
  <si>
    <t>Email</t>
  </si>
  <si>
    <t>Other Contact</t>
  </si>
  <si>
    <t>Latest Renew Contract</t>
  </si>
  <si>
    <t>O&amp;M Contract</t>
  </si>
  <si>
    <t>Ma</t>
  </si>
  <si>
    <t>Latest Maintenance</t>
  </si>
  <si>
    <t>1st</t>
  </si>
  <si>
    <t>Period</t>
  </si>
  <si>
    <t>Team</t>
  </si>
  <si>
    <t>MA Date</t>
  </si>
  <si>
    <t>MA Period</t>
  </si>
  <si>
    <t>MA Report</t>
  </si>
  <si>
    <t>2nd</t>
  </si>
  <si>
    <t>Send to Customer Date</t>
  </si>
  <si>
    <t>3rd</t>
  </si>
  <si>
    <t>4th</t>
  </si>
  <si>
    <t>Connected</t>
  </si>
  <si>
    <t>Capacity (kW)</t>
  </si>
  <si>
    <t>5th</t>
  </si>
  <si>
    <t>QT &amp; Contract</t>
  </si>
  <si>
    <t>6th</t>
  </si>
  <si>
    <t>7th</t>
  </si>
  <si>
    <t>Date Issue New Contract</t>
  </si>
  <si>
    <t>8th</t>
  </si>
  <si>
    <t>Contract Accept</t>
  </si>
  <si>
    <t>PAID Date</t>
  </si>
  <si>
    <t>9th</t>
  </si>
  <si>
    <t>Note</t>
  </si>
  <si>
    <t>10th</t>
  </si>
  <si>
    <t>11th</t>
  </si>
  <si>
    <t>12th</t>
  </si>
  <si>
    <t>Turn On Date</t>
  </si>
  <si>
    <t>MA Contract Expired</t>
  </si>
  <si>
    <t>A.K.A Co.,Ltd. (Joob Joob Bekery)</t>
  </si>
  <si>
    <t xml:space="preserve"> AC Consulting Group Co.,Ltd</t>
  </si>
  <si>
    <t>Muang Phuket</t>
  </si>
  <si>
    <t>Kathu</t>
  </si>
  <si>
    <t>https://www.google.com/maps/search/?api=1&amp;query=7.876480883715979,98.39688163250685</t>
  </si>
  <si>
    <t>5 of 6</t>
  </si>
  <si>
    <t>Paid</t>
  </si>
  <si>
    <t>Anthony</t>
  </si>
  <si>
    <t>0806091128 (WhatsApp)</t>
  </si>
  <si>
    <t>gm@chefsmarketphuket.com</t>
  </si>
  <si>
    <t>Send</t>
  </si>
  <si>
    <t>080-6091128 (WhatsApp)</t>
  </si>
  <si>
    <t>Manote</t>
  </si>
  <si>
    <t xml:space="preserve">Renew contract </t>
  </si>
  <si>
    <t>AC Consulting Group Co.,Ltd</t>
  </si>
  <si>
    <t>3 of 4</t>
  </si>
  <si>
    <t>AE Phuket Co.,Ltd.</t>
  </si>
  <si>
    <t>thierry@body-piercing.com</t>
  </si>
  <si>
    <t xml:space="preserve"> David Residence</t>
  </si>
  <si>
    <t>Albatross  - Pizza On Fire</t>
  </si>
  <si>
    <t>Naiyang</t>
  </si>
  <si>
    <t>https://www.google.com/maps/place/David+Residence/@8.106804,98.3061893,17z/data=!3m1!4b1!4m9!3m8!1s0x305046277c48892f:0xdd48d41dfd2bd383!5m2!4m1!1i2!8m2!3d8.1067987!4d98.3087642!16s%2Fg%2F1pzt_bnf7?authuser=0&amp;entry=ttu</t>
  </si>
  <si>
    <t>K.Tum
คุณจัน</t>
  </si>
  <si>
    <t>081-893-1647
081-270-5736</t>
  </si>
  <si>
    <t>2nd Fri,  May / Nov</t>
  </si>
  <si>
    <t>Albatross Cafe Laguna</t>
  </si>
  <si>
    <t>Alinda Villa 1</t>
  </si>
  <si>
    <t xml:space="preserve">
tum@acconsultphuket.com</t>
  </si>
  <si>
    <t>K.Ning 081-8959477</t>
  </si>
  <si>
    <t>K.J</t>
  </si>
  <si>
    <t>086 941 5363</t>
  </si>
  <si>
    <t>Albatross  Pizza On Fire</t>
  </si>
  <si>
    <t>Laguna</t>
  </si>
  <si>
    <t>K.Busaba</t>
  </si>
  <si>
    <t>093-5751650</t>
  </si>
  <si>
    <t>K.Oil 0819561651</t>
  </si>
  <si>
    <t>Alois Tschopp</t>
  </si>
  <si>
    <t>2 of 4</t>
  </si>
  <si>
    <t>4th Fri, Mar / Sep</t>
  </si>
  <si>
    <t>Paid / Active</t>
  </si>
  <si>
    <t>nai@aephuket.com</t>
  </si>
  <si>
    <t>K.Oil 0819561650</t>
  </si>
  <si>
    <t>j_patkaew@hotmail.com</t>
  </si>
  <si>
    <t>stugreen@outlook.com</t>
  </si>
  <si>
    <t>Alamanda - Carpot</t>
  </si>
  <si>
    <t>Alamanda</t>
  </si>
  <si>
    <t>Anchan Tropicana Villa 13 (Ron Stern)</t>
  </si>
  <si>
    <t>Gym Club Phuket</t>
  </si>
  <si>
    <t>Cherng Talay - Laguna</t>
  </si>
  <si>
    <t>https://www.google.com/maps/search/?api=1&amp;query=7.998160432616847,98.30560002475977</t>
  </si>
  <si>
    <t>Thep Krasatti</t>
  </si>
  <si>
    <t>Alinda Villas</t>
  </si>
  <si>
    <t>Anchan Tropicana Villa 4  (Holger)</t>
  </si>
  <si>
    <t>K.Sam (SES)</t>
  </si>
  <si>
    <t>michael@brandthallen.com</t>
  </si>
  <si>
    <t>Anchan Tropicana Villa 6 (Robert)</t>
  </si>
  <si>
    <t>Saiyaun</t>
  </si>
  <si>
    <t>K.Alois</t>
  </si>
  <si>
    <t>083-525-5558</t>
  </si>
  <si>
    <t>1st Tue, Jun / Dec</t>
  </si>
  <si>
    <t>Expired</t>
  </si>
  <si>
    <t>steve@harlech-tools.co.uk</t>
  </si>
  <si>
    <t>fruits@netvigator.com</t>
  </si>
  <si>
    <t>Jean Paul</t>
  </si>
  <si>
    <t>Yamu - Cape Yamu</t>
  </si>
  <si>
    <t>https://www.google.com/maps/place/7%C2%B059'12.0%22N+98%C2%B025'16.2%22E/@7.9866596,98.4211516,17z/data=!3m1!4b1!4m4!3m3!8m2!3d7.9866596!4d98.4211516?entry=ttu</t>
  </si>
  <si>
    <t>Cherng Talay</t>
  </si>
  <si>
    <t>Anchan Tropicana</t>
  </si>
  <si>
    <t>Anchan Tropicana Villa 7 (Alexander)</t>
  </si>
  <si>
    <t xml:space="preserve">Ron </t>
  </si>
  <si>
    <t>mminneci@gmail.com</t>
  </si>
  <si>
    <t>Andamantra Building Phase 1 : Building 8,9</t>
  </si>
  <si>
    <t>K.Jean</t>
  </si>
  <si>
    <t>jp3cuvelier@gmail.com</t>
  </si>
  <si>
    <t>Alinda Vilas V.4</t>
  </si>
  <si>
    <t>calibear1@yahoo.com / pitta.Thinnakorn@gmail.com</t>
  </si>
  <si>
    <t xml:space="preserve"> Khun Frank</t>
  </si>
  <si>
    <t>Cherng Talay - Botanica Foresta</t>
  </si>
  <si>
    <t>https://www.google.com/maps/search/?api=1&amp;query=8.0307,98.3117</t>
  </si>
  <si>
    <t>stern.rb@gmail.com</t>
  </si>
  <si>
    <t>1st Fri, Feb / Aug</t>
  </si>
  <si>
    <t>Andamantra Building Phase 2 : Building 6,7</t>
  </si>
  <si>
    <t>niti_baantalay@yahoo.com</t>
  </si>
  <si>
    <t xml:space="preserve"> Lavan Pornsirianant</t>
  </si>
  <si>
    <t>Nui</t>
  </si>
  <si>
    <t>Andamaya Penthouse A1</t>
  </si>
  <si>
    <t>Koh Kaew</t>
  </si>
  <si>
    <t xml:space="preserve">Holger Panzer </t>
  </si>
  <si>
    <t>adam@siamity.com</t>
  </si>
  <si>
    <t>+852 67715929</t>
  </si>
  <si>
    <t>holger.panzer@gmail.com</t>
  </si>
  <si>
    <t xml:space="preserve"> SC Food Supply (Cherngtalay)        </t>
  </si>
  <si>
    <t>Cherng Talay - Pasak</t>
  </si>
  <si>
    <t>https://www.google.com/maps/place/8%C2%B000'42.1%22N+98%C2%B018'58.0%22E/@8.0115589,98.3160165,168m/data=!3m1!1e3!4m4!3m3!8m2!3d8.0116828!4d98.3161056?entry=ttu</t>
  </si>
  <si>
    <t>porntip2655@gmail.com / yutthana7444@gmail.com / thitiwut.tex31@gmail.com</t>
  </si>
  <si>
    <t>ธนภัทร</t>
  </si>
  <si>
    <t>093-615-5945</t>
  </si>
  <si>
    <t>tanapatsiripala@gmail.com'</t>
  </si>
  <si>
    <t>081-388-9832</t>
  </si>
  <si>
    <t xml:space="preserve">K.Robert </t>
  </si>
  <si>
    <t>robert wigman &lt;robertwigman@gmail.com&gt;</t>
  </si>
  <si>
    <t>last Fri, Apr / Oct</t>
  </si>
  <si>
    <t>Andamaya Penthouse B1</t>
  </si>
  <si>
    <t>emu.rawai@gmail.com</t>
  </si>
  <si>
    <t xml:space="preserve">Seven's House        </t>
  </si>
  <si>
    <t>https://www.google.com/maps/search/?api=1&amp;query=7.9912119689425145,98.2990949973464</t>
  </si>
  <si>
    <t>Alexander Sotyakov</t>
  </si>
  <si>
    <t>a.sitiakov@gmail.com</t>
  </si>
  <si>
    <t>Andamaya Penthouse C1</t>
  </si>
  <si>
    <t>Andamaya Fitness</t>
  </si>
  <si>
    <t>Surin Beach</t>
  </si>
  <si>
    <t>Andamaya</t>
  </si>
  <si>
    <t>K.Michel</t>
  </si>
  <si>
    <t>michel@phuketasialand.com</t>
  </si>
  <si>
    <t xml:space="preserve">Re new 3 time </t>
  </si>
  <si>
    <t>K.Jerome 0980155946</t>
  </si>
  <si>
    <t xml:space="preserve">Aquamaster Phuket        </t>
  </si>
  <si>
    <t>3rd Tue, Mar / Sep</t>
  </si>
  <si>
    <t>0 /</t>
  </si>
  <si>
    <t>lafferty_ryan@hotmail.com / chonlada@thebridalplanner.com</t>
  </si>
  <si>
    <t>konradrunowski@icloud.com</t>
  </si>
  <si>
    <t>Som Apartment</t>
  </si>
  <si>
    <t>Arann Massage &amp; Spa</t>
  </si>
  <si>
    <t>K.Tum</t>
  </si>
  <si>
    <t>081-979-8570</t>
  </si>
  <si>
    <t>Alinda Villa 2</t>
  </si>
  <si>
    <t>K.Jerome 0980155945</t>
  </si>
  <si>
    <t>sirakant69@gmail.com</t>
  </si>
  <si>
    <t xml:space="preserve"> Wallaya Angle </t>
  </si>
  <si>
    <t>Armin's House</t>
  </si>
  <si>
    <t xml:space="preserve">4 of 4 </t>
  </si>
  <si>
    <t>07-05-25 (ส่งใหมแล้ว รอตอบกลับ)</t>
  </si>
  <si>
    <t>AV - Blue Canyon Country</t>
  </si>
  <si>
    <t>avtmann@gmail.com</t>
  </si>
  <si>
    <t>Wine Pro Pattaya</t>
  </si>
  <si>
    <t>4 of 6</t>
  </si>
  <si>
    <t>K'Nino</t>
  </si>
  <si>
    <t>K.Theo</t>
  </si>
  <si>
    <t>tk1@posteo.de</t>
  </si>
  <si>
    <t>Alinda Villa 3</t>
  </si>
  <si>
    <t>K.Jerome 0980155947</t>
  </si>
  <si>
    <t>8ddastudio@gmail.com</t>
  </si>
  <si>
    <t>Botanica Foresta (B01)</t>
  </si>
  <si>
    <t>Avana Luxury Villa 1</t>
  </si>
  <si>
    <t>K'Jack</t>
  </si>
  <si>
    <t>K'At 081-893-2113</t>
  </si>
  <si>
    <t>Chalong</t>
  </si>
  <si>
    <t>Gunther Lutz</t>
  </si>
  <si>
    <t>Bogie</t>
  </si>
  <si>
    <t>080-554-2963</t>
  </si>
  <si>
    <t>Jeff 0818935492</t>
  </si>
  <si>
    <t>pascal@giraudplomberie.fr</t>
  </si>
  <si>
    <t>Baan Por</t>
  </si>
  <si>
    <t>4 of 4</t>
  </si>
  <si>
    <t>Phuket</t>
  </si>
  <si>
    <t>Baan thai surin D4</t>
  </si>
  <si>
    <t>6 of 6</t>
  </si>
  <si>
    <t>(รอราคา)</t>
  </si>
  <si>
    <t>Jon Rice</t>
  </si>
  <si>
    <t>dppfiffner@gmail.com</t>
  </si>
  <si>
    <t>Brett Pennigton</t>
  </si>
  <si>
    <t>K.Armin</t>
  </si>
  <si>
    <t>arminmie@gmail.com</t>
  </si>
  <si>
    <t>brettgpennington@yahoo.com.au</t>
  </si>
  <si>
    <t>Baan Yamu - Club House</t>
  </si>
  <si>
    <t xml:space="preserve">Bangkok Motorcycle        </t>
  </si>
  <si>
    <t>stefano_raciti@yahoo.com</t>
  </si>
  <si>
    <t>Alinda Villas V.8</t>
  </si>
  <si>
    <t>Phruchampa</t>
  </si>
  <si>
    <t>Cherng 'Lay Condo and Villa 6</t>
  </si>
  <si>
    <t>Michael</t>
  </si>
  <si>
    <t>097-925-8221</t>
  </si>
  <si>
    <t>Thalang</t>
  </si>
  <si>
    <t>Blue canyon</t>
  </si>
  <si>
    <t>-</t>
  </si>
  <si>
    <t>K'AV</t>
  </si>
  <si>
    <t xml:space="preserve">AV 0866745262, </t>
  </si>
  <si>
    <t>Bangtao Prime Lodge Co., Ltd.</t>
  </si>
  <si>
    <t>Ying (maid) : 0928030974</t>
  </si>
  <si>
    <t>5 kw. 12000 THB. add Panels</t>
  </si>
  <si>
    <t>bettinalorenz@email.de</t>
  </si>
  <si>
    <t xml:space="preserve">Island Technology </t>
  </si>
  <si>
    <t>4th Fri, May / Nov</t>
  </si>
  <si>
    <t>Barry - Anchan Villas Phase3</t>
  </si>
  <si>
    <t>5 of 8</t>
  </si>
  <si>
    <t>Alinda Villas V.9</t>
  </si>
  <si>
    <t>Bernard laforge</t>
  </si>
  <si>
    <t xml:space="preserve">1.Jurgen's House        </t>
  </si>
  <si>
    <t>2 of 2</t>
  </si>
  <si>
    <t>balsen@t-online.d 
(acceoted by Jürgen)</t>
  </si>
  <si>
    <t>10-01-25 (ติดต่อใหม่)</t>
  </si>
  <si>
    <t>BangJo</t>
  </si>
  <si>
    <t>Avana Luxury</t>
  </si>
  <si>
    <t xml:space="preserve">4th Tue, Jun / Dec </t>
  </si>
  <si>
    <t>Bill Barnet - Laguna Home</t>
  </si>
  <si>
    <t>1 of 4</t>
  </si>
  <si>
    <t xml:space="preserve">nathanmaltz1@gmail.com </t>
  </si>
  <si>
    <t>1.Khun AV Blue Canyon Country</t>
  </si>
  <si>
    <t>Active</t>
  </si>
  <si>
    <t>tschopp.alois@outlook.com</t>
  </si>
  <si>
    <t>Muang Phuket - Talat Nuea</t>
  </si>
  <si>
    <t>https://www.google.com/maps/search/?api=1&amp;query=7.877893026058343,98.37888434529305</t>
  </si>
  <si>
    <t>Bill Barnet - The Crown Estate</t>
  </si>
  <si>
    <t>Anchan Flora V.34</t>
  </si>
  <si>
    <t>Pru Champa</t>
  </si>
  <si>
    <t>Anchan Flora</t>
  </si>
  <si>
    <t>juanasirinat@gmail.com</t>
  </si>
  <si>
    <t xml:space="preserve">1.Khun Bettina and Barry </t>
  </si>
  <si>
    <t>Tina</t>
  </si>
  <si>
    <t>Botanica  Phase 4 - Dimitrii</t>
  </si>
  <si>
    <t>087-888-0040</t>
  </si>
  <si>
    <t>porchepor@hotmail.com 
(acepted by Parichat)</t>
  </si>
  <si>
    <t>084-992 3955</t>
  </si>
  <si>
    <t>3rd Tue, Apr / Oct</t>
  </si>
  <si>
    <t>Anchan Mountain Breeze Plot 7</t>
  </si>
  <si>
    <t xml:space="preserve">Botanica Foresta - Motoyuki </t>
  </si>
  <si>
    <t>christt@t-online.de</t>
  </si>
  <si>
    <t>1.Khun Christian Hans</t>
  </si>
  <si>
    <t>Layan Lucky Villa</t>
  </si>
  <si>
    <t>061-887-1040</t>
  </si>
  <si>
    <t>Cherng Talay - Surin</t>
  </si>
  <si>
    <t>Baan Thai Surin</t>
  </si>
  <si>
    <t>K'Bill butler</t>
  </si>
  <si>
    <t>Specila Offer by K.Sam (Free MA contract 2 yrs from 6 Nov 2025-2026</t>
  </si>
  <si>
    <t>calibear1@yahoo.com</t>
  </si>
  <si>
    <t>K.Dao (Management) 0831058448</t>
  </si>
  <si>
    <t>2nd Tue, Jul / Jan</t>
  </si>
  <si>
    <t>Botanica Foresta A03 - Brett</t>
  </si>
  <si>
    <t>1.Khun Nui</t>
  </si>
  <si>
    <t>091-999-9999</t>
  </si>
  <si>
    <t>Botanica Foresta B01 - Heidi</t>
  </si>
  <si>
    <t>Yamu</t>
  </si>
  <si>
    <t>Baan Yamu</t>
  </si>
  <si>
    <t>08-05-25 (ติดต่อใหม่แล้ว รอตอบกลับ)</t>
  </si>
  <si>
    <t>K.Kwan (CBRE)</t>
  </si>
  <si>
    <t>patomporn.witidhirankun@cbre.com</t>
  </si>
  <si>
    <t>phillip.masterman@gmail.com</t>
  </si>
  <si>
    <t>2nd Tue, Mar / Sep</t>
  </si>
  <si>
    <t>1.Khun Pascal</t>
  </si>
  <si>
    <t xml:space="preserve">Botanica Foresta B02 - Khun Frank </t>
  </si>
  <si>
    <t>(รอราคา และรูปภาพ)</t>
  </si>
  <si>
    <t>Soi Phuthorn, T.Talad Nuea, A.Maung,</t>
  </si>
  <si>
    <t>คุณออน</t>
  </si>
  <si>
    <t>086-4793669</t>
  </si>
  <si>
    <t>2nd Tue, May / Nov</t>
  </si>
  <si>
    <t>tanapatsiripala@gmail.com</t>
  </si>
  <si>
    <t>1.Massimo's House</t>
  </si>
  <si>
    <t>Shift MA 3 of 4 to same day when we change the inverter</t>
  </si>
  <si>
    <t>The Niche Villa</t>
  </si>
  <si>
    <t>Botanica Foresta D-21 - K.Coco</t>
  </si>
  <si>
    <t>Pasak Soi 8</t>
  </si>
  <si>
    <t>Vinzita</t>
  </si>
  <si>
    <t>K.Nok</t>
  </si>
  <si>
    <t>Anchan Tropicana Villa 7 (Mikhail Basmurov)</t>
  </si>
  <si>
    <t>kjbinternational@gmail.com</t>
  </si>
  <si>
    <t>Mikhail Basmurov</t>
  </si>
  <si>
    <t>+7 902 516-88-87</t>
  </si>
  <si>
    <t>aiyarak@icloud.com</t>
  </si>
  <si>
    <t>Botanica Foresta D.28 : Mireille</t>
  </si>
  <si>
    <t>Tukta 063-684-4765</t>
  </si>
  <si>
    <t>Botanica Lakeside B1 - Andreas</t>
  </si>
  <si>
    <t>1.Mung Mun Co.,Ltd</t>
  </si>
  <si>
    <t>Khok Tanod</t>
  </si>
  <si>
    <t>Anchan Villa Luxury</t>
  </si>
  <si>
    <t xml:space="preserve">K.Barry </t>
  </si>
  <si>
    <t>Botanica Lakeside C1 - Ernest</t>
  </si>
  <si>
    <t>0930145803 (WhatsApp)</t>
  </si>
  <si>
    <t>last Fri, Feb / Aug</t>
  </si>
  <si>
    <t>Botanica Lakeside C3- Thomas</t>
  </si>
  <si>
    <t>Anchan Villa Phase 3 - Frank Harrigan</t>
  </si>
  <si>
    <t>Anchan Villa 3</t>
  </si>
  <si>
    <t>Botanica Lakeside C4 - Maxim</t>
  </si>
  <si>
    <t>anthonywilliamreynolds@yahoo.co.uk / annie.joobjoob@gmail.com</t>
  </si>
  <si>
    <t xml:space="preserve">1.Naam &amp; Ryan Villa        </t>
  </si>
  <si>
    <t>bernardlaforge1958@gmail.com</t>
  </si>
  <si>
    <t>080-072-2422</t>
  </si>
  <si>
    <t>Botanica Modern Loft M01 (Colette)</t>
  </si>
  <si>
    <t>Laguna Home</t>
  </si>
  <si>
    <t>K.Bill Barnet</t>
  </si>
  <si>
    <t>Botanica Modern Loft M03</t>
  </si>
  <si>
    <t>herelodie@gmail.com</t>
  </si>
  <si>
    <t>1.Runowska (Grand View Plot 17)</t>
  </si>
  <si>
    <t>The Crown Estate</t>
  </si>
  <si>
    <t>Botanica Modern Loft M12 (Dmitrii)</t>
  </si>
  <si>
    <t>Runowska</t>
  </si>
  <si>
    <t>Botanica Modern Loft M13 (Yuri)</t>
  </si>
  <si>
    <t>Botanica Modern Loft M29 (Dmitrii)</t>
  </si>
  <si>
    <t>T.Thep Krasatti,</t>
  </si>
  <si>
    <t>Botanica Foresta</t>
  </si>
  <si>
    <t>Kalim</t>
  </si>
  <si>
    <t>Owner Risa</t>
  </si>
  <si>
    <t xml:space="preserve">089-926-1161
</t>
  </si>
  <si>
    <t>rlovesb1213@gmail.com</t>
  </si>
  <si>
    <t>Botanica Modern Loft M30 (Dmitrii)</t>
  </si>
  <si>
    <t>4th Fri, Apr / Oct</t>
  </si>
  <si>
    <t>K.Nok (Ch. Engineer)</t>
  </si>
  <si>
    <t>098-5628956</t>
  </si>
  <si>
    <t>Botanica Phase 4 ( Anna )</t>
  </si>
  <si>
    <t>kreeta.peng@gmail.com</t>
  </si>
  <si>
    <t>clerken@andamantra.com</t>
  </si>
  <si>
    <t>Botanica Foresta (B01 - Show Unit)</t>
  </si>
  <si>
    <t>Cherng Talay-Layan</t>
  </si>
  <si>
    <t>ekkawat@chainaris.co.th</t>
  </si>
  <si>
    <t>1st Thu, Jan / Jul</t>
  </si>
  <si>
    <t>1.Summer Hotel</t>
  </si>
  <si>
    <t xml:space="preserve">Boutique Resort </t>
  </si>
  <si>
    <t>K.A</t>
  </si>
  <si>
    <t>076-211-353</t>
  </si>
  <si>
    <t>(รอราคา และกำลังจัดทำรายงาน)</t>
  </si>
  <si>
    <t>Botanica Foresta A03</t>
  </si>
  <si>
    <t>1.Villa Magnolia</t>
  </si>
  <si>
    <t>Brent Cowey</t>
  </si>
  <si>
    <t>iambrettharris@gmail.com</t>
  </si>
  <si>
    <t>8 of 8</t>
  </si>
  <si>
    <t>K.Wiggy 0848437963</t>
  </si>
  <si>
    <t>3rd Fri, May / Nov</t>
  </si>
  <si>
    <t>stevenson.craig1@yahoo.com</t>
  </si>
  <si>
    <t>Every 3 Months (4 times / year)</t>
  </si>
  <si>
    <t>brent@cowey.org.uk / andrea@cowey.org.uk</t>
  </si>
  <si>
    <t>Casabay A1</t>
  </si>
  <si>
    <t>A.K.A Co.,Ltd.</t>
  </si>
  <si>
    <t>Casabay A2</t>
  </si>
  <si>
    <t>K.Frank</t>
  </si>
  <si>
    <t>091-6530900
098-4270388</t>
  </si>
  <si>
    <t>mail@frank.asia</t>
  </si>
  <si>
    <t>CAT 's Villa</t>
  </si>
  <si>
    <t xml:space="preserve"> 1 of 4</t>
  </si>
  <si>
    <t>panitta.m@ku.th / muggy73@gmail.com / sivagronj@gmail.com</t>
  </si>
  <si>
    <t>Surin Beaach</t>
  </si>
  <si>
    <t>Anchan Tropicana Villa 6</t>
  </si>
  <si>
    <t>Chainaris Phuket ( Ek's House )</t>
  </si>
  <si>
    <t>Coco</t>
  </si>
  <si>
    <t>083-826-8854</t>
  </si>
  <si>
    <t>K.Anders</t>
  </si>
  <si>
    <t>+852 66204554</t>
  </si>
  <si>
    <t>Coco.dean@hotmail.com</t>
  </si>
  <si>
    <t>Chaiyapong Plastic (20 &amp; 40kW)</t>
  </si>
  <si>
    <t xml:space="preserve">Aquamaster Phuket	</t>
  </si>
  <si>
    <t>Cherng 'Lay Condo and Villa 4</t>
  </si>
  <si>
    <t>Botanica Foresta D.28 : Pikul Marthinsen</t>
  </si>
  <si>
    <t>jan.hansen@gmail.com</t>
  </si>
  <si>
    <t>Cherng 'Lay Condo and Villa 5</t>
  </si>
  <si>
    <t>3 of 3</t>
  </si>
  <si>
    <t>K.Pikul Marthinsen</t>
  </si>
  <si>
    <t>mireille.marthinsen@gmail.com</t>
  </si>
  <si>
    <t>10 kw. 15000 THB. add panels</t>
  </si>
  <si>
    <t>Botanica Lakeside</t>
  </si>
  <si>
    <r>
      <rPr>
        <rFont val="Trebuchet MS"/>
        <color rgb="FF1155CC"/>
        <sz val="12.0"/>
        <u/>
      </rPr>
      <t>K.At</t>
    </r>
    <r>
      <rPr>
        <rFont val="Trebuchet MS"/>
        <color theme="1"/>
        <sz val="12.0"/>
      </rPr>
      <t xml:space="preserve"> 0999650941</t>
    </r>
  </si>
  <si>
    <t>5 kw. 12000 THB. add Panels/year</t>
  </si>
  <si>
    <t>Cherng 'Lay Condo and Villa 7 - Grigory</t>
  </si>
  <si>
    <t>K'Bill</t>
  </si>
  <si>
    <t>William Butler' &lt;calibear1@yahoo.com&gt;</t>
  </si>
  <si>
    <t>1st Tue, Jan / Jul</t>
  </si>
  <si>
    <t>christophersdavies@gmail.com</t>
  </si>
  <si>
    <t>Chris Davies</t>
  </si>
  <si>
    <t>pitchanun.nim@gmail.com</t>
  </si>
  <si>
    <t>Christian Hans</t>
  </si>
  <si>
    <t>Ernest</t>
  </si>
  <si>
    <t>Craig Morgan</t>
  </si>
  <si>
    <t>Craig Stevenson Natai house</t>
  </si>
  <si>
    <t>otanica Lakeside</t>
  </si>
  <si>
    <t>6 of 12</t>
  </si>
  <si>
    <t>Thomas</t>
  </si>
  <si>
    <t>083-269-3487</t>
  </si>
  <si>
    <r>
      <rPr>
        <rFont val="Calibri"/>
        <color rgb="FF0000FF"/>
        <sz val="12.0"/>
      </rPr>
      <t xml:space="preserve">Aquamaster Phuket      </t>
    </r>
    <r>
      <rPr>
        <rFont val="Calibri"/>
        <color rgb="FFFF0000"/>
        <sz val="12.0"/>
      </rPr>
      <t xml:space="preserve">  </t>
    </r>
  </si>
  <si>
    <t>jtissier@aquamaster.net</t>
  </si>
  <si>
    <t>Crazy FUR Co.,Ltd</t>
  </si>
  <si>
    <t>K.Tukta 063-684-4765</t>
  </si>
  <si>
    <t>Dainius' House</t>
  </si>
  <si>
    <t>คุณเส็ง 091-534-9933</t>
  </si>
  <si>
    <t>4th Tue, Apr / Oct</t>
  </si>
  <si>
    <t>David Dobson</t>
  </si>
  <si>
    <t>David Parker</t>
  </si>
  <si>
    <t>1 of 2</t>
  </si>
  <si>
    <t>Anna</t>
  </si>
  <si>
    <t>Naithorn</t>
  </si>
  <si>
    <t>arminmie@gmail.com ,miecautsch@gmx.de</t>
  </si>
  <si>
    <t>Maxim Bondarev</t>
  </si>
  <si>
    <t>ไม่ทำ MA</t>
  </si>
  <si>
    <t>David Residence</t>
  </si>
  <si>
    <t>+7 921 9576280</t>
  </si>
  <si>
    <t>Boutique Resort</t>
  </si>
  <si>
    <t>098-010-0928</t>
  </si>
  <si>
    <t>DCS Associates Co.,Ltd</t>
  </si>
  <si>
    <t>Assava Villa Yamu</t>
  </si>
  <si>
    <t>Botanica Modern Loft</t>
  </si>
  <si>
    <t>K.Joy (Maid) 0969422461</t>
  </si>
  <si>
    <t>K.Colette</t>
  </si>
  <si>
    <t>colettefox01@icloud.com</t>
  </si>
  <si>
    <t xml:space="preserve">Desmond Foo   </t>
  </si>
  <si>
    <t>4th Tue, Mar / Sep</t>
  </si>
  <si>
    <t>K.Brent</t>
  </si>
  <si>
    <t xml:space="preserve"> 083-639-9848</t>
  </si>
  <si>
    <t>Digital Turnkey Systems Co.,Ltd.</t>
  </si>
  <si>
    <t>Chainaris Phuket ( House )</t>
  </si>
  <si>
    <t>Botanica Modern Loft M03 (Dmitrii)</t>
  </si>
  <si>
    <t>Ek</t>
  </si>
  <si>
    <t>081-895-5926</t>
  </si>
  <si>
    <t>Erich Muller</t>
  </si>
  <si>
    <t>Dimitrii</t>
  </si>
  <si>
    <t>Nathan</t>
  </si>
  <si>
    <t>Evelina Wang</t>
  </si>
  <si>
    <t>5 kw. 12000 THB. add panels</t>
  </si>
  <si>
    <t>Extra Hotel</t>
  </si>
  <si>
    <t>Cherng 'Lay Condo and Villa 7</t>
  </si>
  <si>
    <t xml:space="preserve">Mr.Grigory </t>
  </si>
  <si>
    <t>Botanica Modern Loft M13</t>
  </si>
  <si>
    <t>Last Tue, Oct / Apr</t>
  </si>
  <si>
    <t>Florian Preuss</t>
  </si>
  <si>
    <t>Fong 's House</t>
  </si>
  <si>
    <t>Botanica Modern Loft M30</t>
  </si>
  <si>
    <t xml:space="preserve">Chris Davies (Rawai)	</t>
  </si>
  <si>
    <t>Korsunova Daria</t>
  </si>
  <si>
    <t>Garden Atlas 1 - Villa 1</t>
  </si>
  <si>
    <t>Botanica 4</t>
  </si>
  <si>
    <t>Anna Vetolskaia
Vadim Vetolsky</t>
  </si>
  <si>
    <t>sebu-2008@mail.ru
ph.consulvl@gmail.com</t>
  </si>
  <si>
    <t>Garden Atlas 2 - Villa 1 (Michael Sack)</t>
  </si>
  <si>
    <t>0 of 4</t>
  </si>
  <si>
    <t>porchepor@hotmail.com 
(acepted by Parichat)</t>
  </si>
  <si>
    <t>Paklok</t>
  </si>
  <si>
    <t>Garden Atlas 2 - Villa 3</t>
  </si>
  <si>
    <t>k.nim</t>
  </si>
  <si>
    <t>Near Boat parza</t>
  </si>
  <si>
    <t>8ddastudio@gmail.com
(acepted by chanyaphorn)</t>
  </si>
  <si>
    <t>Garden Atlas 2 - Villa 5</t>
  </si>
  <si>
    <t>Baan Suan P.K</t>
  </si>
  <si>
    <t>Muang</t>
  </si>
  <si>
    <t>Garden Atlas 2 - Villa 6</t>
  </si>
  <si>
    <t>Dainius'House</t>
  </si>
  <si>
    <t>Gay's Pasak Villa A</t>
  </si>
  <si>
    <t>5 of 12</t>
  </si>
  <si>
    <t>084-192-5149</t>
  </si>
  <si>
    <t>Gay's Villa - ChokeDee House</t>
  </si>
  <si>
    <t>Joob</t>
  </si>
  <si>
    <t>Bann Yamu</t>
  </si>
  <si>
    <t xml:space="preserve">Gay's Villa B        </t>
  </si>
  <si>
    <t>1 of 12</t>
  </si>
  <si>
    <t>Good Sheperd School</t>
  </si>
  <si>
    <t>brent@cowey.org.uk</t>
  </si>
  <si>
    <t xml:space="preserve">Erich Muller        </t>
  </si>
  <si>
    <t>Baan Yamu -Club houe</t>
  </si>
  <si>
    <t>Erich</t>
  </si>
  <si>
    <t>081-081-2427</t>
  </si>
  <si>
    <t>Every 3 months</t>
  </si>
  <si>
    <t>Headland Cape Yamu</t>
  </si>
  <si>
    <t>P'Gay</t>
  </si>
  <si>
    <t>Helcio</t>
  </si>
  <si>
    <t>Baan Yamu Villa 12 - Jeff (Brent Cowey)</t>
  </si>
  <si>
    <t>K.Jeff</t>
  </si>
  <si>
    <t xml:space="preserve">Gay's Villa B	</t>
  </si>
  <si>
    <t>092-632-3496</t>
  </si>
  <si>
    <t>Jbm1jeff@aol.com</t>
  </si>
  <si>
    <t>Rawai</t>
  </si>
  <si>
    <t>Casabay</t>
  </si>
  <si>
    <t>Himmapana Villa 3B (K.Nigel)</t>
  </si>
  <si>
    <t>Holger Panzer (AnchanTropicana</t>
  </si>
  <si>
    <t>Hydn Stedman</t>
  </si>
  <si>
    <t>Owner had change start 14-10-25</t>
  </si>
  <si>
    <t xml:space="preserve">House at Rawai      </t>
  </si>
  <si>
    <t>Turn on 7-6-24</t>
  </si>
  <si>
    <t xml:space="preserve">IDC International Dental Clinic </t>
  </si>
  <si>
    <t>ส่ง QT ทางไลน์ส่วนตัว</t>
  </si>
  <si>
    <t>Niti,fair</t>
  </si>
  <si>
    <t>081-8200429</t>
  </si>
  <si>
    <t>Krabi</t>
  </si>
  <si>
    <t>K.Dam</t>
  </si>
  <si>
    <t>1st Tue, Oct / Apr</t>
  </si>
  <si>
    <t>Jan's House</t>
  </si>
  <si>
    <t>K'Jan</t>
  </si>
  <si>
    <t>093-4140438/่jan.hansen@gmail.com</t>
  </si>
  <si>
    <t>Cherng 'Lay Condo and Villa</t>
  </si>
  <si>
    <t>baz@wdrace.com</t>
  </si>
  <si>
    <t>2nd Fri, Jun / Dec</t>
  </si>
  <si>
    <t>Jelador</t>
  </si>
  <si>
    <t>K.Bee - Supalai Lake View</t>
  </si>
  <si>
    <t>Mr.Michael Brandt Hallen</t>
  </si>
  <si>
    <t>K'Simon's House</t>
  </si>
  <si>
    <t>K.โต๋เต๋ ภรรยาคนไทย</t>
  </si>
  <si>
    <t>081-286-8700</t>
  </si>
  <si>
    <t>Khun Diana Kiri Villa 3</t>
  </si>
  <si>
    <t>dppfiffner@gmail.com'</t>
  </si>
  <si>
    <t>081-096-6721</t>
  </si>
  <si>
    <t>Jonas Broberg</t>
  </si>
  <si>
    <t>grgrv@yandex.ru</t>
  </si>
  <si>
    <t>SES</t>
  </si>
  <si>
    <t>Kalima Patong  (Building 5 : 40kW)</t>
  </si>
  <si>
    <t>Chris (WhatApps)</t>
  </si>
  <si>
    <t>+660 123717871</t>
  </si>
  <si>
    <t>Khun Phillip</t>
  </si>
  <si>
    <t>3rd Mon, Jan / Jul</t>
  </si>
  <si>
    <t>Kalima Patong  (Building 8 : 60kW. &amp; 40kW</t>
  </si>
  <si>
    <t>Khun Stefano Raciti</t>
  </si>
  <si>
    <t>087-896-9636</t>
  </si>
  <si>
    <t>Bill</t>
  </si>
  <si>
    <t>Karon Novelty : K.Sahuan Kulwanich</t>
  </si>
  <si>
    <t>KMIT Construction CO.,Ltd.</t>
  </si>
  <si>
    <t>Kiri Villa 1- Phillip</t>
  </si>
  <si>
    <t>Motoyuki</t>
  </si>
  <si>
    <t>Lake View - Spa</t>
  </si>
  <si>
    <t>Renew contract yr2.</t>
  </si>
  <si>
    <t xml:space="preserve">Kiri Villa 3 - Diana </t>
  </si>
  <si>
    <t xml:space="preserve">Layan Estate Villa B      </t>
  </si>
  <si>
    <t>K.Ae/Ken</t>
  </si>
  <si>
    <t>085-999-3695</t>
  </si>
  <si>
    <t>Kiri Villa 5- Brett Pennigton</t>
  </si>
  <si>
    <t>K.Wiggy 0848487963</t>
  </si>
  <si>
    <t xml:space="preserve">Leonid's House	</t>
  </si>
  <si>
    <t xml:space="preserve">Kiri Villa 6- Jurgen's House        </t>
  </si>
  <si>
    <t>Marvin Kelly</t>
  </si>
  <si>
    <t>Not renew</t>
  </si>
  <si>
    <t>Heidi</t>
  </si>
  <si>
    <t>heidi@heidifulford.com</t>
  </si>
  <si>
    <t xml:space="preserve">061-887-1040
Khun Res.
Phone: +66 81-737-9505
</t>
  </si>
  <si>
    <t>Christian Thoben &lt;christt@t-online.de&gt;</t>
  </si>
  <si>
    <t>4th Fri,  May / Nov</t>
  </si>
  <si>
    <t>Motoyuki (Botanica Foresta)</t>
  </si>
  <si>
    <t>089-926-1161</t>
  </si>
  <si>
    <t>Lakeshore Villa 6 - Ben Redman</t>
  </si>
  <si>
    <t>Natai</t>
  </si>
  <si>
    <t>K.Craig</t>
  </si>
  <si>
    <t>+65 8128 6716</t>
  </si>
  <si>
    <t>Mr.Giles &amp; Mrs.Elodie (10 Pool Villa)</t>
  </si>
  <si>
    <t xml:space="preserve">Nong Sand Guest House        </t>
  </si>
  <si>
    <t>Lavan Pornsirianant</t>
  </si>
  <si>
    <t>(David Stubbs)สุวรรณี</t>
  </si>
  <si>
    <t>Boat Plaza</t>
  </si>
  <si>
    <t>Owner คุณนวพร นามวรรณ</t>
  </si>
  <si>
    <t>Lavan's Vacation Home (Seaview)</t>
  </si>
  <si>
    <t xml:space="preserve">099 294 9957,
</t>
  </si>
  <si>
    <t xml:space="preserve">Padma Yamu Villa 6	</t>
  </si>
  <si>
    <t>crazyfurthailand@gmail.com</t>
  </si>
  <si>
    <t xml:space="preserve">คุณเช 094 584 1682 </t>
  </si>
  <si>
    <t>4th Tue, Jan / Jul</t>
  </si>
  <si>
    <t>Sabai Village 116/20</t>
  </si>
  <si>
    <t>Paul Lemon</t>
  </si>
  <si>
    <t xml:space="preserve"> kathu</t>
  </si>
  <si>
    <t>คุณปิยวรรณ</t>
  </si>
  <si>
    <t>6 of 10</t>
  </si>
  <si>
    <t>Botanica foresta C08 (Vladimir)</t>
  </si>
  <si>
    <t>m.5/Thep Krasatti</t>
  </si>
  <si>
    <t>K.David
แม่บ้าน</t>
  </si>
  <si>
    <t>084-192-5149
093-667-5578</t>
  </si>
  <si>
    <t xml:space="preserve">Piel Rainer Rawai	</t>
  </si>
  <si>
    <t>3rd Fri, Jun / Dec</t>
  </si>
  <si>
    <t>Layan Hill Estate Villa 25 - Craig Mackie</t>
  </si>
  <si>
    <t>David Parker (No MA)</t>
  </si>
  <si>
    <t xml:space="preserve">Poypy's House        </t>
  </si>
  <si>
    <t>davidfparker@outlook.com</t>
  </si>
  <si>
    <t>ช่างดูแลบ้าน</t>
  </si>
  <si>
    <t>063-026-6356</t>
  </si>
  <si>
    <t>Len Peters</t>
  </si>
  <si>
    <t>https://www.google.com/maps/place/David+Residence/@8.1067987,98.3061893,17z/data=!3m1!4b1!4m9!3m8!1s0x305046277c48892f:0xdd48d41dfd2bd383!5m2!4m1!1i2!8m2!3d8.1067987!4d98.3087642!16s%2Fg%2F1pzt_bnf7?entry=ttu</t>
  </si>
  <si>
    <t xml:space="preserve">Leonid's House       </t>
  </si>
  <si>
    <t>Botanica Foresta D.26 - Viktor</t>
  </si>
  <si>
    <t>Viktor</t>
  </si>
  <si>
    <t>+79234400444</t>
  </si>
  <si>
    <t>0980175741 (จ.ศ)</t>
  </si>
  <si>
    <t>Life Balance Spa</t>
  </si>
  <si>
    <t>Salamander Jewelry</t>
  </si>
  <si>
    <t>K.Pon</t>
  </si>
  <si>
    <t xml:space="preserve">K.Ning </t>
  </si>
  <si>
    <t>081-8959477</t>
  </si>
  <si>
    <t>STAY Fitness</t>
  </si>
  <si>
    <t>Massimo's House</t>
  </si>
  <si>
    <t>May's House (YBT)</t>
  </si>
  <si>
    <t xml:space="preserve">STAY Lobby        </t>
  </si>
  <si>
    <t>Botanica Foresta D11 - Helge Bruns</t>
  </si>
  <si>
    <t>K.Helge Bruns</t>
  </si>
  <si>
    <t>081-831-6286</t>
  </si>
  <si>
    <t>helge@lighthousenavigation.com</t>
  </si>
  <si>
    <t>Joob - Chanin.</t>
  </si>
  <si>
    <t>099-469-7896</t>
  </si>
  <si>
    <t>Michael Hecht - Ao Nang, Krabi</t>
  </si>
  <si>
    <t>Suan luang Motorcycle</t>
  </si>
  <si>
    <t>https://www.google.com/maps/place/8%C2%B000'23.6%22N+98%C2%B019'19.2%22E/@8.0064412,98.3215858,185m/data=!3m1!1e3!4m4!3m3!8m2!3d8.0065556!4d98.322?entry=ttu</t>
  </si>
  <si>
    <t>Botanica Foresta D20 - Helge Bruns</t>
  </si>
  <si>
    <t>Mr.Bibi</t>
  </si>
  <si>
    <t>Suc-Cess 24 Hrs (Khun Priew)</t>
  </si>
  <si>
    <t>Botanica Foresta D32 - Shakeel</t>
  </si>
  <si>
    <t>Thierry Chaussé</t>
  </si>
  <si>
    <t>thierry1@body-piercing.com</t>
  </si>
  <si>
    <t>081-845-4701/091-543-0189</t>
  </si>
  <si>
    <t>Turn On 6-6-24</t>
  </si>
  <si>
    <t>Bangkok</t>
  </si>
  <si>
    <t>05/03/24
10:00</t>
  </si>
  <si>
    <t>K.Adam/adam@siamity.com</t>
  </si>
  <si>
    <t>Mung Mun Co.,Ltd</t>
  </si>
  <si>
    <t>3 of 6</t>
  </si>
  <si>
    <t>Thomas (Botanica Lakeside)</t>
  </si>
  <si>
    <r>
      <rPr>
        <rFont val="Calibri"/>
        <color rgb="FF000000"/>
        <sz val="12.0"/>
      </rPr>
      <t>K.At</t>
    </r>
    <r>
      <rPr>
        <rFont val="Calibri"/>
        <color theme="1"/>
        <sz val="12.0"/>
      </rPr>
      <t xml:space="preserve"> 0999650941</t>
    </r>
  </si>
  <si>
    <t>ครั้งที่2 รอ คุณวันชัยConfrim วันMa</t>
  </si>
  <si>
    <t>Naam &amp; Ryan Villa (Ryan Laferty)</t>
  </si>
  <si>
    <t>Bang Khon Thee</t>
  </si>
  <si>
    <t>Naiharn Baanbua K02</t>
  </si>
  <si>
    <t xml:space="preserve">K.Ploy </t>
  </si>
  <si>
    <t>0926899559</t>
  </si>
  <si>
    <t>Wallaya C1</t>
  </si>
  <si>
    <t>Saiyaun Med Village</t>
  </si>
  <si>
    <t>+44 7482 361787 (WhatsApp)</t>
  </si>
  <si>
    <t>2nd Fri, Jul / Jan</t>
  </si>
  <si>
    <t>Naiharn Baanbua Villa P.28 : (House at Rawai)</t>
  </si>
  <si>
    <t>Saijai</t>
  </si>
  <si>
    <t>Siwalee Villa</t>
  </si>
  <si>
    <t>Fong</t>
  </si>
  <si>
    <t>085-787-7878</t>
  </si>
  <si>
    <t>Naiharn Baanbua W08 - Markus</t>
  </si>
  <si>
    <t>2 of 6</t>
  </si>
  <si>
    <t>Garden Atlas Villa 1</t>
  </si>
  <si>
    <t>Pasak Soi8</t>
  </si>
  <si>
    <t>+1 (312) 480-6996 (WhatsApp)</t>
  </si>
  <si>
    <t>Wine Pro Phuket</t>
  </si>
  <si>
    <t>thkuratle@gmail.com</t>
  </si>
  <si>
    <t>คุณแซมMa เป็น3 ปี เมื่อ 27/05/2024</t>
  </si>
  <si>
    <t>Naiharn Baanbua W09 - Maxim</t>
  </si>
  <si>
    <t>Pasak</t>
  </si>
  <si>
    <t>081-8974180</t>
  </si>
  <si>
    <t>Wine Pro Samui</t>
  </si>
  <si>
    <t>Nino</t>
  </si>
  <si>
    <t>1st Fri, Sep / Mar</t>
  </si>
  <si>
    <t>Woo Restaurant</t>
  </si>
  <si>
    <t>Michel</t>
  </si>
  <si>
    <t>Ofer (BKK)</t>
  </si>
  <si>
    <t>Botanica Modern Loft M01 (Ira)</t>
  </si>
  <si>
    <t>He will Maintenance by Himself</t>
  </si>
  <si>
    <t xml:space="preserve">Padma Yamu Villa 6        </t>
  </si>
  <si>
    <t>K'Riam</t>
  </si>
  <si>
    <t>098-7583615</t>
  </si>
  <si>
    <t>Pascal</t>
  </si>
  <si>
    <t>Josep Skop</t>
  </si>
  <si>
    <t>joeskop@yahoo.com</t>
  </si>
  <si>
    <t>Botanica Modern Loft M12 (Daria)</t>
  </si>
  <si>
    <t>K.Ben</t>
  </si>
  <si>
    <t>Roman Korsunov</t>
  </si>
  <si>
    <t>+7 910 000-35-39</t>
  </si>
  <si>
    <t>rkorsunov@gmail.com</t>
  </si>
  <si>
    <t>pornkawee@gmail.com</t>
  </si>
  <si>
    <t>Paul Merry</t>
  </si>
  <si>
    <t>Kamala</t>
  </si>
  <si>
    <t>K.Nigel</t>
  </si>
  <si>
    <t>066 105 4944</t>
  </si>
  <si>
    <t>gough8850@gmail.com</t>
  </si>
  <si>
    <t>1st Fri, Apr / Oct</t>
  </si>
  <si>
    <t>K.Yuri</t>
  </si>
  <si>
    <t>yr1050721@gmail.com</t>
  </si>
  <si>
    <t>Botanica Modern Loft M15</t>
  </si>
  <si>
    <t>Piel Rainer</t>
  </si>
  <si>
    <t>Piero (3kw + 5kW)</t>
  </si>
  <si>
    <t>Botanica Modern Loft M25 (Vadim)</t>
  </si>
  <si>
    <t>081-8200429
089-777-9417</t>
  </si>
  <si>
    <t>2nd Fri, July / Jan</t>
  </si>
  <si>
    <t>Poypy's House (Khun Poy)</t>
  </si>
  <si>
    <t>07-05-25 (ติดต่อใหม่แล้ว รอตอบกลับ)</t>
  </si>
  <si>
    <t>Botanica Modern Loft M29 (Daria)</t>
  </si>
  <si>
    <t>Project Giammo</t>
  </si>
  <si>
    <t>Prudent Builder (Old)</t>
  </si>
  <si>
    <t>Botanica Modern Loft M30 (Daria)</t>
  </si>
  <si>
    <t>43/1 kathu.</t>
  </si>
  <si>
    <t>093-4140438</t>
  </si>
  <si>
    <t xml:space="preserve">jan.hansen@gmail.com
</t>
  </si>
  <si>
    <t>080-5215770 คุณ ซอ</t>
  </si>
  <si>
    <t>PTT Station (Khun Chutivat)</t>
  </si>
  <si>
    <t>Botanica Modern Loft M6</t>
  </si>
  <si>
    <t>Punyisa Villas Bang Jo - Plot 3</t>
  </si>
  <si>
    <t>Punyisa Villas Bang Jo - Plot 4</t>
  </si>
  <si>
    <t>sebu-2008@mail.ru
ph.consulvl@gmail.com</t>
  </si>
  <si>
    <t>Punyisa Villas Bang Jo - Plot 5</t>
  </si>
  <si>
    <t>Punyisa Villas Bang Jo - Plot 6</t>
  </si>
  <si>
    <t>Botanica The Nature (M&amp;M Villa)</t>
  </si>
  <si>
    <t>Punyisa Villas Bang Jo - Plot 7</t>
  </si>
  <si>
    <t>Punyisa Villas Bang Jo - Plot 8</t>
  </si>
  <si>
    <t>Runowska (Grand View Plot 17)</t>
  </si>
  <si>
    <t>No.</t>
  </si>
  <si>
    <t>Confrim Date</t>
  </si>
  <si>
    <t>Amout</t>
  </si>
  <si>
    <t>Breeze House Hotel</t>
  </si>
  <si>
    <t>Patong</t>
  </si>
  <si>
    <t>Jean Pual</t>
  </si>
  <si>
    <t>ไม่ต่อสัญญา : MA by Themself</t>
  </si>
  <si>
    <t>K.Kik 0878936668</t>
  </si>
  <si>
    <t xml:space="preserve">K.Toon </t>
  </si>
  <si>
    <t>co-rng@stayphuketresort.com</t>
  </si>
  <si>
    <t>3rd Thu, Mar, Sep</t>
  </si>
  <si>
    <t>Kalima Patong  (60kW. &amp; 40kW)</t>
  </si>
  <si>
    <t>K.Ton (Chief Engineer)</t>
  </si>
  <si>
    <t>eng.mngsolemio@gmail.com</t>
  </si>
  <si>
    <t>1.1 AC Consulting Group Co.,Ltd</t>
  </si>
  <si>
    <t>K.ตังค์</t>
  </si>
  <si>
    <t>engineer-admin@stayphuketresort.com</t>
  </si>
  <si>
    <t>MA by Themself</t>
  </si>
  <si>
    <t>Phuket Town</t>
  </si>
  <si>
    <t>Sanan Samaae</t>
  </si>
  <si>
    <t>081-893-1647
081-2705736</t>
  </si>
  <si>
    <t>Ao Por</t>
  </si>
  <si>
    <t>Kiri Villa</t>
  </si>
  <si>
    <t>K.Brett</t>
  </si>
  <si>
    <t xml:space="preserve">092-5390412
</t>
  </si>
  <si>
    <t>082-238-9484</t>
  </si>
  <si>
    <t>1st Tue, May / Nov</t>
  </si>
  <si>
    <t>4th Tue, Jun / Dec</t>
  </si>
  <si>
    <t xml:space="preserve">SC Food Supply (Cherngtalay)        </t>
  </si>
  <si>
    <t>2nd Fri, Feb / Aug</t>
  </si>
  <si>
    <t>1.1 David Residence</t>
  </si>
  <si>
    <t>SES Warehouse</t>
  </si>
  <si>
    <t>balsen@t-online.de</t>
  </si>
  <si>
    <t>K.Kate 0926455290</t>
  </si>
  <si>
    <t>1.1 Gym Club Phuket</t>
  </si>
  <si>
    <t>23.04 + 46.08</t>
  </si>
  <si>
    <t>089-5907568
080-784-4213</t>
  </si>
  <si>
    <t>1.1 Khun Frank (B02)</t>
  </si>
  <si>
    <t>1.1 Lavan Pornsirianant</t>
  </si>
  <si>
    <t>lavan</t>
  </si>
  <si>
    <t>K.Igor</t>
  </si>
  <si>
    <t>081-787-4887</t>
  </si>
  <si>
    <t>+79021710546</t>
  </si>
  <si>
    <t>WhatApps</t>
  </si>
  <si>
    <t>094-4789717
081-652-0795</t>
  </si>
  <si>
    <t xml:space="preserve">1.1 SC Food Supply (Cherngtalay)        </t>
  </si>
  <si>
    <t xml:space="preserve"> +1(604)329-4709</t>
  </si>
  <si>
    <t>nathanmaltz1@gmail.com</t>
  </si>
  <si>
    <t xml:space="preserve">1.1 Seven's House        </t>
  </si>
  <si>
    <t>https://www.google.com/maps/search/?api=1&amp;query=7.867935526442087,98.3723622187972</t>
  </si>
  <si>
    <t>Shambala</t>
  </si>
  <si>
    <t>3rd Fri, Apr / Oct</t>
  </si>
  <si>
    <t>1.1 Som Apartment</t>
  </si>
  <si>
    <t>K.Tam</t>
  </si>
  <si>
    <t>Simon's House</t>
  </si>
  <si>
    <t>Khao Khad</t>
  </si>
  <si>
    <t>Sole Mio Boutique Hotel and Wellness</t>
  </si>
  <si>
    <t>Layan</t>
  </si>
  <si>
    <t>1rt Fri, May / Nov</t>
  </si>
  <si>
    <t xml:space="preserve">อัพจาก 20 เป็น40 เพิ่มระยะเวลาอีก2ปี รวมในQT แล้ว </t>
  </si>
  <si>
    <t>Stale Roed</t>
  </si>
  <si>
    <t>Layan Hill Estate Villa 25</t>
  </si>
  <si>
    <t>2.Woo Restaurant</t>
  </si>
  <si>
    <t>Elodie</t>
  </si>
  <si>
    <t>065 350 2677</t>
  </si>
  <si>
    <t>Muang Mai</t>
  </si>
  <si>
    <t>Len Peter</t>
  </si>
  <si>
    <t>091-8698310</t>
  </si>
  <si>
    <t>len.peters@uwcthailand.ac.th</t>
  </si>
  <si>
    <t>Waiting</t>
  </si>
  <si>
    <t>Stefan Huber</t>
  </si>
  <si>
    <t>Khoktanod</t>
  </si>
  <si>
    <t>K.Dima (Agent)</t>
  </si>
  <si>
    <t>+7 (981) 8800010, WhatsApp</t>
  </si>
  <si>
    <t>Stefano Raciti</t>
  </si>
  <si>
    <t>Free Ma 2 y</t>
  </si>
  <si>
    <t>Stephanie Peykaa Villa</t>
  </si>
  <si>
    <t>Marvin</t>
  </si>
  <si>
    <t>090-172-7735</t>
  </si>
  <si>
    <t>marvin.kelly@gmail.com</t>
  </si>
  <si>
    <t>2nd Fri, Apr / Oct</t>
  </si>
  <si>
    <t>Steve Park -  Boat Lagoon</t>
  </si>
  <si>
    <t>Anchan Tropicana Villa 13</t>
  </si>
  <si>
    <t xml:space="preserve">Anchan Tropicana Villa 4  </t>
  </si>
  <si>
    <t>Layan Lucky Villa P.1</t>
  </si>
  <si>
    <t>Stone House - Rawai</t>
  </si>
  <si>
    <t>Anchan Tropicana Villa 7</t>
  </si>
  <si>
    <t>Jerome Darmon
Fang/061-042 3999</t>
  </si>
  <si>
    <t>Last Mon, Apr / Oct</t>
  </si>
  <si>
    <t>Summer Hotel</t>
  </si>
  <si>
    <t>06-05-25 (รอตอบกลับ)</t>
  </si>
  <si>
    <t>Supalai Lake View (K.Bee)</t>
  </si>
  <si>
    <t>Tam's House</t>
  </si>
  <si>
    <t>Tha Pavilion V.63 - K.Pavel</t>
  </si>
  <si>
    <t>The Bay Villa 13</t>
  </si>
  <si>
    <t>The Cape Yamu Villa 17 (15kW)</t>
  </si>
  <si>
    <t>The Cape Yamu Villa 20 (84kW)</t>
  </si>
  <si>
    <t>May</t>
  </si>
  <si>
    <t>The Cape Yamu Villa 26 (60kW)</t>
  </si>
  <si>
    <t>The Fairways Villas 3 (Jason Sen -House 3)</t>
  </si>
  <si>
    <t>Blue Canyon Country</t>
  </si>
  <si>
    <t>Michael Hecht</t>
  </si>
  <si>
    <t>mikel_1200@yahoo.com</t>
  </si>
  <si>
    <t>Avtejinder Mann &lt;avtmann@gmail.com&gt;</t>
  </si>
  <si>
    <t>The Fairways Villas 6 &amp; 8</t>
  </si>
  <si>
    <t>The Park Villa (K.Jeab)</t>
  </si>
  <si>
    <t>4 times / Year</t>
  </si>
  <si>
    <t>The Stay (8 Building)</t>
  </si>
  <si>
    <t>Renew contract 2 yr./2024-2026</t>
  </si>
  <si>
    <t xml:space="preserve">deposit 50 % </t>
  </si>
  <si>
    <t>6 of 8</t>
  </si>
  <si>
    <t>Cheng Talay</t>
  </si>
  <si>
    <t>WhatApp</t>
  </si>
  <si>
    <t>Renew contract 2yr./Paid on 10/04/24</t>
  </si>
  <si>
    <t>Crown Estate - Mr. Pavel</t>
  </si>
  <si>
    <t>United World College (UWC) - Main Entrance</t>
  </si>
  <si>
    <t>Crown Estate</t>
  </si>
  <si>
    <t>BKK</t>
  </si>
  <si>
    <t>k.Boon</t>
  </si>
  <si>
    <t>cataways@hotmail.com</t>
  </si>
  <si>
    <t>Villa Magnolia</t>
  </si>
  <si>
    <t>7 of 10</t>
  </si>
  <si>
    <t xml:space="preserve">Naam &amp; Ryan Villa        </t>
  </si>
  <si>
    <t>Anchan Lagoon</t>
  </si>
  <si>
    <t>Villa Saan</t>
  </si>
  <si>
    <t xml:space="preserve">Cunnigham </t>
  </si>
  <si>
    <t>092-5390412
brettgpennington@yahoo.com.au</t>
  </si>
  <si>
    <t xml:space="preserve">Rawai    </t>
  </si>
  <si>
    <t>Naiharn Baanbua</t>
  </si>
  <si>
    <t>K.Gate (Mng. Office)</t>
  </si>
  <si>
    <t>Vista del Mar V.15</t>
  </si>
  <si>
    <t>083-4239429</t>
  </si>
  <si>
    <t>Wallaya Angle (Cedric)</t>
  </si>
  <si>
    <t>K.Markus</t>
  </si>
  <si>
    <t>markus.stefanko@gmail.com</t>
  </si>
  <si>
    <t>Daimond Tree Villas P8</t>
  </si>
  <si>
    <t>Diamond Tree</t>
  </si>
  <si>
    <t>Wallaya The Nest C1</t>
  </si>
  <si>
    <t>BaanBuaVillaW09@xxx.com</t>
  </si>
  <si>
    <t>m.kendja@gmail.com</t>
  </si>
  <si>
    <t>Wanta's House</t>
  </si>
  <si>
    <t>Loei</t>
  </si>
  <si>
    <t>David Stubbs</t>
  </si>
  <si>
    <t>david_stubbs@live.co.uk</t>
  </si>
  <si>
    <t>สุวรรณี 0986731940</t>
  </si>
  <si>
    <t>dainiusglie@gmail.com</t>
  </si>
  <si>
    <t>kamui5001@hotmail.com</t>
  </si>
  <si>
    <t>4 of 8</t>
  </si>
  <si>
    <t xml:space="preserve">David Dobson </t>
  </si>
  <si>
    <t>+66 123717871</t>
  </si>
  <si>
    <t>waiting for Conferm</t>
  </si>
  <si>
    <t>The Cape</t>
  </si>
  <si>
    <t>K.Porche (KMM)</t>
  </si>
  <si>
    <t xml:space="preserve">098 817 0991
</t>
  </si>
  <si>
    <t>Woodland A1</t>
  </si>
  <si>
    <t>porsch@kmm-services.com</t>
  </si>
  <si>
    <t>Zenithy Villa A1</t>
  </si>
  <si>
    <t>Zenithy Villa B2</t>
  </si>
  <si>
    <t>Zenithy Villa C01</t>
  </si>
  <si>
    <t>062-987-5806</t>
  </si>
  <si>
    <t>Sté GIRAUD Passariello P.  &lt;pascal@giraudplomberie.fr&gt;</t>
  </si>
  <si>
    <t>Naiharn Baanbua P16 - Igor</t>
  </si>
  <si>
    <t>099-469-7896
076-681077 เลขา</t>
  </si>
  <si>
    <t>paulhenrylemon@gmail.com</t>
  </si>
  <si>
    <t>099-345-8828</t>
  </si>
  <si>
    <t>1st Mon, Jul / Dec</t>
  </si>
  <si>
    <t>K.Adam</t>
  </si>
  <si>
    <t>Veronique</t>
  </si>
  <si>
    <t>ครั้งที่4 รอ คุณวันชัยConfrim วันMa</t>
  </si>
  <si>
    <t>Piel</t>
  </si>
  <si>
    <t>K.Piel 's Wife (Thai)</t>
  </si>
  <si>
    <t>095 804 0464</t>
  </si>
  <si>
    <t>Head Start International School - Cherng Talay</t>
  </si>
  <si>
    <t>Piero</t>
  </si>
  <si>
    <t>080-616-3686</t>
  </si>
  <si>
    <t>quirico49@gmail.com</t>
  </si>
  <si>
    <t>K.Desmond Foo's</t>
  </si>
  <si>
    <t>065-9173 7289</t>
  </si>
  <si>
    <t>Quinta Lane V.1</t>
  </si>
  <si>
    <t>Pavel - Crown Estate</t>
  </si>
  <si>
    <t>Prudent Builder</t>
  </si>
  <si>
    <t>Khaun Dindang</t>
  </si>
  <si>
    <t>Tum</t>
  </si>
  <si>
    <t>Dr.Bunpot</t>
  </si>
  <si>
    <t>Prudent Builder (New)</t>
  </si>
  <si>
    <t>Dr.Suppakrit</t>
  </si>
  <si>
    <t>Samkong</t>
  </si>
  <si>
    <t>Duncan Webb</t>
  </si>
  <si>
    <t>PTT Station - 7-11 (Khun Chutivat)</t>
  </si>
  <si>
    <t>Nakornpathom</t>
  </si>
  <si>
    <t>Naiharn Baanbua P21 - Jame</t>
  </si>
  <si>
    <t>Zenithy Villa A2</t>
  </si>
  <si>
    <t>Zenithy Villa A4</t>
  </si>
  <si>
    <t>Botanica D11</t>
  </si>
  <si>
    <t>Phang Nga</t>
  </si>
  <si>
    <t>TaGua Pa</t>
  </si>
  <si>
    <t>081-388-9832
089-7369321</t>
  </si>
  <si>
    <t>surasit_tjel@yahoo.com</t>
  </si>
  <si>
    <t>3rd Thu, Dec / Jun</t>
  </si>
  <si>
    <t xml:space="preserve">Jurgen's House        </t>
  </si>
  <si>
    <t>balsen@t-online.d 
(acceoted by Jürgen)</t>
  </si>
  <si>
    <t>FA-IS</t>
  </si>
  <si>
    <t>Khok Kloy</t>
  </si>
  <si>
    <t>Rote</t>
  </si>
  <si>
    <t>0810029972</t>
  </si>
  <si>
    <t>2nd Tue, Aug / Feb</t>
  </si>
  <si>
    <t>Kalima Patong  (60kw.)</t>
  </si>
  <si>
    <t>Waa</t>
  </si>
  <si>
    <t>0836966789</t>
  </si>
  <si>
    <t>Seven Smulders</t>
  </si>
  <si>
    <t>089-4543370</t>
  </si>
  <si>
    <t>wongprom.jureewan@gmail.com</t>
  </si>
  <si>
    <t>๋Jaruwan 089-4420064</t>
  </si>
  <si>
    <t>Kalima Patong (40kw.)</t>
  </si>
  <si>
    <t>Prudent</t>
  </si>
  <si>
    <t>Khun Christian Hans</t>
  </si>
  <si>
    <t>Phang-nga</t>
  </si>
  <si>
    <t>Khun Gavin</t>
  </si>
  <si>
    <t xml:space="preserve">091-8315960 </t>
  </si>
  <si>
    <t>gavin.welman@gmail.com</t>
  </si>
  <si>
    <t>3rd Fri / Jun,Dec</t>
  </si>
  <si>
    <t>Khun Diana Kiri Villa</t>
  </si>
  <si>
    <t>Farang Food</t>
  </si>
  <si>
    <t>Simon Callebert &lt;simon@phuketfood.com&gt;</t>
  </si>
  <si>
    <t>Garden Atlas</t>
  </si>
  <si>
    <t>K.Toom (Chief Engineer)</t>
  </si>
  <si>
    <t>Khun Fong</t>
  </si>
  <si>
    <t>Khun Pascal</t>
  </si>
  <si>
    <t>Signed</t>
  </si>
  <si>
    <t>https://www.google.com/maps/place/7%C2%B051'45.2%22N+98%C2%B023'29.5%22E/@7.8625611,98.3915232,17z/data=!3m1!4b1!4m4!3m3!8m2!3d7.8625611!4d98.3915232?entry=ttu</t>
  </si>
  <si>
    <t>K.Tam/Som</t>
  </si>
  <si>
    <t>081-979-8570
087-6235057</t>
  </si>
  <si>
    <t>chalermponleebut@gmail.com</t>
  </si>
  <si>
    <t>66 89 343 0180</t>
  </si>
  <si>
    <t>K.Dusida (Managment)</t>
  </si>
  <si>
    <t>Khun Tum</t>
  </si>
  <si>
    <t>MA Sell Price</t>
  </si>
  <si>
    <t>Service MA (2 times / Yr.)</t>
  </si>
  <si>
    <t>3-4 kW.</t>
  </si>
  <si>
    <t>times</t>
  </si>
  <si>
    <t>คุณ ตู่ (Chief Eng.)</t>
  </si>
  <si>
    <t>089-470-6071</t>
  </si>
  <si>
    <t>5-15 kW.</t>
  </si>
  <si>
    <t>thestayphuketsolar@gmail.com</t>
  </si>
  <si>
    <t>16-39 kW.</t>
  </si>
  <si>
    <t>40-59 kW.</t>
  </si>
  <si>
    <t>3rd Mon, Jan / July</t>
  </si>
  <si>
    <t>60-89 kW.</t>
  </si>
  <si>
    <t>90-159 kW.</t>
  </si>
  <si>
    <t>160-259 kW.</t>
  </si>
  <si>
    <t>260-300 kW.</t>
  </si>
  <si>
    <t>Jerome Darmon</t>
  </si>
  <si>
    <t>MA Service</t>
  </si>
  <si>
    <t>Nakornsritamarat</t>
  </si>
  <si>
    <t>Stefan</t>
  </si>
  <si>
    <t>st.huber@bluewin.ch</t>
  </si>
  <si>
    <t>Lavan's Vacation Home</t>
  </si>
  <si>
    <t>Stefano Raciti' &lt;stefano_raciti@yahoo.com&gt;</t>
  </si>
  <si>
    <t>time /Yr.</t>
  </si>
  <si>
    <t>Talang</t>
  </si>
  <si>
    <t>Stephani</t>
  </si>
  <si>
    <t>stephanieocp@hotmail.com</t>
  </si>
  <si>
    <t>Boat Lagoon</t>
  </si>
  <si>
    <t>+660817348309,</t>
  </si>
  <si>
    <t>tipteerasriplaengmal@gmail.com</t>
  </si>
  <si>
    <t>Koh Sirae</t>
  </si>
  <si>
    <t>MA Requirements</t>
  </si>
  <si>
    <t>times /Yr.</t>
  </si>
  <si>
    <t>MA period</t>
  </si>
  <si>
    <t>Yr.</t>
  </si>
  <si>
    <t>Total Sell Price</t>
  </si>
  <si>
    <t>พี่นงนาศ</t>
  </si>
  <si>
    <t>081-6452025</t>
  </si>
  <si>
    <t>Markus W08</t>
  </si>
  <si>
    <t>คุณเปรี้ยว/naipiaw@hotmail.com</t>
  </si>
  <si>
    <t>084 465 4544</t>
  </si>
  <si>
    <t>Supalai Lakevuew Kohkaew</t>
  </si>
  <si>
    <t>K.Bee</t>
  </si>
  <si>
    <t>2nd Sat, Jun / Dec</t>
  </si>
  <si>
    <t>Grand Boat Plaza Village</t>
  </si>
  <si>
    <t>6mount/1time</t>
  </si>
  <si>
    <t>Headland Cape Yamu (SV1)</t>
  </si>
  <si>
    <t>The Pavilion</t>
  </si>
  <si>
    <t>Pavel</t>
  </si>
  <si>
    <t>+7 921 964-18-30 (WhatApps)
093-7715544 /K' lisa</t>
  </si>
  <si>
    <t>pvg012@gmail.com</t>
  </si>
  <si>
    <t>4th Fri, Jul / Jan</t>
  </si>
  <si>
    <t>The Bay</t>
  </si>
  <si>
    <t>Headland Cape Yamu (SV2) - Off Grid Hybrid</t>
  </si>
  <si>
    <t>Cape Yamu</t>
  </si>
  <si>
    <t>Amazing Journing ltd.</t>
  </si>
  <si>
    <t>Mr. David</t>
  </si>
  <si>
    <t>บังมัด 0980571021</t>
  </si>
  <si>
    <t>3rd Tue, Jun / Dec</t>
  </si>
  <si>
    <t>Charlie</t>
  </si>
  <si>
    <t>didferri@yahoo.fr&gt;</t>
  </si>
  <si>
    <t xml:space="preserve">  +(33) (0) 66 77 33 644
: +(66)(0) 953702602</t>
  </si>
  <si>
    <t xml:space="preserve">Piel Rainer Rawai        </t>
  </si>
  <si>
    <t>K.Piel 's Wife K' กานต์</t>
  </si>
  <si>
    <t>Pizza On Fire</t>
  </si>
  <si>
    <t>HET Asia Co.,Ltd</t>
  </si>
  <si>
    <t>didferri@yahoo.fr</t>
  </si>
  <si>
    <t>Laguna Home 57/29</t>
  </si>
  <si>
    <t>Aod</t>
  </si>
  <si>
    <t>Nicocio Management Ltd.</t>
  </si>
  <si>
    <t>Sent contract</t>
  </si>
  <si>
    <t>Khun Sepp</t>
  </si>
  <si>
    <t>Nu</t>
  </si>
  <si>
    <t>Direct Result Ltd.</t>
  </si>
  <si>
    <t>nu@luxuryvillasphuketthailand.com</t>
  </si>
  <si>
    <t>Mr. Xavier</t>
  </si>
  <si>
    <t>K.Jeab</t>
  </si>
  <si>
    <t>090 246 5144</t>
  </si>
  <si>
    <t>nipabell7@gmail.com</t>
  </si>
  <si>
    <t>info@mapraowvilla.com / punyamao@hotmail.com</t>
  </si>
  <si>
    <t>Khan Warangkana's House</t>
  </si>
  <si>
    <t>Khan gai</t>
  </si>
  <si>
    <t>081-7344324</t>
  </si>
  <si>
    <t>GaiWarang@gmail.com</t>
  </si>
  <si>
    <t>Khun Oh Baan Don</t>
  </si>
  <si>
    <t>Thaweephol Seamlek</t>
  </si>
  <si>
    <t>089-871-6994</t>
  </si>
  <si>
    <t>2nd Tue, Apr / Oct</t>
  </si>
  <si>
    <t>haydnstedman@hotmail.com</t>
  </si>
  <si>
    <t>phol009@gmail.com</t>
  </si>
  <si>
    <t>4th Fri, Jan / Jul</t>
  </si>
  <si>
    <t>5.4 + 11.7</t>
  </si>
  <si>
    <t>Day 21, Apr, Oct</t>
  </si>
  <si>
    <t>fair</t>
  </si>
  <si>
    <t>095-421-5115</t>
  </si>
  <si>
    <t>Niti 089-777-9417</t>
  </si>
  <si>
    <t>Cherng Talay-Bangjo</t>
  </si>
  <si>
    <t>Mr.Cedric Dijon</t>
  </si>
  <si>
    <t>098-671-6686</t>
  </si>
  <si>
    <t>cedric.dij@gmail.com</t>
  </si>
  <si>
    <t>Bank (Engineer) 083-6079819</t>
  </si>
  <si>
    <t>Wallaya The Nest</t>
  </si>
  <si>
    <t xml:space="preserve"> K.Steve</t>
  </si>
  <si>
    <t xml:space="preserve"> +4479-7491-4167</t>
  </si>
  <si>
    <t>Ivan - Phuket Villa Chaofah 2</t>
  </si>
  <si>
    <t>Wichit</t>
  </si>
  <si>
    <t>Phuket Villa Chaofah 2</t>
  </si>
  <si>
    <t>Pa Klok</t>
  </si>
  <si>
    <t>Report</t>
  </si>
  <si>
    <t>Pattaya</t>
  </si>
  <si>
    <t>Hand Over-Commissioning 2024</t>
  </si>
  <si>
    <t>K'ning Menager</t>
  </si>
  <si>
    <t>Pattayabranch@winepro.co.th
033-640-589/</t>
  </si>
  <si>
    <t xml:space="preserve">คุณ ตู๋ </t>
  </si>
  <si>
    <t>Chaofah East</t>
  </si>
  <si>
    <t>K.Beau</t>
  </si>
  <si>
    <t>076-602-203,0831279714</t>
  </si>
  <si>
    <t>Install
Done</t>
  </si>
  <si>
    <t>Completed</t>
  </si>
  <si>
    <t>Start Handover</t>
  </si>
  <si>
    <t>Report Date</t>
  </si>
  <si>
    <t>Samui</t>
  </si>
  <si>
    <t>077-960-604</t>
  </si>
  <si>
    <t>Fangi/+66 61 042 3999</t>
  </si>
  <si>
    <t>คุณเปรี้ยว</t>
  </si>
  <si>
    <t>Kohkaew</t>
  </si>
  <si>
    <t>Woodland</t>
  </si>
  <si>
    <t>(K.Bee)</t>
  </si>
  <si>
    <t>Zenithy Luxe</t>
  </si>
  <si>
    <t>ฺBall (Site engineer)</t>
  </si>
  <si>
    <t>Layan Hills Estate V.25 - Craig Mackie</t>
  </si>
  <si>
    <t>Bang Jo</t>
  </si>
  <si>
    <t>Layan Hills Estate</t>
  </si>
  <si>
    <t>Botanica Foresta D28 - Mireille</t>
  </si>
  <si>
    <t>Baan Bua W09 - Maxim</t>
  </si>
  <si>
    <t>BaanBua</t>
  </si>
  <si>
    <t xml:space="preserve">Wallaya Angle </t>
  </si>
  <si>
    <t xml:space="preserve">Bank (Engineer)
Cedric </t>
  </si>
  <si>
    <t>083 6079819
098 671 6686</t>
  </si>
  <si>
    <t>Kanokporn - Khaolak</t>
  </si>
  <si>
    <t>Khaolak</t>
  </si>
  <si>
    <t>Yamu - Cape Yamu Villa 8</t>
  </si>
  <si>
    <t>Punyisa Villas</t>
  </si>
  <si>
    <t>The Fairways Villas 6 &amp; 7</t>
  </si>
  <si>
    <t>Kathu Gofl Club</t>
  </si>
  <si>
    <t>Kathu Golf Club</t>
  </si>
  <si>
    <t>Renew contract 2 yr.</t>
  </si>
  <si>
    <t>1.1 Wine Pro Pattaya</t>
  </si>
  <si>
    <t>033-640-589</t>
  </si>
  <si>
    <t>K.Kik 087-8936668
คุณรุ่งนภา 087-8936668</t>
  </si>
  <si>
    <t>Pasak Soi 4</t>
  </si>
  <si>
    <t>John Bouldwood</t>
  </si>
  <si>
    <t>1.Brett Pennigton</t>
  </si>
  <si>
    <t xml:space="preserve">Khun Bettina and Barry </t>
  </si>
  <si>
    <t>K,.Jang (Hybrid Off Grid)</t>
  </si>
  <si>
    <t>K.Giorgio Ceresoli</t>
  </si>
  <si>
    <t>Khun Frank (B02)</t>
  </si>
  <si>
    <t xml:space="preserve">K.Sam - Supalai </t>
  </si>
  <si>
    <t>Supalai Essence</t>
  </si>
  <si>
    <t>Khun Nui</t>
  </si>
  <si>
    <t>K.Thanes</t>
  </si>
  <si>
    <t>Wichit Sonkram</t>
  </si>
  <si>
    <t>K.Thitirat</t>
  </si>
  <si>
    <t xml:space="preserve"> m.4, T.Chreng Taley</t>
  </si>
  <si>
    <t>K.Wine - Mono Chumpaka, Villa 8</t>
  </si>
  <si>
    <t>Cherng talay</t>
  </si>
  <si>
    <t>5 yrs. maintenance</t>
  </si>
  <si>
    <t>Joob/aiyarak@icloud.com</t>
  </si>
  <si>
    <t>โกตุ๊</t>
  </si>
  <si>
    <t>Katamanda J1</t>
  </si>
  <si>
    <t>Kama</t>
  </si>
  <si>
    <t>Katamanda</t>
  </si>
  <si>
    <t>Khun Jang (OffGrid)</t>
  </si>
  <si>
    <t>Bangwaad Dam</t>
  </si>
  <si>
    <t>Pasak 8,</t>
  </si>
  <si>
    <t>Khun Pin (Bangwaad dam)</t>
  </si>
  <si>
    <t>Khun Prim (Off Grid)</t>
  </si>
  <si>
    <t>076-313-048/
081-652-0795</t>
  </si>
  <si>
    <t>Pasak 5,</t>
  </si>
  <si>
    <t>096 804 0464</t>
  </si>
  <si>
    <t>K.Jurgen</t>
  </si>
  <si>
    <t xml:space="preserve">Prudent Builder </t>
  </si>
  <si>
    <t>0944789717
081-652-0795</t>
  </si>
  <si>
    <t>Bew</t>
  </si>
  <si>
    <t xml:space="preserve"> 076-602-203</t>
  </si>
  <si>
    <t>Lakeshore</t>
  </si>
  <si>
    <t>Ben redman</t>
  </si>
  <si>
    <t>0941207589</t>
  </si>
  <si>
    <t>benredman@me.com</t>
  </si>
  <si>
    <t>4th Mon, Apr, Oct</t>
  </si>
  <si>
    <t>อุ</t>
  </si>
  <si>
    <t>lavantan1@hotmail.com</t>
  </si>
  <si>
    <t>Moo 7, T.Rawai, A.Muang,</t>
  </si>
  <si>
    <t>lavanporn@gmail.com</t>
  </si>
  <si>
    <t>P'Gay/Marlene</t>
  </si>
  <si>
    <t>jeromedarmon@protonmail.com</t>
  </si>
  <si>
    <t>Mark Fernandes 's House</t>
  </si>
  <si>
    <t>Saiyuan</t>
  </si>
  <si>
    <t>255/1 Moo 2, T.Thepkrasattri</t>
  </si>
  <si>
    <t>0896464780 K.Wittaya</t>
  </si>
  <si>
    <t xml:space="preserve">Project Installations </t>
  </si>
  <si>
    <t xml:space="preserve">1.1 Wallaya Angle </t>
  </si>
  <si>
    <t>Micaheal Connolly</t>
  </si>
  <si>
    <t>Botanica Lakeside B1</t>
  </si>
  <si>
    <t>Botanica Modern Loft 12</t>
  </si>
  <si>
    <t>3rd Sat, Dec / Jun</t>
  </si>
  <si>
    <t>1.1 Jean Paul</t>
  </si>
  <si>
    <t>Mini Villas V.5 (Holidays Villa)</t>
  </si>
  <si>
    <t>Mini Villas</t>
  </si>
  <si>
    <t>Modern Loft M34</t>
  </si>
  <si>
    <t>birukoff83@gmail.com</t>
  </si>
  <si>
    <t>3rd Tue, Dec / Jun</t>
  </si>
  <si>
    <t>Cherngtalay,</t>
  </si>
  <si>
    <t>lafferty_ryan@hotmail.com</t>
  </si>
  <si>
    <t>Naiharn Baanbua BT14 - Chanelle</t>
  </si>
  <si>
    <t>Chanelle</t>
  </si>
  <si>
    <t>Naiharn</t>
  </si>
  <si>
    <t>Dima</t>
  </si>
  <si>
    <t>Jame Shoobridge</t>
  </si>
  <si>
    <t>0970486464</t>
  </si>
  <si>
    <t>K.Yui / Tropilook</t>
  </si>
  <si>
    <t>082-252-8518</t>
  </si>
  <si>
    <t>1st Fri, Jun / Dec</t>
  </si>
  <si>
    <t xml:space="preserve">K.Tarn </t>
  </si>
  <si>
    <t>warmplusservice@gmail.com</t>
  </si>
  <si>
    <t>Mrs. Henry 0966485498</t>
  </si>
  <si>
    <t>3Yrs MA Inc.</t>
  </si>
  <si>
    <t>Park 38 - Building 1 (5 Yrs)</t>
  </si>
  <si>
    <t>1.Botanica Foresta (B01)</t>
  </si>
  <si>
    <t>6th Apr / Oct</t>
  </si>
  <si>
    <t>Park 38 - Building 2 (5 yrs)</t>
  </si>
  <si>
    <t>062-981-5806</t>
  </si>
  <si>
    <t>paul henry lemon</t>
  </si>
  <si>
    <t>k.saw/Layan Lucky Villa</t>
  </si>
  <si>
    <t>Pavara Khiri V.7</t>
  </si>
  <si>
    <t>Pavara Khiri</t>
  </si>
  <si>
    <t>Phillippe Meyer</t>
  </si>
  <si>
    <t>0818172336</t>
  </si>
  <si>
    <t>K.Karn (K.Piel 's Wife (Thai))</t>
  </si>
  <si>
    <t>raypiel@yahoo.com</t>
  </si>
  <si>
    <t>sirakant69@gmail.com, tonsaeiew@gmail.com</t>
  </si>
  <si>
    <t xml:space="preserve">K.Chakree </t>
  </si>
  <si>
    <t>Punyisa Bang Jo</t>
  </si>
  <si>
    <t>2nd Mon, Dec / Jun</t>
  </si>
  <si>
    <t>K.Sandy</t>
  </si>
  <si>
    <t>083 168 6363</t>
  </si>
  <si>
    <t>K.Sua (เสือ) M.2</t>
  </si>
  <si>
    <t>tiger@m2.plus</t>
  </si>
  <si>
    <t>Punyisa Villas Bangjo Plot 20</t>
  </si>
  <si>
    <t>081-893-1647</t>
  </si>
  <si>
    <t>Punyisa Villas BangJo</t>
  </si>
  <si>
    <t>1.1 Baan Por</t>
  </si>
  <si>
    <t>Quinta lane</t>
  </si>
  <si>
    <t>Raintree Villa - Alis</t>
  </si>
  <si>
    <t>Rundetarn</t>
  </si>
  <si>
    <t>Layan Hills Estate Villa 10</t>
  </si>
  <si>
    <t>Layan Hill estate</t>
  </si>
  <si>
    <t>Nigel Farmer</t>
  </si>
  <si>
    <t>Bor Saen</t>
  </si>
  <si>
    <t>086-951-2988</t>
  </si>
  <si>
    <t xml:space="preserve">1.Island Technology </t>
  </si>
  <si>
    <t>Cherng Talay -Bangtao</t>
  </si>
  <si>
    <t>Sebastian-Saiyuan</t>
  </si>
  <si>
    <t>thapkrasatree</t>
  </si>
  <si>
    <t>066-105-4944</t>
  </si>
  <si>
    <t>Botanica The Nature - M&amp;M Villa</t>
  </si>
  <si>
    <t>Shansuay</t>
  </si>
  <si>
    <t>081-286-8700/
พ่อบ้าน 06 3090 4241</t>
  </si>
  <si>
    <t>Soenke - Koh Yao Noi</t>
  </si>
  <si>
    <t>Kho Yao Noi</t>
  </si>
  <si>
    <t>K.ตั้ม/Som</t>
  </si>
  <si>
    <t>081-979-8570
087-623-5057</t>
  </si>
  <si>
    <t>Stephanie</t>
  </si>
  <si>
    <t>Steve Chu</t>
  </si>
  <si>
    <t>Khoktanode</t>
  </si>
  <si>
    <t>KohKaew</t>
  </si>
  <si>
    <t>3rd Fri, Jan / Jul</t>
  </si>
  <si>
    <t>sivagronj@gmail.com</t>
  </si>
  <si>
    <t xml:space="preserve">อัง (แม่บ้าน) </t>
  </si>
  <si>
    <t>K.Ing 093-4967016</t>
  </si>
  <si>
    <t>The Cape Yamu Plot 12</t>
  </si>
  <si>
    <t>Jason Sen</t>
  </si>
  <si>
    <t>jasonjsen@gmail.com</t>
  </si>
  <si>
    <t>1st , Jun / Dec</t>
  </si>
  <si>
    <t>The Hidhen Lagoon</t>
  </si>
  <si>
    <t xml:space="preserve">The Park </t>
  </si>
  <si>
    <t>doe@stayphuketresort.com</t>
  </si>
  <si>
    <t>Paid on 21-9-26</t>
  </si>
  <si>
    <t>Khao Prataew</t>
  </si>
  <si>
    <t>Nai Thorn</t>
  </si>
  <si>
    <t>La colline</t>
  </si>
  <si>
    <t>Stuart Green</t>
  </si>
  <si>
    <t>Meaw 0842905559 (Management)</t>
  </si>
  <si>
    <t>Cape Amarin</t>
  </si>
  <si>
    <t>K.Mew</t>
  </si>
  <si>
    <t>0985199112</t>
  </si>
  <si>
    <t>Villa Suksan V.4</t>
  </si>
  <si>
    <t>Villa Suksan</t>
  </si>
  <si>
    <t>คุณบูม สุขสัน</t>
  </si>
  <si>
    <t>089-5871442</t>
  </si>
  <si>
    <t>Villa Sunpao V.1</t>
  </si>
  <si>
    <t>Villa Sunpao</t>
  </si>
  <si>
    <t>คุณบูม</t>
  </si>
  <si>
    <t>Villa Sunpao V.3</t>
  </si>
  <si>
    <t>Villa Sunpao V.4</t>
  </si>
  <si>
    <t>Villa Sunpao V.5</t>
  </si>
  <si>
    <t>Vista Del Mar</t>
  </si>
  <si>
    <t>Vista delmar V.17</t>
  </si>
  <si>
    <t>Vista delmar</t>
  </si>
  <si>
    <t>Vista delmar V.21</t>
  </si>
  <si>
    <t>Niathorn</t>
  </si>
  <si>
    <t>Vista Delmar</t>
  </si>
  <si>
    <t>Vista delmar V.7 - K.Roland</t>
  </si>
  <si>
    <t>098-671-6686
คุณมิ้น 0652945222</t>
  </si>
  <si>
    <t>K.Wanta</t>
  </si>
  <si>
    <t>WE-EF</t>
  </si>
  <si>
    <t>136kW</t>
  </si>
  <si>
    <t>Samuthprakarn</t>
  </si>
  <si>
    <t>1st Mon, Feb/Aug</t>
  </si>
  <si>
    <t>Inc. 5 yrs MA</t>
  </si>
  <si>
    <t>Zhang Lei - Boat Lagoon 23/166</t>
  </si>
  <si>
    <t>Wine Pro BangPli</t>
  </si>
  <si>
    <t>Samuth Prakarn</t>
  </si>
  <si>
    <t>K.Kla (กล้า) 0824273174</t>
  </si>
  <si>
    <t>chalongbranch@winepro.co.th</t>
  </si>
  <si>
    <t>076-602-203,</t>
  </si>
  <si>
    <t>K'Yonk</t>
  </si>
  <si>
    <t>0902674319, 077-960-604</t>
  </si>
  <si>
    <t>samuibranch@winepro.co.th</t>
  </si>
  <si>
    <t>K.วชิรา</t>
  </si>
  <si>
    <t>081 700 3400</t>
  </si>
  <si>
    <t>Yamu Hill Villa</t>
  </si>
  <si>
    <t>Zenithy</t>
  </si>
  <si>
    <t>Zenithy Villa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</si>
</sst>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7">
    <numFmt numFmtId="164" formatCode="d-m-yy"/>
    <numFmt numFmtId="165" formatCode="000&quot;-&quot;000&quot;-&quot;0000"/>
    <numFmt numFmtId="166" formatCode="#,##0 &quot;/&quot;"/>
    <numFmt numFmtId="167" formatCode="#,##0 &quot;Task&quot;"/>
    <numFmt numFmtId="168" formatCode="d&quot; &quot;mmm&quot; &quot;yy"/>
    <numFmt numFmtId="169" formatCode="d&quot;-&quot;mmm&quot;-&quot;yyyy"/>
    <numFmt numFmtId="170" formatCode="dd-mm-yyyy"/>
    <numFmt numFmtId="171" formatCode="d/m/yyyy"/>
    <numFmt numFmtId="172" formatCode="d-m-yyyy"/>
    <numFmt numFmtId="173" formatCode="dd-mm-yy"/>
    <numFmt numFmtId="174" formatCode="d mmmm yyyy"/>
    <numFmt numFmtId="175" formatCode="d&quot; &quot;mmm&quot; &quot;yyyy"/>
    <numFmt numFmtId="176" formatCode="dd/mm/yyyy"/>
    <numFmt numFmtId="177" formatCode="dmmm"/>
    <numFmt numFmtId="178" formatCode="mmmd"/>
    <numFmt numFmtId="179" formatCode="d-mmm yyyy"/>
    <numFmt numFmtId="180" formatCode="dd/mm"/>
    <numFmt numFmtId="181" formatCode="d-mmmm-yyyy"/>
    <numFmt numFmtId="182" formatCode="dd/mm/yy"/>
    <numFmt numFmtId="183" formatCode="d mmm yy"/>
    <numFmt numFmtId="184" formatCode="d mmmm yy"/>
    <numFmt numFmtId="185" formatCode="&quot;MA&quot; 0 &quot;Yr.&quot;"/>
    <numFmt numFmtId="186" formatCode="d-mmm-yyyy"/>
    <numFmt numFmtId="187" formatCode="d mmmyy"/>
    <numFmt numFmtId="188" formatCode="d mmm yyyy"/>
    <numFmt numFmtId="189" formatCode="mm-yyyy"/>
    <numFmt numFmtId="190" formatCode="mmm d"/>
  </numFmts>
  <fonts count="136">
    <font>
      <sz val="11.0"/>
      <color theme="1"/>
      <name val="Calibri"/>
      <scheme val="minor"/>
    </font>
    <font>
      <b/>
      <sz val="30.0"/>
      <color theme="1"/>
      <name val="Trebuchet MS"/>
    </font>
    <font>
      <b/>
      <sz val="30.0"/>
      <color rgb="FF000000"/>
      <name val="Trebuchet MS"/>
    </font>
    <font>
      <b/>
      <sz val="25.0"/>
      <color theme="1"/>
      <name val="Trebuchet MS"/>
    </font>
    <font>
      <b/>
      <sz val="30.0"/>
      <color theme="1"/>
      <name val="Calibri"/>
    </font>
    <font>
      <sz val="11.0"/>
      <color theme="1"/>
      <name val="Calibri"/>
    </font>
    <font>
      <b/>
      <sz val="30.0"/>
      <color rgb="FF0000FF"/>
      <name val="Calibri"/>
    </font>
    <font>
      <b/>
      <sz val="25.0"/>
      <color theme="1"/>
      <name val="Calibri"/>
    </font>
    <font/>
    <font>
      <b/>
      <sz val="12.0"/>
      <color theme="1"/>
      <name val="Trebuchet MS"/>
    </font>
    <font>
      <b/>
      <sz val="12.0"/>
      <color rgb="FF000000"/>
      <name val="Trebuchet MS"/>
    </font>
    <font>
      <sz val="12.0"/>
      <color theme="1"/>
      <name val="Calibri"/>
    </font>
    <font>
      <b/>
      <sz val="12.0"/>
      <color theme="1"/>
      <name val="Calibri"/>
      <scheme val="minor"/>
    </font>
    <font>
      <sz val="30.0"/>
      <color rgb="FF38761D"/>
      <name val="Calibri"/>
    </font>
    <font>
      <b/>
      <sz val="12.0"/>
      <color theme="1"/>
      <name val="Calibri"/>
    </font>
    <font>
      <b/>
      <sz val="20.0"/>
      <color theme="1"/>
      <name val="Trebuchet MS"/>
    </font>
    <font>
      <b/>
      <sz val="15.0"/>
      <color theme="1"/>
      <name val="Trebuchet MS"/>
    </font>
    <font>
      <b/>
      <sz val="20.0"/>
      <color theme="1"/>
      <name val="Calibri"/>
    </font>
    <font>
      <b/>
      <sz val="12.0"/>
      <color rgb="FF0000FF"/>
      <name val="Calibri"/>
    </font>
    <font>
      <sz val="12.0"/>
      <color rgb="FF38761D"/>
      <name val="Calibri"/>
    </font>
    <font>
      <sz val="12.0"/>
      <color theme="1"/>
      <name val="Trebuchet MS"/>
    </font>
    <font>
      <sz val="12.0"/>
      <color rgb="FF000000"/>
      <name val="Trebuchet MS"/>
    </font>
    <font>
      <sz val="10.0"/>
      <color theme="1"/>
      <name val="Calibri"/>
    </font>
    <font>
      <sz val="10.0"/>
      <color theme="1"/>
      <name val="Trebuchet MS"/>
    </font>
    <font>
      <sz val="12.0"/>
      <color rgb="FFFF0000"/>
      <name val="Calibri"/>
    </font>
    <font>
      <u/>
      <sz val="12.0"/>
      <color rgb="FF000000"/>
      <name val="Trebuchet MS"/>
    </font>
    <font>
      <b/>
      <sz val="12.0"/>
      <color rgb="FFFF0000"/>
      <name val="Trebuchet MS"/>
    </font>
    <font>
      <b/>
      <sz val="12.0"/>
      <color rgb="FF0000FF"/>
      <name val="Trebuchet MS"/>
    </font>
    <font>
      <sz val="9.0"/>
      <color theme="1"/>
      <name val="Calibri"/>
    </font>
    <font>
      <b/>
      <sz val="12.0"/>
      <color rgb="FFFF0000"/>
      <name val="Calibri"/>
    </font>
    <font>
      <sz val="12.0"/>
      <color rgb="FF000000"/>
      <name val="Calibri"/>
    </font>
    <font>
      <sz val="9.0"/>
      <color rgb="FF333333"/>
      <name val="Trebuchet MS"/>
    </font>
    <font>
      <u/>
      <sz val="10.0"/>
      <color rgb="FF000000"/>
      <name val="Trebuchet MS"/>
    </font>
    <font>
      <u/>
      <sz val="10.0"/>
      <color rgb="FF000000"/>
      <name val="Calibri"/>
    </font>
    <font>
      <u/>
      <sz val="12.0"/>
      <color theme="1"/>
      <name val="Trebuchet MS"/>
    </font>
    <font>
      <sz val="12.0"/>
      <color rgb="FF004B6D"/>
      <name val="Calibri"/>
    </font>
    <font>
      <sz val="9.0"/>
      <color rgb="FF333333"/>
      <name val="Calibri"/>
    </font>
    <font>
      <color theme="1"/>
      <name val="Calibri"/>
      <scheme val="minor"/>
    </font>
    <font>
      <b/>
      <color rgb="FF0000FF"/>
      <name val="Calibri"/>
      <scheme val="minor"/>
    </font>
    <font>
      <b/>
      <color theme="1"/>
      <name val="Calibri"/>
      <scheme val="minor"/>
    </font>
    <font>
      <color rgb="FF38761D"/>
      <name val="Calibri"/>
      <scheme val="minor"/>
    </font>
    <font>
      <b/>
      <color rgb="FFFF0000"/>
      <name val="Calibri"/>
      <scheme val="minor"/>
    </font>
    <font>
      <b/>
      <sz val="12.0"/>
      <color rgb="FFFF00FF"/>
      <name val="Calibri"/>
      <scheme val="minor"/>
    </font>
    <font>
      <b/>
      <sz val="12.0"/>
      <color rgb="FFFF00FF"/>
      <name val="Calibri"/>
    </font>
    <font>
      <b/>
      <sz val="12.0"/>
      <color rgb="FF0000FF"/>
      <name val="Calibri"/>
      <scheme val="minor"/>
    </font>
    <font>
      <sz val="12.0"/>
      <color rgb="FF0000FF"/>
      <name val="Calibri"/>
    </font>
    <font>
      <sz val="10.0"/>
      <color rgb="FF000000"/>
      <name val="Calibri"/>
    </font>
    <font>
      <sz val="9.0"/>
      <color rgb="FF000000"/>
      <name val="Calibri"/>
    </font>
    <font>
      <u/>
      <sz val="12.0"/>
      <color rgb="FF000000"/>
      <name val="Trebuchet MS"/>
    </font>
    <font>
      <u/>
      <color rgb="FF004B6D"/>
      <name val="Roboto"/>
    </font>
    <font>
      <sz val="12.0"/>
      <color rgb="FF1F1F1F"/>
      <name val="&quot;Google Sans&quot;"/>
    </font>
    <font>
      <u/>
      <color rgb="FF004B6D"/>
      <name val="Roboto"/>
    </font>
    <font>
      <sz val="9.0"/>
      <color rgb="FF1F1F1F"/>
      <name val="&quot;Google Sans&quot;"/>
    </font>
    <font>
      <sz val="11.0"/>
      <color rgb="FF333333"/>
      <name val="&quot;Microsoft YaHei&quot;"/>
    </font>
    <font>
      <sz val="9.0"/>
      <color rgb="FF000000"/>
      <name val="Trebuchet MS"/>
    </font>
    <font>
      <sz val="12.0"/>
      <color rgb="FF70AD47"/>
      <name val="Calibri"/>
    </font>
    <font>
      <sz val="12.0"/>
      <color rgb="FF00FFFF"/>
      <name val="Calibri"/>
    </font>
    <font>
      <u/>
      <sz val="10.0"/>
      <color theme="1"/>
      <name val="Trebuchet MS"/>
    </font>
    <font>
      <sz val="9.0"/>
      <color theme="1"/>
      <name val="Trebuchet MS"/>
    </font>
    <font>
      <sz val="12.0"/>
      <color rgb="FF6AA84F"/>
      <name val="Calibri"/>
    </font>
    <font>
      <sz val="9.0"/>
      <color rgb="FFFF0000"/>
      <name val="Trebuchet MS"/>
    </font>
    <font>
      <sz val="12.0"/>
      <color theme="9"/>
      <name val="Calibri"/>
    </font>
    <font>
      <sz val="11.0"/>
      <color rgb="FF6B6B6B"/>
      <name val="&quot;Microsoft YaHei&quot;"/>
    </font>
    <font>
      <sz val="11.0"/>
      <color rgb="FF38761D"/>
      <name val="Calibri"/>
    </font>
    <font>
      <b/>
      <sz val="11.0"/>
      <color rgb="FFFF0000"/>
      <name val="Calibri"/>
    </font>
    <font>
      <b/>
      <sz val="11.0"/>
      <color rgb="FF0000FF"/>
      <name val="Calibri"/>
    </font>
    <font>
      <sz val="9.0"/>
      <color rgb="FFFF0000"/>
      <name val="Calibri"/>
    </font>
    <font>
      <sz val="12.0"/>
      <color rgb="FF333333"/>
      <name val="Trebuchet MS"/>
    </font>
    <font>
      <sz val="12.0"/>
      <color rgb="FF000000"/>
      <name val="&quot;Trebuchet MS&quot;"/>
    </font>
    <font>
      <sz val="9.0"/>
      <color rgb="FF333333"/>
      <name val="&quot;Microsoft YaHei&quot;"/>
    </font>
    <font>
      <sz val="10.0"/>
      <color rgb="FF000000"/>
      <name val="Trebuchet MS"/>
    </font>
    <font>
      <b/>
      <sz val="13.0"/>
      <color rgb="FFFF0000"/>
      <name val="Calibri"/>
    </font>
    <font>
      <sz val="12.0"/>
      <color rgb="FF1F1F1F"/>
      <name val="Calibri"/>
    </font>
    <font>
      <sz val="12.0"/>
      <color rgb="FFFF0000"/>
      <name val="Trebuchet MS"/>
    </font>
    <font>
      <b/>
      <sz val="12.0"/>
      <color rgb="FF1F1F1F"/>
      <name val="&quot;Google Sans&quot;"/>
    </font>
    <font>
      <u/>
      <sz val="12.0"/>
      <color theme="1"/>
      <name val="Trebuchet MS"/>
    </font>
    <font>
      <u/>
      <sz val="9.0"/>
      <color rgb="FF004B6D"/>
      <name val="Calibri"/>
    </font>
    <font>
      <sz val="12.0"/>
      <color rgb="FFFF00FF"/>
      <name val="Calibri"/>
    </font>
    <font>
      <b/>
      <sz val="12.0"/>
      <color rgb="FFFF9900"/>
      <name val="Calibri"/>
    </font>
    <font>
      <u/>
      <sz val="10.0"/>
      <color theme="1"/>
      <name val="Calibri"/>
    </font>
    <font>
      <b/>
      <sz val="12.0"/>
      <color theme="0"/>
      <name val="Trebuchet MS"/>
    </font>
    <font>
      <sz val="9.0"/>
      <color rgb="FF6B6B6B"/>
      <name val="Calibri"/>
    </font>
    <font>
      <b/>
      <sz val="12.0"/>
      <color theme="0"/>
      <name val="Calibri"/>
    </font>
    <font>
      <sz val="12.0"/>
      <color rgb="FF333333"/>
      <name val="&quot;Microsoft YaHei&quot;"/>
    </font>
    <font>
      <strike/>
      <sz val="12.0"/>
      <color rgb="FFFF0000"/>
      <name val="Calibri"/>
    </font>
    <font>
      <sz val="14.0"/>
      <color theme="1"/>
      <name val="Calibri"/>
    </font>
    <font>
      <b/>
      <sz val="12.0"/>
      <color theme="9"/>
      <name val="Calibri"/>
    </font>
    <font>
      <sz val="12.0"/>
      <color rgb="FF9900FF"/>
      <name val="Calibri"/>
    </font>
    <font>
      <sz val="12.0"/>
      <color rgb="FFFF9900"/>
      <name val="Calibri"/>
    </font>
    <font>
      <b/>
      <sz val="12.0"/>
      <color rgb="FFFFFFFF"/>
      <name val="Trebuchet MS"/>
    </font>
    <font>
      <sz val="12.0"/>
      <color rgb="FF1F1F1F"/>
      <name val="Trebuchet MS"/>
    </font>
    <font>
      <sz val="13.0"/>
      <color rgb="FFFF9900"/>
      <name val="Calibri"/>
    </font>
    <font>
      <b/>
      <sz val="12.0"/>
      <color rgb="FF1F1F1F"/>
      <name val="Calibri"/>
    </font>
    <font>
      <b/>
      <sz val="12.0"/>
      <color rgb="FFFF0000"/>
      <name val="Calibri"/>
      <scheme val="minor"/>
    </font>
    <font>
      <color rgb="FF000000"/>
      <name val="Calibri"/>
      <scheme val="minor"/>
    </font>
    <font>
      <sz val="12.0"/>
      <color rgb="FF00FF00"/>
      <name val="Calibri"/>
    </font>
    <font>
      <sz val="11.0"/>
      <color rgb="FF333333"/>
      <name val="Calibri"/>
    </font>
    <font>
      <b/>
      <sz val="12.0"/>
      <color rgb="FFFF0000"/>
      <name val="&quot;Trebuchet MS&quot;"/>
    </font>
    <font>
      <b/>
      <sz val="12.0"/>
      <color rgb="FF0000FF"/>
      <name val="&quot;Trebuchet MS&quot;"/>
    </font>
    <font>
      <u/>
      <sz val="10.0"/>
      <color theme="1"/>
      <name val="Trebuchet MS"/>
    </font>
    <font>
      <sz val="12.0"/>
      <color rgb="FF1F1F1F"/>
      <name val="Calibri"/>
      <scheme val="minor"/>
    </font>
    <font>
      <b/>
      <sz val="9.0"/>
      <color rgb="FF0000FF"/>
      <name val="&quot;Google Sans&quot;"/>
    </font>
    <font>
      <b/>
      <sz val="20.0"/>
      <color theme="1"/>
      <name val="Calibri"/>
      <scheme val="minor"/>
    </font>
    <font>
      <sz val="14.0"/>
      <color rgb="FF000000"/>
      <name val="Calibri"/>
    </font>
    <font>
      <sz val="9.0"/>
      <color rgb="FF1F1F1F"/>
      <name val="Calibri"/>
    </font>
    <font>
      <sz val="12.0"/>
      <color rgb="FF333333"/>
      <name val="Calibri"/>
    </font>
    <font>
      <u/>
      <sz val="9.0"/>
      <color theme="1"/>
      <name val="Calibri"/>
    </font>
    <font>
      <b/>
      <sz val="12.0"/>
      <color rgb="FFFFFFFF"/>
      <name val="Calibri"/>
    </font>
    <font>
      <sz val="11.0"/>
      <color rgb="FFFF00FF"/>
      <name val="Calibri"/>
    </font>
    <font>
      <sz val="9.0"/>
      <color rgb="FF000000"/>
      <name val="&quot;Google Sans Mono&quot;"/>
    </font>
    <font>
      <u/>
      <sz val="10.0"/>
      <color theme="1"/>
      <name val="Calibri"/>
    </font>
    <font>
      <u/>
      <sz val="10.0"/>
      <color rgb="FF000000"/>
      <name val="Trebuchet MS"/>
    </font>
    <font>
      <b/>
      <sz val="16.0"/>
      <color theme="1"/>
      <name val="Trebuchet MS"/>
    </font>
    <font>
      <sz val="15.0"/>
      <color theme="1"/>
      <name val="Trebuchet MS"/>
    </font>
    <font>
      <sz val="20.0"/>
      <color theme="1"/>
      <name val="Trebuchet MS"/>
    </font>
    <font>
      <strike/>
      <sz val="12.0"/>
      <color rgb="FF000000"/>
      <name val="Calibri"/>
    </font>
    <font>
      <sz val="10.0"/>
      <color rgb="FFFF0000"/>
      <name val="Trebuchet MS"/>
    </font>
    <font>
      <sz val="12.0"/>
      <color rgb="FF1F1F1F"/>
      <name val="Arial"/>
    </font>
    <font>
      <b/>
      <sz val="11.0"/>
      <color theme="1"/>
      <name val="Trebuchet MS"/>
    </font>
    <font>
      <b/>
      <sz val="13.0"/>
      <color theme="1"/>
      <name val="Trebuchet MS"/>
    </font>
    <font>
      <sz val="12.0"/>
      <color rgb="FF000000"/>
      <name val="&quot;Google Sans&quot;"/>
    </font>
    <font>
      <b/>
      <sz val="12.0"/>
      <color rgb="FFFF0000"/>
      <name val="&quot;Google Sans&quot;"/>
    </font>
    <font>
      <b/>
      <sz val="12.0"/>
      <color rgb="FF0000FF"/>
      <name val="&quot;Google Sans&quot;"/>
    </font>
    <font>
      <color theme="1"/>
      <name val="Calibri"/>
    </font>
    <font>
      <sz val="11.0"/>
      <color rgb="FF000000"/>
      <name val="Calibri"/>
    </font>
    <font>
      <b/>
      <sz val="9.0"/>
      <color rgb="FF0000FF"/>
      <name val="Calibri"/>
    </font>
    <font>
      <u/>
      <sz val="10.0"/>
      <color theme="1"/>
      <name val="Calibri"/>
    </font>
    <font>
      <b/>
      <sz val="17.0"/>
      <color theme="1"/>
      <name val="Trebuchet MS"/>
    </font>
    <font>
      <b/>
      <color rgb="FF0000FF"/>
      <name val="Calibri"/>
    </font>
    <font>
      <sz val="17.0"/>
      <color theme="1"/>
      <name val="Trebuchet MS"/>
    </font>
    <font>
      <u/>
      <sz val="10.0"/>
      <color rgb="FF000000"/>
      <name val="Trebuchet MS"/>
    </font>
    <font>
      <b/>
      <sz val="12.0"/>
      <color rgb="FF000000"/>
      <name val="Calibri"/>
    </font>
    <font>
      <strike/>
      <sz val="12.0"/>
      <color theme="1"/>
      <name val="Calibri"/>
    </font>
    <font>
      <u/>
      <sz val="10.0"/>
      <color rgb="FF000000"/>
      <name val="Calibri"/>
    </font>
    <font>
      <sz val="10.0"/>
      <color rgb="FFFF0000"/>
      <name val="Calibri"/>
    </font>
    <font>
      <b/>
      <sz val="20.0"/>
      <color rgb="FFFF0000"/>
      <name val="Calibri"/>
    </font>
  </fonts>
  <fills count="3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1C232"/>
        <bgColor rgb="FFF1C232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3D85C6"/>
        <bgColor rgb="FF3D85C6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theme="9"/>
        <bgColor theme="9"/>
      </patternFill>
    </fill>
  </fills>
  <borders count="5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2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2" fillId="0" fontId="6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2" fillId="0" fontId="8" numFmtId="0" xfId="0" applyBorder="1" applyFont="1"/>
    <xf borderId="4" fillId="0" fontId="5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horizontal="center" readingOrder="0" shrinkToFit="0" vertical="center" wrapText="1"/>
    </xf>
    <xf borderId="4" fillId="0" fontId="5" numFmtId="0" xfId="0" applyBorder="1" applyFont="1"/>
    <xf borderId="6" fillId="0" fontId="10" numFmtId="0" xfId="0" applyAlignment="1" applyBorder="1" applyFont="1">
      <alignment horizontal="center" readingOrder="0" shrinkToFit="0" vertical="center" wrapText="1"/>
    </xf>
    <xf borderId="3" fillId="0" fontId="8" numFmtId="0" xfId="0" applyBorder="1" applyFont="1"/>
    <xf borderId="3" fillId="0" fontId="4" numFmtId="0" xfId="0" applyAlignment="1" applyBorder="1" applyFont="1">
      <alignment horizontal="center" readingOrder="0" shrinkToFit="0" vertical="center" wrapText="1"/>
    </xf>
    <xf borderId="6" fillId="3" fontId="9" numFmtId="0" xfId="0" applyAlignment="1" applyBorder="1" applyFill="1" applyFont="1">
      <alignment horizontal="center" readingOrder="0" shrinkToFit="0" vertical="center" wrapText="1"/>
    </xf>
    <xf borderId="5" fillId="2" fontId="9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6" fillId="2" fontId="9" numFmtId="0" xfId="0" applyAlignment="1" applyBorder="1" applyFill="1" applyFont="1">
      <alignment horizontal="center" readingOrder="0" shrinkToFit="0" vertical="center" wrapText="1"/>
    </xf>
    <xf borderId="6" fillId="3" fontId="9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7" fillId="3" fontId="9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8" fillId="4" fontId="9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 readingOrder="0" shrinkToFit="0" vertical="center" wrapText="1"/>
    </xf>
    <xf borderId="0" fillId="6" fontId="12" numFmtId="0" xfId="0" applyAlignment="1" applyFill="1" applyFont="1">
      <alignment horizontal="center" readingOrder="0" shrinkToFit="0" wrapText="1"/>
    </xf>
    <xf borderId="0" fillId="0" fontId="13" numFmtId="0" xfId="0" applyAlignment="1" applyFont="1">
      <alignment horizontal="center" readingOrder="0" shrinkToFit="0" vertical="center" wrapText="1"/>
    </xf>
    <xf borderId="5" fillId="3" fontId="14" numFmtId="0" xfId="0" applyAlignment="1" applyBorder="1" applyFill="1" applyFont="1">
      <alignment horizontal="center" readingOrder="0" shrinkToFit="0" vertical="center" wrapText="1"/>
    </xf>
    <xf borderId="1" fillId="3" fontId="15" numFmtId="0" xfId="0" applyAlignment="1" applyBorder="1" applyFill="1" applyFont="1">
      <alignment horizontal="center" readingOrder="0" shrinkToFit="0" vertical="center" wrapText="1"/>
    </xf>
    <xf borderId="6" fillId="3" fontId="14" numFmtId="0" xfId="0" applyAlignment="1" applyBorder="1" applyFill="1" applyFont="1">
      <alignment horizontal="center" readingOrder="0" shrinkToFit="0" vertical="center" wrapText="1"/>
    </xf>
    <xf borderId="9" fillId="3" fontId="15" numFmtId="0" xfId="0" applyAlignment="1" applyBorder="1" applyFill="1" applyFont="1">
      <alignment horizontal="center" readingOrder="0" shrinkToFit="0" vertical="center" wrapText="1"/>
    </xf>
    <xf borderId="1" fillId="3" fontId="14" numFmtId="0" xfId="0" applyAlignment="1" applyBorder="1" applyFill="1" applyFont="1">
      <alignment horizontal="center" readingOrder="0" shrinkToFit="0" vertical="center" wrapText="1"/>
    </xf>
    <xf borderId="10" fillId="0" fontId="8" numFmtId="0" xfId="0" applyBorder="1" applyFont="1"/>
    <xf borderId="2" fillId="3" fontId="16" numFmtId="0" xfId="0" applyAlignment="1" applyBorder="1" applyFill="1" applyFont="1">
      <alignment horizontal="center" readingOrder="0" shrinkToFit="0" vertical="center" wrapText="1"/>
    </xf>
    <xf borderId="1" fillId="3" fontId="17" numFmtId="0" xfId="0" applyAlignment="1" applyBorder="1" applyFill="1" applyFont="1">
      <alignment horizontal="center" readingOrder="0" shrinkToFit="0" vertical="center" wrapText="1"/>
    </xf>
    <xf borderId="3" fillId="3" fontId="15" numFmtId="0" xfId="0" applyAlignment="1" applyBorder="1" applyFill="1" applyFont="1">
      <alignment horizontal="center" readingOrder="0" shrinkToFit="0" vertical="center" wrapText="1"/>
    </xf>
    <xf borderId="6" fillId="7" fontId="14" numFmtId="0" xfId="0" applyAlignment="1" applyBorder="1" applyFill="1" applyFont="1">
      <alignment horizontal="center" readingOrder="0" shrinkToFit="0" vertical="center" wrapText="1"/>
    </xf>
    <xf borderId="6" fillId="8" fontId="14" numFmtId="0" xfId="0" applyAlignment="1" applyBorder="1" applyFill="1" applyFont="1">
      <alignment horizontal="center" readingOrder="0" shrinkToFit="0" vertical="center" wrapText="1"/>
    </xf>
    <xf borderId="6" fillId="9" fontId="18" numFmtId="0" xfId="0" applyAlignment="1" applyBorder="1" applyFill="1" applyFont="1">
      <alignment horizontal="center" readingOrder="0" shrinkToFit="0" vertical="center" wrapText="1"/>
    </xf>
    <xf borderId="6" fillId="3" fontId="14" numFmtId="0" xfId="0" applyAlignment="1" applyBorder="1" applyFill="1" applyFont="1">
      <alignment horizontal="left" readingOrder="0" shrinkToFit="0" vertical="center" wrapText="1"/>
    </xf>
    <xf borderId="7" fillId="3" fontId="14" numFmtId="0" xfId="0" applyAlignment="1" applyBorder="1" applyFill="1" applyFont="1">
      <alignment horizontal="left" readingOrder="0" shrinkToFit="0" vertical="center" wrapText="1"/>
    </xf>
    <xf borderId="9" fillId="3" fontId="17" numFmtId="0" xfId="0" applyAlignment="1" applyBorder="1" applyFill="1" applyFont="1">
      <alignment horizontal="center" readingOrder="0" shrinkToFit="0" vertical="center" wrapText="1"/>
    </xf>
    <xf borderId="7" fillId="3" fontId="14" numFmtId="0" xfId="0" applyAlignment="1" applyBorder="1" applyFill="1" applyFont="1">
      <alignment horizontal="center" readingOrder="0" shrinkToFit="0" vertical="center" wrapText="1"/>
    </xf>
    <xf borderId="8" fillId="9" fontId="11" numFmtId="0" xfId="0" applyAlignment="1" applyBorder="1" applyFill="1" applyFont="1">
      <alignment horizontal="center" readingOrder="0" shrinkToFit="0" vertical="center" wrapText="1"/>
    </xf>
    <xf borderId="8" fillId="4" fontId="19" numFmtId="0" xfId="0" applyAlignment="1" applyBorder="1" applyFill="1" applyFont="1">
      <alignment horizontal="center" readingOrder="0" shrinkToFit="0" vertical="center" wrapText="1"/>
    </xf>
    <xf borderId="0" fillId="5" fontId="14" numFmtId="0" xfId="0" applyAlignment="1" applyFill="1" applyFont="1">
      <alignment horizontal="center" readingOrder="0" shrinkToFit="0" vertical="center" wrapText="1"/>
    </xf>
    <xf borderId="0" fillId="6" fontId="14" numFmtId="0" xfId="0" applyAlignment="1" applyFill="1" applyFont="1">
      <alignment horizontal="center" readingOrder="0" shrinkToFit="0" wrapText="1"/>
    </xf>
    <xf borderId="11" fillId="0" fontId="11" numFmtId="0" xfId="0" applyAlignment="1" applyBorder="1" applyFont="1">
      <alignment horizontal="center" readingOrder="0" shrinkToFit="0" vertical="center" wrapText="1"/>
    </xf>
    <xf borderId="11" fillId="2" fontId="20" numFmtId="0" xfId="0" applyAlignment="1" applyBorder="1" applyFill="1" applyFont="1">
      <alignment horizontal="center" shrinkToFit="0" vertical="center" wrapText="1"/>
    </xf>
    <xf borderId="11" fillId="0" fontId="20" numFmtId="0" xfId="0" applyAlignment="1" applyBorder="1" applyFont="1">
      <alignment horizontal="center" readingOrder="0" shrinkToFit="0" vertical="center" wrapText="1"/>
    </xf>
    <xf borderId="12" fillId="2" fontId="21" numFmtId="0" xfId="0" applyAlignment="1" applyBorder="1" applyFill="1" applyFont="1">
      <alignment horizontal="left" readingOrder="0" shrinkToFit="0" vertical="center" wrapText="1"/>
    </xf>
    <xf borderId="12" fillId="0" fontId="11" numFmtId="0" xfId="0" applyAlignment="1" applyBorder="1" applyFont="1">
      <alignment horizontal="left" readingOrder="0" shrinkToFit="0" vertical="center" wrapText="1"/>
    </xf>
    <xf borderId="12" fillId="0" fontId="21" numFmtId="0" xfId="0" applyAlignment="1" applyBorder="1" applyFont="1">
      <alignment horizontal="left" readingOrder="0" shrinkToFit="0" vertical="center" wrapText="1"/>
    </xf>
    <xf borderId="12" fillId="0" fontId="20" numFmtId="0" xfId="0" applyAlignment="1" applyBorder="1" applyFont="1">
      <alignment horizontal="center" readingOrder="0" shrinkToFit="0" vertical="center" wrapText="1"/>
    </xf>
    <xf borderId="12" fillId="0" fontId="22" numFmtId="164" xfId="0" applyAlignment="1" applyBorder="1" applyFont="1" applyNumberFormat="1">
      <alignment horizontal="center" readingOrder="0" shrinkToFit="0" vertical="center" wrapText="1"/>
    </xf>
    <xf borderId="12" fillId="0" fontId="23" numFmtId="0" xfId="0" applyAlignment="1" applyBorder="1" applyFont="1">
      <alignment horizontal="center" readingOrder="0" shrinkToFit="0" vertical="center" wrapText="1"/>
    </xf>
    <xf borderId="12" fillId="0" fontId="22" numFmtId="0" xfId="0" applyAlignment="1" applyBorder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readingOrder="0" shrinkToFit="0" vertical="center" wrapText="1"/>
    </xf>
    <xf borderId="14" fillId="0" fontId="22" numFmtId="0" xfId="0" applyAlignment="1" applyBorder="1" applyFont="1">
      <alignment horizontal="center" readingOrder="0" shrinkToFit="0" vertical="center" wrapText="1"/>
    </xf>
    <xf borderId="12" fillId="0" fontId="20" numFmtId="0" xfId="0" applyAlignment="1" applyBorder="1" applyFont="1">
      <alignment horizontal="left" readingOrder="0" shrinkToFit="0" vertical="center" wrapText="1"/>
    </xf>
    <xf borderId="15" fillId="0" fontId="20" numFmtId="165" xfId="0" applyAlignment="1" applyBorder="1" applyFont="1" applyNumberFormat="1">
      <alignment horizontal="left" readingOrder="0" shrinkToFit="0" vertical="center" wrapText="1"/>
    </xf>
    <xf borderId="12" fillId="0" fontId="24" numFmtId="0" xfId="0" applyAlignment="1" applyBorder="1" applyFont="1">
      <alignment horizontal="left" readingOrder="0" shrinkToFit="0" vertical="center" wrapText="1"/>
    </xf>
    <xf borderId="11" fillId="0" fontId="11" numFmtId="166" xfId="0" applyAlignment="1" applyBorder="1" applyFont="1" applyNumberFormat="1">
      <alignment horizontal="right" readingOrder="0" shrinkToFit="0" vertical="center" wrapText="1"/>
    </xf>
    <xf borderId="16" fillId="0" fontId="20" numFmtId="166" xfId="0" applyAlignment="1" applyBorder="1" applyFont="1" applyNumberFormat="1">
      <alignment horizontal="left" readingOrder="0" shrinkToFit="0" vertical="center" wrapText="1"/>
    </xf>
    <xf borderId="17" fillId="0" fontId="11" numFmtId="167" xfId="0" applyAlignment="1" applyBorder="1" applyFont="1" applyNumberFormat="1">
      <alignment horizontal="left" readingOrder="0" shrinkToFit="0" vertical="center" wrapText="1"/>
    </xf>
    <xf borderId="12" fillId="0" fontId="25" numFmtId="0" xfId="0" applyAlignment="1" applyBorder="1" applyFont="1">
      <alignment horizontal="center" readingOrder="0" shrinkToFit="0" vertical="center" wrapText="1"/>
    </xf>
    <xf borderId="18" fillId="0" fontId="20" numFmtId="166" xfId="0" applyAlignment="1" applyBorder="1" applyFont="1" applyNumberFormat="1">
      <alignment horizontal="left" readingOrder="0" shrinkToFit="0" vertical="center" wrapText="1"/>
    </xf>
    <xf borderId="19" fillId="0" fontId="11" numFmtId="168" xfId="0" applyAlignment="1" applyBorder="1" applyFont="1" applyNumberFormat="1">
      <alignment horizontal="right" readingOrder="0" shrinkToFit="0" vertical="center" wrapText="1"/>
    </xf>
    <xf borderId="12" fillId="0" fontId="11" numFmtId="0" xfId="0" applyAlignment="1" applyBorder="1" applyFont="1">
      <alignment horizontal="center" readingOrder="0" shrinkToFit="0" vertical="center" wrapText="1"/>
    </xf>
    <xf borderId="12" fillId="0" fontId="20" numFmtId="169" xfId="0" applyAlignment="1" applyBorder="1" applyFont="1" applyNumberFormat="1">
      <alignment horizontal="center" readingOrder="0" shrinkToFit="0" vertical="center" wrapText="1"/>
    </xf>
    <xf borderId="12" fillId="0" fontId="26" numFmtId="169" xfId="0" applyAlignment="1" applyBorder="1" applyFont="1" applyNumberFormat="1">
      <alignment horizontal="center" readingOrder="0" shrinkToFit="0" vertical="center" wrapText="1"/>
    </xf>
    <xf borderId="13" fillId="0" fontId="11" numFmtId="0" xfId="0" applyAlignment="1" applyBorder="1" applyFont="1">
      <alignment horizontal="center" readingOrder="0" shrinkToFit="0" wrapText="1"/>
    </xf>
    <xf borderId="15" fillId="0" fontId="11" numFmtId="0" xfId="0" applyAlignment="1" applyBorder="1" applyFont="1">
      <alignment horizontal="center" readingOrder="0" shrinkToFit="0" vertical="center" wrapText="1"/>
    </xf>
    <xf borderId="16" fillId="0" fontId="27" numFmtId="169" xfId="0" applyAlignment="1" applyBorder="1" applyFont="1" applyNumberFormat="1">
      <alignment horizontal="center" readingOrder="0" shrinkToFit="0" vertical="center" wrapText="1"/>
    </xf>
    <xf borderId="12" fillId="0" fontId="11" numFmtId="169" xfId="0" applyAlignment="1" applyBorder="1" applyFont="1" applyNumberFormat="1">
      <alignment horizontal="left" readingOrder="0" shrinkToFit="0" vertical="center" wrapText="1"/>
    </xf>
    <xf borderId="20" fillId="0" fontId="27" numFmtId="169" xfId="0" applyAlignment="1" applyBorder="1" applyFont="1" applyNumberFormat="1">
      <alignment horizontal="center" readingOrder="0" shrinkToFit="0" vertical="center" wrapText="1"/>
    </xf>
    <xf borderId="21" fillId="0" fontId="11" numFmtId="168" xfId="0" applyAlignment="1" applyBorder="1" applyFont="1" applyNumberFormat="1">
      <alignment horizontal="right" readingOrder="0" shrinkToFit="0" vertical="center" wrapText="1"/>
    </xf>
    <xf borderId="22" fillId="0" fontId="20" numFmtId="166" xfId="0" applyAlignment="1" applyBorder="1" applyFont="1" applyNumberFormat="1">
      <alignment horizontal="right" readingOrder="0" shrinkToFit="0" vertical="center" wrapText="1"/>
    </xf>
    <xf borderId="12" fillId="0" fontId="18" numFmtId="169" xfId="0" applyAlignment="1" applyBorder="1" applyFont="1" applyNumberFormat="1">
      <alignment horizontal="left" readingOrder="0" shrinkToFit="0" vertical="center" wrapText="1"/>
    </xf>
    <xf borderId="17" fillId="0" fontId="20" numFmtId="167" xfId="0" applyAlignment="1" applyBorder="1" applyFont="1" applyNumberFormat="1">
      <alignment horizontal="left" readingOrder="0" shrinkToFit="0" vertical="center" wrapText="1"/>
    </xf>
    <xf borderId="15" fillId="0" fontId="11" numFmtId="165" xfId="0" applyAlignment="1" applyBorder="1" applyFont="1" applyNumberFormat="1">
      <alignment horizontal="left" readingOrder="0" shrinkToFit="0" vertical="center" wrapText="1"/>
    </xf>
    <xf borderId="19" fillId="0" fontId="20" numFmtId="168" xfId="0" applyAlignment="1" applyBorder="1" applyFont="1" applyNumberFormat="1">
      <alignment horizontal="right" readingOrder="0" shrinkToFit="0" vertical="center" wrapText="1"/>
    </xf>
    <xf borderId="21" fillId="2" fontId="11" numFmtId="168" xfId="0" applyAlignment="1" applyBorder="1" applyFill="1" applyFont="1" applyNumberFormat="1">
      <alignment horizontal="right" readingOrder="0" shrinkToFit="0" vertical="center" wrapText="1"/>
    </xf>
    <xf borderId="16" fillId="0" fontId="28" numFmtId="166" xfId="0" applyAlignment="1" applyBorder="1" applyFont="1" applyNumberFormat="1">
      <alignment horizontal="left" readingOrder="0" shrinkToFit="0" vertical="center" wrapText="1"/>
    </xf>
    <xf borderId="18" fillId="0" fontId="11" numFmtId="166" xfId="0" applyAlignment="1" applyBorder="1" applyFont="1" applyNumberFormat="1">
      <alignment horizontal="left" readingOrder="0" shrinkToFit="0" vertical="center" wrapText="1"/>
    </xf>
    <xf borderId="19" fillId="2" fontId="11" numFmtId="168" xfId="0" applyAlignment="1" applyBorder="1" applyFill="1" applyFont="1" applyNumberFormat="1">
      <alignment horizontal="right" readingOrder="0" shrinkToFit="0" vertical="center" wrapText="1"/>
    </xf>
    <xf borderId="20" fillId="0" fontId="14" numFmtId="169" xfId="0" applyAlignment="1" applyBorder="1" applyFont="1" applyNumberFormat="1">
      <alignment horizontal="center" readingOrder="0" shrinkToFit="0" vertical="center" wrapText="1"/>
    </xf>
    <xf borderId="15" fillId="0" fontId="20" numFmtId="0" xfId="0" applyAlignment="1" applyBorder="1" applyFont="1">
      <alignment horizontal="center" readingOrder="0" shrinkToFit="0" vertical="center" wrapText="1"/>
    </xf>
    <xf borderId="13" fillId="0" fontId="20" numFmtId="170" xfId="0" applyAlignment="1" applyBorder="1" applyFont="1" applyNumberFormat="1">
      <alignment horizontal="center" readingOrder="0" shrinkToFit="0" vertical="center" wrapText="1"/>
    </xf>
    <xf borderId="12" fillId="0" fontId="19" numFmtId="169" xfId="0" applyAlignment="1" applyBorder="1" applyFont="1" applyNumberFormat="1">
      <alignment horizontal="center" readingOrder="0" shrinkToFit="0" vertical="center" wrapText="1"/>
    </xf>
    <xf borderId="21" fillId="0" fontId="20" numFmtId="168" xfId="0" applyAlignment="1" applyBorder="1" applyFont="1" applyNumberFormat="1">
      <alignment horizontal="right" readingOrder="0" shrinkToFit="0" vertical="center" wrapText="1"/>
    </xf>
    <xf borderId="12" fillId="0" fontId="29" numFmtId="169" xfId="0" applyAlignment="1" applyBorder="1" applyFont="1" applyNumberFormat="1">
      <alignment horizontal="center" readingOrder="0" shrinkToFit="0" vertical="center" wrapText="1"/>
    </xf>
    <xf borderId="14" fillId="0" fontId="20" numFmtId="0" xfId="0" applyAlignment="1" applyBorder="1" applyFont="1">
      <alignment horizontal="center" readingOrder="0" shrinkToFit="0" vertical="center" wrapText="1"/>
    </xf>
    <xf borderId="16" fillId="0" fontId="18" numFmtId="169" xfId="0" applyAlignment="1" applyBorder="1" applyFont="1" applyNumberFormat="1">
      <alignment horizontal="center" readingOrder="0" shrinkToFit="0" vertical="center" wrapText="1"/>
    </xf>
    <xf borderId="20" fillId="0" fontId="18" numFmtId="169" xfId="0" applyAlignment="1" applyBorder="1" applyFont="1" applyNumberFormat="1">
      <alignment horizontal="center" readingOrder="0" shrinkToFit="0" vertical="center" wrapText="1"/>
    </xf>
    <xf borderId="13" fillId="0" fontId="20" numFmtId="0" xfId="0" applyAlignment="1" applyBorder="1" applyFont="1">
      <alignment horizontal="center" readingOrder="0" shrinkToFit="0" vertical="center" wrapText="1"/>
    </xf>
    <xf borderId="21" fillId="2" fontId="20" numFmtId="168" xfId="0" applyAlignment="1" applyBorder="1" applyFill="1" applyFont="1" applyNumberFormat="1">
      <alignment horizontal="right" readingOrder="0" shrinkToFit="0" vertical="center" wrapText="1"/>
    </xf>
    <xf borderId="23" fillId="0" fontId="11" numFmtId="0" xfId="0" applyAlignment="1" applyBorder="1" applyFont="1">
      <alignment horizontal="left" readingOrder="0" shrinkToFit="0" vertical="center" wrapText="1"/>
    </xf>
    <xf borderId="14" fillId="2" fontId="20" numFmtId="168" xfId="0" applyAlignment="1" applyBorder="1" applyFill="1" applyFont="1" applyNumberFormat="1">
      <alignment horizontal="right" readingOrder="0" shrinkToFit="0" vertical="center" wrapText="1"/>
    </xf>
    <xf borderId="0" fillId="0" fontId="11" numFmtId="171" xfId="0" applyAlignment="1" applyFont="1" applyNumberFormat="1">
      <alignment horizontal="left" shrinkToFit="0" vertical="center" wrapText="1"/>
    </xf>
    <xf borderId="24" fillId="0" fontId="20" numFmtId="170" xfId="0" applyAlignment="1" applyBorder="1" applyFont="1" applyNumberFormat="1">
      <alignment horizontal="center" shrinkToFit="0" vertical="center" wrapText="1"/>
    </xf>
    <xf borderId="19" fillId="2" fontId="20" numFmtId="168" xfId="0" applyAlignment="1" applyBorder="1" applyFill="1" applyFont="1" applyNumberFormat="1">
      <alignment horizontal="right" readingOrder="0" shrinkToFit="0" vertical="center" wrapText="1"/>
    </xf>
    <xf borderId="12" fillId="0" fontId="30" numFmtId="0" xfId="0" applyAlignment="1" applyBorder="1" applyFont="1">
      <alignment horizontal="left" readingOrder="0" shrinkToFit="0" vertical="center" wrapText="1"/>
    </xf>
    <xf borderId="19" fillId="0" fontId="11" numFmtId="168" xfId="0" applyAlignment="1" applyBorder="1" applyFont="1" applyNumberFormat="1">
      <alignment horizontal="center" readingOrder="0" shrinkToFit="0" vertical="center" wrapText="1"/>
    </xf>
    <xf borderId="21" fillId="0" fontId="11" numFmtId="168" xfId="0" applyAlignment="1" applyBorder="1" applyFont="1" applyNumberFormat="1">
      <alignment horizontal="center" readingOrder="0" shrinkToFit="0" vertical="center" wrapText="1"/>
    </xf>
    <xf borderId="23" fillId="0" fontId="20" numFmtId="0" xfId="0" applyAlignment="1" applyBorder="1" applyFont="1">
      <alignment horizontal="left" readingOrder="0" shrinkToFit="0" vertical="center" wrapText="1"/>
    </xf>
    <xf borderId="24" fillId="0" fontId="20" numFmtId="170" xfId="0" applyAlignment="1" applyBorder="1" applyFont="1" applyNumberFormat="1">
      <alignment horizontal="center" shrinkToFit="0" wrapText="1"/>
    </xf>
    <xf borderId="0" fillId="0" fontId="20" numFmtId="171" xfId="0" applyAlignment="1" applyFont="1" applyNumberFormat="1">
      <alignment horizontal="left" shrinkToFit="0" vertical="center" wrapText="1"/>
    </xf>
    <xf borderId="21" fillId="2" fontId="11" numFmtId="168" xfId="0" applyAlignment="1" applyBorder="1" applyFill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19" fillId="2" fontId="11" numFmtId="168" xfId="0" applyAlignment="1" applyBorder="1" applyFill="1" applyFont="1" applyNumberFormat="1">
      <alignment horizontal="center" readingOrder="0" shrinkToFit="0" vertical="center" wrapText="1"/>
    </xf>
    <xf borderId="12" fillId="10" fontId="23" numFmtId="0" xfId="0" applyAlignment="1" applyBorder="1" applyFill="1" applyFont="1">
      <alignment horizontal="center" readingOrder="0" shrinkToFit="0" vertical="center" wrapText="1"/>
    </xf>
    <xf borderId="0" fillId="2" fontId="31" numFmtId="0" xfId="0" applyAlignment="1" applyFill="1" applyFont="1">
      <alignment readingOrder="0" vertical="center"/>
    </xf>
    <xf borderId="12" fillId="0" fontId="32" numFmtId="0" xfId="0" applyAlignment="1" applyBorder="1" applyFont="1">
      <alignment horizontal="center" readingOrder="0" shrinkToFit="0" vertical="center" wrapText="1"/>
    </xf>
    <xf borderId="12" fillId="2" fontId="20" numFmtId="0" xfId="0" applyAlignment="1" applyBorder="1" applyFill="1" applyFont="1">
      <alignment horizontal="left" readingOrder="0" shrinkToFit="0" vertical="center" wrapText="1"/>
    </xf>
    <xf borderId="12" fillId="0" fontId="33" numFmtId="0" xfId="0" applyAlignment="1" applyBorder="1" applyFont="1">
      <alignment horizontal="center" readingOrder="0" shrinkToFit="0" vertical="center" wrapText="1"/>
    </xf>
    <xf borderId="12" fillId="10" fontId="22" numFmtId="0" xfId="0" applyAlignment="1" applyBorder="1" applyFill="1" applyFont="1">
      <alignment horizontal="center" readingOrder="0" shrinkToFit="0" vertical="center" wrapText="1"/>
    </xf>
    <xf borderId="20" fillId="9" fontId="20" numFmtId="0" xfId="0" applyAlignment="1" applyBorder="1" applyFill="1" applyFont="1">
      <alignment horizontal="center" readingOrder="0" shrinkToFit="0" vertical="center" wrapText="1"/>
    </xf>
    <xf borderId="25" fillId="0" fontId="22" numFmtId="0" xfId="0" applyAlignment="1" applyBorder="1" applyFont="1">
      <alignment horizontal="center" readingOrder="0" shrinkToFit="0" vertical="center" wrapText="1"/>
    </xf>
    <xf borderId="15" fillId="0" fontId="20" numFmtId="170" xfId="0" applyAlignment="1" applyBorder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12" fillId="0" fontId="34" numFmtId="0" xfId="0" applyAlignment="1" applyBorder="1" applyFont="1">
      <alignment horizontal="center" readingOrder="0" shrinkToFit="0" vertical="center" wrapText="1"/>
    </xf>
    <xf borderId="25" fillId="0" fontId="22" numFmtId="164" xfId="0" applyAlignment="1" applyBorder="1" applyFont="1" applyNumberFormat="1">
      <alignment horizontal="center" readingOrder="0" shrinkToFit="0" vertical="center" wrapText="1"/>
    </xf>
    <xf borderId="12" fillId="11" fontId="23" numFmtId="0" xfId="0" applyAlignment="1" applyBorder="1" applyFill="1" applyFont="1">
      <alignment horizontal="center" readingOrder="0" shrinkToFit="0" vertical="center" wrapText="1"/>
    </xf>
    <xf borderId="20" fillId="9" fontId="11" numFmtId="0" xfId="0" applyAlignment="1" applyBorder="1" applyFill="1" applyFont="1">
      <alignment horizontal="center" readingOrder="0" shrinkToFit="0" vertical="center" wrapText="1"/>
    </xf>
    <xf borderId="15" fillId="0" fontId="11" numFmtId="170" xfId="0" applyAlignment="1" applyBorder="1" applyFont="1" applyNumberFormat="1">
      <alignment horizontal="center" readingOrder="0" shrinkToFit="0" vertical="center" wrapText="1"/>
    </xf>
    <xf borderId="13" fillId="2" fontId="11" numFmtId="0" xfId="0" applyAlignment="1" applyBorder="1" applyFill="1" applyFont="1">
      <alignment horizontal="center" readingOrder="0" shrinkToFit="0" vertical="center" wrapText="1"/>
    </xf>
    <xf borderId="12" fillId="0" fontId="35" numFmtId="0" xfId="0" applyAlignment="1" applyBorder="1" applyFont="1">
      <alignment horizontal="left" readingOrder="0" shrinkToFit="0" vertical="center" wrapText="1"/>
    </xf>
    <xf borderId="20" fillId="9" fontId="27" numFmtId="0" xfId="0" applyAlignment="1" applyBorder="1" applyFill="1" applyFont="1">
      <alignment horizontal="center" readingOrder="0" shrinkToFit="0" vertical="center" wrapText="1"/>
    </xf>
    <xf borderId="12" fillId="11" fontId="22" numFmtId="0" xfId="0" applyAlignment="1" applyBorder="1" applyFill="1" applyFont="1">
      <alignment horizontal="center" readingOrder="0" shrinkToFit="0" vertical="center" wrapText="1"/>
    </xf>
    <xf borderId="24" fillId="0" fontId="5" numFmtId="170" xfId="0" applyAlignment="1" applyBorder="1" applyFont="1" applyNumberFormat="1">
      <alignment horizontal="center" vertical="center"/>
    </xf>
    <xf borderId="11" fillId="0" fontId="11" numFmtId="168" xfId="0" applyAlignment="1" applyBorder="1" applyFont="1" applyNumberFormat="1">
      <alignment horizontal="right" readingOrder="0" shrinkToFit="0" vertical="center" wrapText="1"/>
    </xf>
    <xf borderId="13" fillId="0" fontId="11" numFmtId="170" xfId="0" applyAlignment="1" applyBorder="1" applyFont="1" applyNumberFormat="1">
      <alignment horizontal="center" readingOrder="0" shrinkToFit="0" vertical="center" wrapText="1"/>
    </xf>
    <xf borderId="24" fillId="0" fontId="5" numFmtId="170" xfId="0" applyBorder="1" applyFont="1" applyNumberFormat="1"/>
    <xf borderId="0" fillId="2" fontId="36" numFmtId="0" xfId="0" applyAlignment="1" applyFill="1" applyFont="1">
      <alignment readingOrder="0" vertical="center"/>
    </xf>
    <xf borderId="0" fillId="12" fontId="31" numFmtId="0" xfId="0" applyAlignment="1" applyFill="1" applyFont="1">
      <alignment readingOrder="0" vertical="center"/>
    </xf>
    <xf borderId="12" fillId="0" fontId="37" numFmtId="0" xfId="0" applyBorder="1" applyFont="1"/>
    <xf borderId="12" fillId="0" fontId="37" numFmtId="169" xfId="0" applyBorder="1" applyFont="1" applyNumberFormat="1"/>
    <xf borderId="12" fillId="0" fontId="38" numFmtId="169" xfId="0" applyBorder="1" applyFont="1" applyNumberFormat="1"/>
    <xf borderId="15" fillId="0" fontId="37" numFmtId="0" xfId="0" applyBorder="1" applyFont="1"/>
    <xf borderId="16" fillId="0" fontId="37" numFmtId="0" xfId="0" applyBorder="1" applyFont="1"/>
    <xf borderId="18" fillId="0" fontId="37" numFmtId="0" xfId="0" applyBorder="1" applyFont="1"/>
    <xf borderId="0" fillId="0" fontId="23" numFmtId="0" xfId="0" applyAlignment="1" applyFont="1">
      <alignment horizontal="center" readingOrder="0" shrinkToFit="0" vertical="center" wrapText="1"/>
    </xf>
    <xf borderId="20" fillId="0" fontId="39" numFmtId="172" xfId="0" applyAlignment="1" applyBorder="1" applyFont="1" applyNumberFormat="1">
      <alignment horizontal="center" readingOrder="0" vertical="center"/>
    </xf>
    <xf borderId="12" fillId="0" fontId="40" numFmtId="0" xfId="0" applyBorder="1" applyFont="1"/>
    <xf borderId="12" fillId="0" fontId="41" numFmtId="172" xfId="0" applyAlignment="1" applyBorder="1" applyFont="1" applyNumberFormat="1">
      <alignment horizontal="center" readingOrder="0" vertical="center"/>
    </xf>
    <xf borderId="26" fillId="0" fontId="20" numFmtId="166" xfId="0" applyAlignment="1" applyBorder="1" applyFont="1" applyNumberFormat="1">
      <alignment horizontal="left" readingOrder="0" shrinkToFit="0" vertical="center" wrapText="1"/>
    </xf>
    <xf borderId="16" fillId="0" fontId="42" numFmtId="169" xfId="0" applyAlignment="1" applyBorder="1" applyFont="1" applyNumberFormat="1">
      <alignment horizontal="center" readingOrder="0"/>
    </xf>
    <xf borderId="16" fillId="0" fontId="11" numFmtId="168" xfId="0" applyAlignment="1" applyBorder="1" applyFont="1" applyNumberFormat="1">
      <alignment horizontal="right" readingOrder="0" shrinkToFit="0" vertical="center" wrapText="1"/>
    </xf>
    <xf borderId="20" fillId="0" fontId="37" numFmtId="0" xfId="0" applyBorder="1" applyFont="1"/>
    <xf borderId="17" fillId="0" fontId="30" numFmtId="167" xfId="0" applyAlignment="1" applyBorder="1" applyFont="1" applyNumberFormat="1">
      <alignment horizontal="left" readingOrder="0" shrinkToFit="0" vertical="center" wrapText="1"/>
    </xf>
    <xf borderId="19" fillId="0" fontId="37" numFmtId="164" xfId="0" applyAlignment="1" applyBorder="1" applyFont="1" applyNumberFormat="1">
      <alignment horizontal="center" readingOrder="0" vertical="center"/>
    </xf>
    <xf borderId="21" fillId="0" fontId="37" numFmtId="164" xfId="0" applyAlignment="1" applyBorder="1" applyFont="1" applyNumberFormat="1">
      <alignment horizontal="center" readingOrder="0" vertical="center"/>
    </xf>
    <xf borderId="13" fillId="2" fontId="20" numFmtId="0" xfId="0" applyAlignment="1" applyBorder="1" applyFill="1" applyFont="1">
      <alignment horizontal="center" readingOrder="0" shrinkToFit="0" vertical="center" wrapText="1"/>
    </xf>
    <xf borderId="0" fillId="4" fontId="36" numFmtId="0" xfId="0" applyAlignment="1" applyFill="1" applyFont="1">
      <alignment readingOrder="0" vertical="center"/>
    </xf>
    <xf borderId="21" fillId="0" fontId="37" numFmtId="0" xfId="0" applyAlignment="1" applyBorder="1" applyFont="1">
      <alignment horizontal="center" vertical="center"/>
    </xf>
    <xf borderId="13" fillId="0" fontId="37" numFmtId="0" xfId="0" applyAlignment="1" applyBorder="1" applyFont="1">
      <alignment horizontal="center" vertical="center"/>
    </xf>
    <xf borderId="13" fillId="0" fontId="37" numFmtId="0" xfId="0" applyBorder="1" applyFont="1"/>
    <xf borderId="23" fillId="0" fontId="37" numFmtId="0" xfId="0" applyBorder="1" applyFont="1"/>
    <xf borderId="12" fillId="4" fontId="24" numFmtId="0" xfId="0" applyAlignment="1" applyBorder="1" applyFill="1" applyFont="1">
      <alignment horizontal="left" readingOrder="0" shrinkToFit="0" vertical="center" wrapText="1"/>
    </xf>
    <xf borderId="11" fillId="0" fontId="20" numFmtId="168" xfId="0" applyAlignment="1" applyBorder="1" applyFont="1" applyNumberFormat="1">
      <alignment horizontal="right" readingOrder="0" shrinkToFit="0" vertical="center" wrapText="1"/>
    </xf>
    <xf borderId="12" fillId="0" fontId="24" numFmtId="169" xfId="0" applyAlignment="1" applyBorder="1" applyFont="1" applyNumberFormat="1">
      <alignment horizontal="left" readingOrder="0" shrinkToFit="0" vertical="center" wrapText="1"/>
    </xf>
    <xf borderId="0" fillId="12" fontId="36" numFmtId="0" xfId="0" applyAlignment="1" applyFill="1" applyFont="1">
      <alignment readingOrder="0" vertical="center"/>
    </xf>
    <xf borderId="16" fillId="0" fontId="43" numFmtId="169" xfId="0" applyAlignment="1" applyBorder="1" applyFont="1" applyNumberFormat="1">
      <alignment horizontal="center" readingOrder="0" shrinkToFit="0" vertical="center" wrapText="1"/>
    </xf>
    <xf borderId="20" fillId="9" fontId="18" numFmtId="0" xfId="0" applyAlignment="1" applyBorder="1" applyFill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12" fillId="0" fontId="11" numFmtId="0" xfId="0" applyAlignment="1" applyBorder="1" applyFont="1">
      <alignment readingOrder="0"/>
    </xf>
    <xf borderId="26" fillId="0" fontId="28" numFmtId="166" xfId="0" applyAlignment="1" applyBorder="1" applyFont="1" applyNumberFormat="1">
      <alignment horizontal="left" readingOrder="0" shrinkToFit="0" vertical="center" wrapText="1"/>
    </xf>
    <xf borderId="19" fillId="0" fontId="5" numFmtId="168" xfId="0" applyBorder="1" applyFont="1" applyNumberFormat="1"/>
    <xf borderId="15" fillId="0" fontId="11" numFmtId="0" xfId="0" applyAlignment="1" applyBorder="1" applyFont="1">
      <alignment horizontal="center" shrinkToFit="0" wrapText="1"/>
    </xf>
    <xf borderId="21" fillId="0" fontId="5" numFmtId="168" xfId="0" applyBorder="1" applyFont="1" applyNumberFormat="1"/>
    <xf borderId="12" fillId="2" fontId="11" numFmtId="168" xfId="0" applyAlignment="1" applyBorder="1" applyFill="1" applyFont="1" applyNumberFormat="1">
      <alignment horizontal="center" readingOrder="0" shrinkToFit="0" vertical="center" wrapText="1"/>
    </xf>
    <xf borderId="13" fillId="0" fontId="11" numFmtId="0" xfId="0" applyAlignment="1" applyBorder="1" applyFont="1">
      <alignment horizontal="center" shrinkToFit="0" wrapText="1"/>
    </xf>
    <xf borderId="13" fillId="0" fontId="11" numFmtId="170" xfId="0" applyAlignment="1" applyBorder="1" applyFont="1" applyNumberFormat="1">
      <alignment horizontal="center" shrinkToFit="0" wrapText="1"/>
    </xf>
    <xf borderId="21" fillId="13" fontId="5" numFmtId="168" xfId="0" applyBorder="1" applyFill="1" applyFont="1" applyNumberFormat="1"/>
    <xf borderId="12" fillId="0" fontId="37" numFmtId="0" xfId="0" applyAlignment="1" applyBorder="1" applyFont="1">
      <alignment readingOrder="0"/>
    </xf>
    <xf borderId="13" fillId="13" fontId="11" numFmtId="0" xfId="0" applyAlignment="1" applyBorder="1" applyFill="1" applyFont="1">
      <alignment horizontal="center" shrinkToFit="0" wrapText="1"/>
    </xf>
    <xf borderId="12" fillId="0" fontId="37" numFmtId="0" xfId="0" applyAlignment="1" applyBorder="1" applyFont="1">
      <alignment horizontal="center" readingOrder="0"/>
    </xf>
    <xf borderId="13" fillId="0" fontId="5" numFmtId="170" xfId="0" applyBorder="1" applyFont="1" applyNumberFormat="1"/>
    <xf borderId="12" fillId="0" fontId="41" numFmtId="0" xfId="0" applyAlignment="1" applyBorder="1" applyFont="1">
      <alignment horizontal="center" vertical="center"/>
    </xf>
    <xf borderId="23" fillId="0" fontId="5" numFmtId="0" xfId="0" applyBorder="1" applyFont="1"/>
    <xf borderId="16" fillId="0" fontId="44" numFmtId="169" xfId="0" applyAlignment="1" applyBorder="1" applyFont="1" applyNumberFormat="1">
      <alignment horizontal="center"/>
    </xf>
    <xf borderId="16" fillId="0" fontId="20" numFmtId="165" xfId="0" applyAlignment="1" applyBorder="1" applyFont="1" applyNumberFormat="1">
      <alignment horizontal="left" readingOrder="0" shrinkToFit="0" vertical="center" wrapText="1"/>
    </xf>
    <xf borderId="12" fillId="0" fontId="11" numFmtId="171" xfId="0" applyAlignment="1" applyBorder="1" applyFont="1" applyNumberFormat="1">
      <alignment horizontal="left" shrinkToFit="0" vertical="center" wrapText="1"/>
    </xf>
    <xf borderId="11" fillId="0" fontId="37" numFmtId="164" xfId="0" applyAlignment="1" applyBorder="1" applyFont="1" applyNumberFormat="1">
      <alignment horizontal="center" readingOrder="0" vertical="center"/>
    </xf>
    <xf borderId="11" fillId="2" fontId="11" numFmtId="168" xfId="0" applyAlignment="1" applyBorder="1" applyFill="1" applyFont="1" applyNumberFormat="1">
      <alignment horizontal="center" readingOrder="0" shrinkToFit="0" vertical="center" wrapText="1"/>
    </xf>
    <xf borderId="13" fillId="0" fontId="11" numFmtId="170" xfId="0" applyAlignment="1" applyBorder="1" applyFont="1" applyNumberFormat="1">
      <alignment horizontal="center" shrinkToFit="0" vertical="center" wrapText="1"/>
    </xf>
    <xf borderId="21" fillId="13" fontId="11" numFmtId="168" xfId="0" applyAlignment="1" applyBorder="1" applyFill="1" applyFont="1" applyNumberFormat="1">
      <alignment horizontal="center" readingOrder="0" vertical="center"/>
    </xf>
    <xf borderId="12" fillId="0" fontId="5" numFmtId="168" xfId="0" applyBorder="1" applyFont="1" applyNumberFormat="1"/>
    <xf borderId="13" fillId="13" fontId="11" numFmtId="0" xfId="0" applyAlignment="1" applyBorder="1" applyFill="1" applyFont="1">
      <alignment horizontal="center" shrinkToFit="0" vertical="center" wrapText="1"/>
    </xf>
    <xf borderId="12" fillId="0" fontId="45" numFmtId="0" xfId="0" applyAlignment="1" applyBorder="1" applyFont="1">
      <alignment horizontal="left" readingOrder="0" shrinkToFit="0" vertical="center" wrapText="1"/>
    </xf>
    <xf borderId="12" fillId="0" fontId="11" numFmtId="0" xfId="0" applyAlignment="1" applyBorder="1" applyFont="1">
      <alignment readingOrder="0" vertical="center"/>
    </xf>
    <xf borderId="12" fillId="10" fontId="46" numFmtId="0" xfId="0" applyAlignment="1" applyBorder="1" applyFill="1" applyFont="1">
      <alignment horizontal="center" readingOrder="0" shrinkToFit="0" vertical="center" wrapText="1"/>
    </xf>
    <xf borderId="12" fillId="0" fontId="46" numFmtId="0" xfId="0" applyAlignment="1" applyBorder="1" applyFont="1">
      <alignment horizontal="center" shrinkToFit="0" vertical="center" wrapText="1"/>
    </xf>
    <xf borderId="0" fillId="14" fontId="31" numFmtId="0" xfId="0" applyAlignment="1" applyFill="1" applyFont="1">
      <alignment readingOrder="0" vertical="center"/>
    </xf>
    <xf quotePrefix="1" borderId="15" fillId="0" fontId="20" numFmtId="0" xfId="0" applyAlignment="1" applyBorder="1" applyFont="1">
      <alignment horizontal="left" readingOrder="0" shrinkToFit="0" vertical="center" wrapText="1"/>
    </xf>
    <xf borderId="11" fillId="2" fontId="11" numFmtId="168" xfId="0" applyAlignment="1" applyBorder="1" applyFill="1" applyFont="1" applyNumberFormat="1">
      <alignment horizontal="right" readingOrder="0" shrinkToFit="0" vertical="center" wrapText="1"/>
    </xf>
    <xf borderId="12" fillId="2" fontId="20" numFmtId="0" xfId="0" applyAlignment="1" applyBorder="1" applyFill="1" applyFont="1">
      <alignment horizontal="left" readingOrder="0" shrinkToFit="0" vertical="center" wrapText="1"/>
    </xf>
    <xf borderId="12" fillId="0" fontId="30" numFmtId="0" xfId="0" applyAlignment="1" applyBorder="1" applyFont="1">
      <alignment horizontal="center" readingOrder="0" shrinkToFit="0" vertical="center" wrapText="1"/>
    </xf>
    <xf borderId="21" fillId="13" fontId="5" numFmtId="168" xfId="0" applyAlignment="1" applyBorder="1" applyFill="1" applyFont="1" applyNumberFormat="1">
      <alignment readingOrder="0" vertical="center"/>
    </xf>
    <xf borderId="16" fillId="0" fontId="20" numFmtId="168" xfId="0" applyAlignment="1" applyBorder="1" applyFont="1" applyNumberFormat="1">
      <alignment horizontal="right" readingOrder="0" shrinkToFit="0" vertical="center" wrapText="1"/>
    </xf>
    <xf borderId="12" fillId="0" fontId="30" numFmtId="169" xfId="0" applyAlignment="1" applyBorder="1" applyFont="1" applyNumberFormat="1">
      <alignment horizontal="left" readingOrder="0" shrinkToFit="0" vertical="center" wrapText="1"/>
    </xf>
    <xf borderId="13" fillId="13" fontId="11" numFmtId="0" xfId="0" applyAlignment="1" applyBorder="1" applyFill="1" applyFont="1">
      <alignment horizontal="center" readingOrder="0" shrinkToFit="0" vertical="center" wrapText="1"/>
    </xf>
    <xf borderId="21" fillId="0" fontId="5" numFmtId="168" xfId="0" applyAlignment="1" applyBorder="1" applyFont="1" applyNumberFormat="1">
      <alignment vertical="center"/>
    </xf>
    <xf borderId="13" fillId="0" fontId="5" numFmtId="170" xfId="0" applyAlignment="1" applyBorder="1" applyFont="1" applyNumberFormat="1">
      <alignment vertical="center"/>
    </xf>
    <xf borderId="23" fillId="0" fontId="5" numFmtId="0" xfId="0" applyAlignment="1" applyBorder="1" applyFont="1">
      <alignment vertical="center"/>
    </xf>
    <xf borderId="23" fillId="0" fontId="23" numFmtId="0" xfId="0" applyAlignment="1" applyBorder="1" applyFont="1">
      <alignment horizontal="left" readingOrder="0" shrinkToFit="0" vertical="center" wrapText="1"/>
    </xf>
    <xf borderId="0" fillId="2" fontId="47" numFmtId="0" xfId="0" applyAlignment="1" applyFill="1" applyFont="1">
      <alignment readingOrder="0" vertical="center"/>
    </xf>
    <xf borderId="15" fillId="0" fontId="30" numFmtId="165" xfId="0" applyAlignment="1" applyBorder="1" applyFont="1" applyNumberFormat="1">
      <alignment horizontal="left" readingOrder="0" shrinkToFit="0" vertical="center" wrapText="1"/>
    </xf>
    <xf borderId="0" fillId="4" fontId="31" numFmtId="0" xfId="0" applyAlignment="1" applyFill="1" applyFont="1">
      <alignment readingOrder="0" vertical="center"/>
    </xf>
    <xf quotePrefix="1" borderId="16" fillId="0" fontId="28" numFmtId="0" xfId="0" applyAlignment="1" applyBorder="1" applyFont="1">
      <alignment horizontal="left" readingOrder="0" shrinkToFit="0" vertical="center" wrapText="1"/>
    </xf>
    <xf borderId="12" fillId="8" fontId="29" numFmtId="169" xfId="0" applyAlignment="1" applyBorder="1" applyFill="1" applyFont="1" applyNumberFormat="1">
      <alignment horizontal="center" readingOrder="0" shrinkToFit="0" vertical="center" wrapText="1"/>
    </xf>
    <xf borderId="27" fillId="0" fontId="20" numFmtId="165" xfId="0" applyAlignment="1" applyBorder="1" applyFont="1" applyNumberFormat="1">
      <alignment horizontal="left" readingOrder="0" shrinkToFit="0" vertical="center" wrapText="1"/>
    </xf>
    <xf borderId="16" fillId="0" fontId="18" numFmtId="164" xfId="0" applyAlignment="1" applyBorder="1" applyFont="1" applyNumberFormat="1">
      <alignment horizontal="center" readingOrder="0" shrinkToFit="0" vertical="center" wrapText="1"/>
    </xf>
    <xf borderId="26" fillId="0" fontId="20" numFmtId="165" xfId="0" applyAlignment="1" applyBorder="1" applyFont="1" applyNumberFormat="1">
      <alignment horizontal="left" readingOrder="0" shrinkToFit="0" vertical="center" wrapText="1"/>
    </xf>
    <xf borderId="0" fillId="0" fontId="20" numFmtId="166" xfId="0" applyAlignment="1" applyFont="1" applyNumberFormat="1">
      <alignment horizontal="left" readingOrder="0" shrinkToFit="0" vertical="center" wrapText="1"/>
    </xf>
    <xf borderId="19" fillId="0" fontId="30" numFmtId="168" xfId="0" applyAlignment="1" applyBorder="1" applyFont="1" applyNumberFormat="1">
      <alignment horizontal="center" readingOrder="0" shrinkToFit="0" vertical="center" wrapText="1"/>
    </xf>
    <xf borderId="12" fillId="2" fontId="21" numFmtId="0" xfId="0" applyAlignment="1" applyBorder="1" applyFill="1" applyFont="1">
      <alignment horizontal="center" readingOrder="0" shrinkToFit="0" vertical="center" wrapText="1"/>
    </xf>
    <xf borderId="21" fillId="15" fontId="11" numFmtId="168" xfId="0" applyAlignment="1" applyBorder="1" applyFill="1" applyFont="1" applyNumberFormat="1">
      <alignment horizontal="center" readingOrder="0" shrinkToFit="0" vertical="center" wrapText="1"/>
    </xf>
    <xf borderId="12" fillId="15" fontId="11" numFmtId="168" xfId="0" applyAlignment="1" applyBorder="1" applyFill="1" applyFont="1" applyNumberFormat="1">
      <alignment horizontal="center" readingOrder="0" shrinkToFit="0" vertical="center" wrapText="1"/>
    </xf>
    <xf borderId="12" fillId="0" fontId="11" numFmtId="168" xfId="0" applyAlignment="1" applyBorder="1" applyFont="1" applyNumberFormat="1">
      <alignment horizontal="right" readingOrder="0" shrinkToFit="0" vertical="center" wrapText="1"/>
    </xf>
    <xf borderId="12" fillId="2" fontId="48" numFmtId="0" xfId="0" applyAlignment="1" applyBorder="1" applyFill="1" applyFont="1">
      <alignment horizontal="center" readingOrder="0" shrinkToFit="0" vertical="center" wrapText="1"/>
    </xf>
    <xf borderId="15" fillId="2" fontId="21" numFmtId="165" xfId="0" applyAlignment="1" applyBorder="1" applyFill="1" applyFont="1" applyNumberFormat="1">
      <alignment horizontal="left" readingOrder="0" shrinkToFit="0" vertical="center" wrapText="1"/>
    </xf>
    <xf borderId="17" fillId="2" fontId="21" numFmtId="167" xfId="0" applyAlignment="1" applyBorder="1" applyFill="1" applyFont="1" applyNumberFormat="1">
      <alignment horizontal="left" readingOrder="0" shrinkToFit="0" vertical="center" wrapText="1"/>
    </xf>
    <xf borderId="16" fillId="2" fontId="21" numFmtId="168" xfId="0" applyAlignment="1" applyBorder="1" applyFill="1" applyFont="1" applyNumberFormat="1">
      <alignment horizontal="right" readingOrder="0" shrinkToFit="0" vertical="center" wrapText="1"/>
    </xf>
    <xf borderId="12" fillId="2" fontId="11" numFmtId="168" xfId="0" applyAlignment="1" applyBorder="1" applyFill="1" applyFont="1" applyNumberFormat="1">
      <alignment horizontal="right" readingOrder="0" shrinkToFit="0" vertical="center" wrapText="1"/>
    </xf>
    <xf borderId="13" fillId="2" fontId="21" numFmtId="0" xfId="0" applyAlignment="1" applyBorder="1" applyFill="1" applyFont="1">
      <alignment horizontal="center" readingOrder="0" shrinkToFit="0" vertical="center" wrapText="1"/>
    </xf>
    <xf borderId="11" fillId="2" fontId="21" numFmtId="168" xfId="0" applyAlignment="1" applyBorder="1" applyFill="1" applyFont="1" applyNumberFormat="1">
      <alignment horizontal="right" readingOrder="0" shrinkToFit="0" vertical="center" wrapText="1"/>
    </xf>
    <xf borderId="16" fillId="13" fontId="49" numFmtId="166" xfId="0" applyAlignment="1" applyBorder="1" applyFill="1" applyFont="1" applyNumberFormat="1">
      <alignment readingOrder="0"/>
    </xf>
    <xf borderId="13" fillId="2" fontId="21" numFmtId="170" xfId="0" applyAlignment="1" applyBorder="1" applyFill="1" applyFont="1" applyNumberFormat="1">
      <alignment horizontal="center" readingOrder="0" shrinkToFit="0" vertical="center" wrapText="1"/>
    </xf>
    <xf borderId="18" fillId="13" fontId="50" numFmtId="166" xfId="0" applyAlignment="1" applyBorder="1" applyFill="1" applyFont="1" applyNumberFormat="1">
      <alignment readingOrder="0" shrinkToFit="0" wrapText="1"/>
    </xf>
    <xf borderId="21" fillId="2" fontId="21" numFmtId="168" xfId="0" applyAlignment="1" applyBorder="1" applyFill="1" applyFont="1" applyNumberFormat="1">
      <alignment horizontal="right" readingOrder="0" shrinkToFit="0" vertical="center" wrapText="1"/>
    </xf>
    <xf borderId="16" fillId="0" fontId="11" numFmtId="168" xfId="0" applyAlignment="1" applyBorder="1" applyFont="1" applyNumberFormat="1">
      <alignment horizontal="center" readingOrder="0" shrinkToFit="0" vertical="center" wrapText="1"/>
    </xf>
    <xf borderId="23" fillId="2" fontId="21" numFmtId="0" xfId="0" applyAlignment="1" applyBorder="1" applyFill="1" applyFont="1">
      <alignment horizontal="left" readingOrder="0" shrinkToFit="0" vertical="center" wrapText="1"/>
    </xf>
    <xf borderId="12" fillId="0" fontId="20" numFmtId="171" xfId="0" applyAlignment="1" applyBorder="1" applyFont="1" applyNumberFormat="1">
      <alignment horizontal="left" shrinkToFit="0" vertical="center" wrapText="1"/>
    </xf>
    <xf borderId="16" fillId="13" fontId="51" numFmtId="166" xfId="0" applyAlignment="1" applyBorder="1" applyFill="1" applyFont="1" applyNumberFormat="1">
      <alignment readingOrder="0"/>
    </xf>
    <xf borderId="11" fillId="16" fontId="11" numFmtId="0" xfId="0" applyAlignment="1" applyBorder="1" applyFill="1" applyFont="1">
      <alignment horizontal="center" readingOrder="0" shrinkToFit="0" vertical="center" wrapText="1"/>
    </xf>
    <xf borderId="27" fillId="0" fontId="37" numFmtId="0" xfId="0" applyBorder="1" applyFont="1"/>
    <xf borderId="18" fillId="13" fontId="52" numFmtId="166" xfId="0" applyAlignment="1" applyBorder="1" applyFill="1" applyFont="1" applyNumberFormat="1">
      <alignment readingOrder="0" shrinkToFit="0" wrapText="1"/>
    </xf>
    <xf borderId="26" fillId="0" fontId="37" numFmtId="0" xfId="0" applyBorder="1" applyFont="1"/>
    <xf borderId="16" fillId="0" fontId="44" numFmtId="169" xfId="0" applyAlignment="1" applyBorder="1" applyFont="1" applyNumberFormat="1">
      <alignment horizontal="center" readingOrder="0"/>
    </xf>
    <xf borderId="16" fillId="0" fontId="37" numFmtId="164" xfId="0" applyAlignment="1" applyBorder="1" applyFont="1" applyNumberFormat="1">
      <alignment horizontal="center" readingOrder="0" vertical="center"/>
    </xf>
    <xf borderId="23" fillId="0" fontId="11" numFmtId="171" xfId="0" applyAlignment="1" applyBorder="1" applyFont="1" applyNumberFormat="1">
      <alignment horizontal="left" shrinkToFit="0" vertical="center" wrapText="1"/>
    </xf>
    <xf borderId="15" fillId="0" fontId="11" numFmtId="170" xfId="0" applyAlignment="1" applyBorder="1" applyFont="1" applyNumberFormat="1">
      <alignment horizontal="center" shrinkToFit="0" vertical="center" wrapText="1"/>
    </xf>
    <xf borderId="25" fillId="0" fontId="22" numFmtId="173" xfId="0" applyAlignment="1" applyBorder="1" applyFont="1" applyNumberFormat="1">
      <alignment horizontal="center" readingOrder="0" shrinkToFit="0" vertical="center" wrapText="1"/>
    </xf>
    <xf borderId="12" fillId="0" fontId="37" numFmtId="0" xfId="0" applyAlignment="1" applyBorder="1" applyFont="1">
      <alignment horizontal="center" vertical="center"/>
    </xf>
    <xf borderId="11" fillId="2" fontId="11" numFmtId="166" xfId="0" applyAlignment="1" applyBorder="1" applyFill="1" applyFont="1" applyNumberFormat="1">
      <alignment horizontal="right" readingOrder="0" shrinkToFit="0" vertical="center" wrapText="1"/>
    </xf>
    <xf borderId="17" fillId="2" fontId="11" numFmtId="167" xfId="0" applyAlignment="1" applyBorder="1" applyFill="1" applyFont="1" applyNumberFormat="1">
      <alignment horizontal="left" readingOrder="0" shrinkToFit="0" vertical="center" wrapText="1"/>
    </xf>
    <xf borderId="28" fillId="0" fontId="11" numFmtId="0" xfId="0" applyAlignment="1" applyBorder="1" applyFont="1">
      <alignment horizontal="center" readingOrder="0" shrinkToFit="0" vertical="center" wrapText="1"/>
    </xf>
    <xf borderId="16" fillId="13" fontId="53" numFmtId="166" xfId="0" applyAlignment="1" applyBorder="1" applyFill="1" applyFont="1" applyNumberFormat="1">
      <alignment readingOrder="0" shrinkToFit="0" wrapText="0"/>
    </xf>
    <xf borderId="12" fillId="0" fontId="20" numFmtId="168" xfId="0" applyAlignment="1" applyBorder="1" applyFont="1" applyNumberFormat="1">
      <alignment horizontal="right" readingOrder="0" shrinkToFit="0" vertical="center" wrapText="1"/>
    </xf>
    <xf borderId="23" fillId="0" fontId="20" numFmtId="171" xfId="0" applyAlignment="1" applyBorder="1" applyFont="1" applyNumberFormat="1">
      <alignment horizontal="left" shrinkToFit="0" vertical="center" wrapText="1"/>
    </xf>
    <xf borderId="23" fillId="2" fontId="11" numFmtId="0" xfId="0" applyAlignment="1" applyBorder="1" applyFill="1" applyFont="1">
      <alignment horizontal="left" readingOrder="0" shrinkToFit="0" vertical="center" wrapText="1"/>
    </xf>
    <xf borderId="12" fillId="2" fontId="20" numFmtId="168" xfId="0" applyAlignment="1" applyBorder="1" applyFill="1" applyFont="1" applyNumberFormat="1">
      <alignment horizontal="right" readingOrder="0" shrinkToFit="0" vertical="center" wrapText="1"/>
    </xf>
    <xf borderId="12" fillId="2" fontId="20" numFmtId="0" xfId="0" applyAlignment="1" applyBorder="1" applyFill="1" applyFont="1">
      <alignment horizontal="center" readingOrder="0" shrinkToFit="0" vertical="center" wrapText="1"/>
    </xf>
    <xf borderId="15" fillId="2" fontId="20" numFmtId="165" xfId="0" applyAlignment="1" applyBorder="1" applyFill="1" applyFont="1" applyNumberFormat="1">
      <alignment horizontal="left" readingOrder="0" shrinkToFit="0" vertical="center" wrapText="1"/>
    </xf>
    <xf borderId="0" fillId="12" fontId="28" numFmtId="0" xfId="0" applyAlignment="1" applyFill="1" applyFont="1">
      <alignment readingOrder="0" vertical="center"/>
    </xf>
    <xf borderId="22" fillId="2" fontId="20" numFmtId="166" xfId="0" applyAlignment="1" applyBorder="1" applyFill="1" applyFont="1" applyNumberFormat="1">
      <alignment horizontal="right" readingOrder="0" shrinkToFit="0" vertical="center" wrapText="1"/>
    </xf>
    <xf borderId="17" fillId="2" fontId="20" numFmtId="167" xfId="0" applyAlignment="1" applyBorder="1" applyFill="1" applyFont="1" applyNumberFormat="1">
      <alignment horizontal="left" readingOrder="0" shrinkToFit="0" vertical="center" wrapText="1"/>
    </xf>
    <xf borderId="12" fillId="0" fontId="41" numFmtId="164" xfId="0" applyAlignment="1" applyBorder="1" applyFont="1" applyNumberFormat="1">
      <alignment horizontal="center" readingOrder="0" vertical="center"/>
    </xf>
    <xf borderId="25" fillId="0" fontId="22" numFmtId="174" xfId="0" applyAlignment="1" applyBorder="1" applyFont="1" applyNumberFormat="1">
      <alignment horizontal="center" readingOrder="0" shrinkToFit="0" vertical="center" wrapText="1"/>
    </xf>
    <xf borderId="16" fillId="2" fontId="20" numFmtId="168" xfId="0" applyAlignment="1" applyBorder="1" applyFill="1" applyFont="1" applyNumberFormat="1">
      <alignment horizontal="right" readingOrder="0" shrinkToFit="0" vertical="center" wrapText="1"/>
    </xf>
    <xf borderId="0" fillId="2" fontId="54" numFmtId="0" xfId="0" applyAlignment="1" applyFill="1" applyFont="1">
      <alignment readingOrder="0" vertical="center"/>
    </xf>
    <xf borderId="11" fillId="2" fontId="20" numFmtId="168" xfId="0" applyAlignment="1" applyBorder="1" applyFill="1" applyFont="1" applyNumberFormat="1">
      <alignment horizontal="right" readingOrder="0" shrinkToFit="0" vertical="center" wrapText="1"/>
    </xf>
    <xf borderId="19" fillId="0" fontId="37" numFmtId="0" xfId="0" applyAlignment="1" applyBorder="1" applyFont="1">
      <alignment horizontal="center" vertical="center"/>
    </xf>
    <xf borderId="15" fillId="0" fontId="37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left" shrinkToFit="0" vertical="center" wrapText="1"/>
    </xf>
    <xf borderId="24" fillId="0" fontId="5" numFmtId="0" xfId="0" applyAlignment="1" applyBorder="1" applyFont="1">
      <alignment horizontal="center" vertical="center"/>
    </xf>
    <xf borderId="18" fillId="0" fontId="20" numFmtId="166" xfId="0" applyAlignment="1" applyBorder="1" applyFont="1" applyNumberFormat="1">
      <alignment horizontal="center" readingOrder="0" shrinkToFit="0" vertical="center" wrapText="1"/>
    </xf>
    <xf borderId="21" fillId="0" fontId="37" numFmtId="0" xfId="0" applyBorder="1" applyFont="1"/>
    <xf borderId="12" fillId="0" fontId="24" numFmtId="0" xfId="0" applyAlignment="1" applyBorder="1" applyFont="1">
      <alignment horizontal="left" shrinkToFit="0" vertical="center" wrapText="1"/>
    </xf>
    <xf borderId="24" fillId="0" fontId="5" numFmtId="0" xfId="0" applyBorder="1" applyFont="1"/>
    <xf borderId="23" fillId="2" fontId="20" numFmtId="0" xfId="0" applyAlignment="1" applyBorder="1" applyFill="1" applyFont="1">
      <alignment horizontal="left" readingOrder="0" shrinkToFit="0" vertical="center" wrapText="1"/>
    </xf>
    <xf borderId="19" fillId="0" fontId="5" numFmtId="168" xfId="0" applyAlignment="1" applyBorder="1" applyFont="1" applyNumberFormat="1">
      <alignment horizontal="center" readingOrder="0" vertical="center"/>
    </xf>
    <xf borderId="18" fillId="0" fontId="20" numFmtId="165" xfId="0" applyAlignment="1" applyBorder="1" applyFont="1" applyNumberFormat="1">
      <alignment horizontal="left" readingOrder="0" shrinkToFit="0" vertical="center" wrapText="1"/>
    </xf>
    <xf borderId="23" fillId="2" fontId="11" numFmtId="0" xfId="0" applyAlignment="1" applyBorder="1" applyFill="1" applyFont="1">
      <alignment horizontal="left" shrinkToFit="0" vertical="center" wrapText="1"/>
    </xf>
    <xf borderId="21" fillId="13" fontId="5" numFmtId="168" xfId="0" applyAlignment="1" applyBorder="1" applyFill="1" applyFont="1" applyNumberFormat="1">
      <alignment horizontal="center" readingOrder="0" vertical="center"/>
    </xf>
    <xf borderId="23" fillId="0" fontId="20" numFmtId="0" xfId="0" applyAlignment="1" applyBorder="1" applyFont="1">
      <alignment horizontal="left" shrinkToFit="0" vertical="center" wrapText="1"/>
    </xf>
    <xf borderId="25" fillId="0" fontId="11" numFmtId="0" xfId="0" applyAlignment="1" applyBorder="1" applyFont="1">
      <alignment horizontal="left" readingOrder="0" shrinkToFit="0" vertical="center" wrapText="1"/>
    </xf>
    <xf borderId="12" fillId="2" fontId="23" numFmtId="0" xfId="0" applyAlignment="1" applyBorder="1" applyFill="1" applyFont="1">
      <alignment horizontal="center" readingOrder="0" shrinkToFit="0" vertical="center" wrapText="1"/>
    </xf>
    <xf borderId="12" fillId="2" fontId="23" numFmtId="0" xfId="0" applyAlignment="1" applyBorder="1" applyFill="1" applyFont="1">
      <alignment horizontal="center" shrinkToFit="0" vertical="center" wrapText="1"/>
    </xf>
    <xf borderId="18" fillId="0" fontId="37" numFmtId="0" xfId="0" applyAlignment="1" applyBorder="1" applyFont="1">
      <alignment readingOrder="0"/>
    </xf>
    <xf borderId="12" fillId="4" fontId="11" numFmtId="0" xfId="0" applyAlignment="1" applyBorder="1" applyFill="1" applyFont="1">
      <alignment horizontal="left" readingOrder="0" shrinkToFit="0" vertical="center" wrapText="1"/>
    </xf>
    <xf borderId="16" fillId="0" fontId="37" numFmtId="175" xfId="0" applyAlignment="1" applyBorder="1" applyFont="1" applyNumberFormat="1">
      <alignment horizontal="center" readingOrder="0" vertical="center"/>
    </xf>
    <xf borderId="18" fillId="2" fontId="20" numFmtId="166" xfId="0" applyAlignment="1" applyBorder="1" applyFill="1" applyFont="1" applyNumberFormat="1">
      <alignment horizontal="left" readingOrder="0" shrinkToFit="0" vertical="center" wrapText="1"/>
    </xf>
    <xf borderId="13" fillId="0" fontId="11" numFmtId="175" xfId="0" applyAlignment="1" applyBorder="1" applyFont="1" applyNumberFormat="1">
      <alignment horizontal="center" readingOrder="0" shrinkToFit="0" vertical="center" wrapText="1"/>
    </xf>
    <xf borderId="23" fillId="0" fontId="21" numFmtId="0" xfId="0" applyAlignment="1" applyBorder="1" applyFont="1">
      <alignment horizontal="left" readingOrder="0" shrinkToFit="0" vertical="center" wrapText="1"/>
    </xf>
    <xf borderId="12" fillId="2" fontId="20" numFmtId="169" xfId="0" applyAlignment="1" applyBorder="1" applyFill="1" applyFont="1" applyNumberFormat="1">
      <alignment horizontal="center" readingOrder="0" shrinkToFit="0" vertical="center" wrapText="1"/>
    </xf>
    <xf borderId="11" fillId="0" fontId="37" numFmtId="175" xfId="0" applyAlignment="1" applyBorder="1" applyFont="1" applyNumberFormat="1">
      <alignment horizontal="center" readingOrder="0" vertical="center"/>
    </xf>
    <xf borderId="12" fillId="2" fontId="26" numFmtId="169" xfId="0" applyAlignment="1" applyBorder="1" applyFill="1" applyFont="1" applyNumberFormat="1">
      <alignment horizontal="center" readingOrder="0" shrinkToFit="0" vertical="center" wrapText="1"/>
    </xf>
    <xf borderId="12" fillId="0" fontId="20" numFmtId="0" xfId="0" applyAlignment="1" applyBorder="1" applyFont="1">
      <alignment horizontal="center" shrinkToFit="0" vertical="center" wrapText="1"/>
    </xf>
    <xf borderId="16" fillId="2" fontId="27" numFmtId="169" xfId="0" applyAlignment="1" applyBorder="1" applyFill="1" applyFont="1" applyNumberFormat="1">
      <alignment horizontal="center" readingOrder="0" shrinkToFit="0" vertical="center" wrapText="1"/>
    </xf>
    <xf borderId="21" fillId="0" fontId="37" numFmtId="175" xfId="0" applyAlignment="1" applyBorder="1" applyFont="1" applyNumberFormat="1">
      <alignment horizontal="center" readingOrder="0" vertical="center"/>
    </xf>
    <xf borderId="11" fillId="9" fontId="11" numFmtId="0" xfId="0" applyAlignment="1" applyBorder="1" applyFill="1" applyFont="1">
      <alignment horizontal="center" readingOrder="0" shrinkToFit="0" vertical="center" wrapText="1"/>
    </xf>
    <xf borderId="12" fillId="0" fontId="20" numFmtId="0" xfId="0" applyAlignment="1" applyBorder="1" applyFont="1">
      <alignment horizontal="left" shrinkToFit="0" vertical="center" wrapText="1"/>
    </xf>
    <xf borderId="12" fillId="0" fontId="55" numFmtId="0" xfId="0" applyAlignment="1" applyBorder="1" applyFont="1">
      <alignment horizontal="left" readingOrder="0" shrinkToFit="0" vertical="center" wrapText="1"/>
    </xf>
    <xf borderId="15" fillId="0" fontId="20" numFmtId="165" xfId="0" applyAlignment="1" applyBorder="1" applyFont="1" applyNumberFormat="1">
      <alignment horizontal="left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14" fillId="0" fontId="20" numFmtId="168" xfId="0" applyAlignment="1" applyBorder="1" applyFont="1" applyNumberFormat="1">
      <alignment horizontal="right" readingOrder="0" shrinkToFit="0" vertical="center" wrapText="1"/>
    </xf>
    <xf borderId="0" fillId="0" fontId="38" numFmtId="169" xfId="0" applyFont="1" applyNumberFormat="1"/>
    <xf borderId="0" fillId="0" fontId="37" numFmtId="0" xfId="0" applyAlignment="1" applyFont="1">
      <alignment readingOrder="0"/>
    </xf>
    <xf borderId="0" fillId="2" fontId="30" numFmtId="171" xfId="0" applyAlignment="1" applyFill="1" applyFont="1" applyNumberFormat="1">
      <alignment horizontal="left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0" fontId="39" numFmtId="172" xfId="0" applyAlignment="1" applyFont="1" applyNumberFormat="1">
      <alignment horizontal="center" readingOrder="0" vertical="center"/>
    </xf>
    <xf borderId="0" fillId="0" fontId="40" numFmtId="0" xfId="0" applyFont="1"/>
    <xf borderId="0" fillId="0" fontId="41" numFmtId="172" xfId="0" applyAlignment="1" applyFont="1" applyNumberFormat="1">
      <alignment horizontal="center" readingOrder="0" vertical="center"/>
    </xf>
    <xf borderId="0" fillId="0" fontId="11" numFmtId="166" xfId="0" applyAlignment="1" applyFont="1" applyNumberFormat="1">
      <alignment horizontal="right" readingOrder="0" shrinkToFit="0" vertical="center" wrapText="1"/>
    </xf>
    <xf borderId="0" fillId="0" fontId="30" numFmtId="167" xfId="0" applyAlignment="1" applyFont="1" applyNumberFormat="1">
      <alignment horizontal="left" readingOrder="0" shrinkToFit="0" vertical="center" wrapText="1"/>
    </xf>
    <xf borderId="0" fillId="0" fontId="37" numFmtId="175" xfId="0" applyAlignment="1" applyFont="1" applyNumberFormat="1">
      <alignment horizontal="center" readingOrder="0" vertical="center"/>
    </xf>
    <xf borderId="0" fillId="0" fontId="11" numFmtId="175" xfId="0" applyAlignment="1" applyFont="1" applyNumberFormat="1">
      <alignment horizontal="center" readingOrder="0" shrinkToFit="0" vertical="center" wrapText="1"/>
    </xf>
    <xf borderId="28" fillId="0" fontId="20" numFmtId="0" xfId="0" applyAlignment="1" applyBorder="1" applyFont="1">
      <alignment horizontal="center" readingOrder="0" shrinkToFit="0" vertical="center" wrapText="1"/>
    </xf>
    <xf borderId="0" fillId="0" fontId="37" numFmtId="0" xfId="0" applyAlignment="1" applyFont="1">
      <alignment horizontal="center" vertical="center"/>
    </xf>
    <xf borderId="28" fillId="0" fontId="20" numFmtId="170" xfId="0" applyAlignment="1" applyBorder="1" applyFont="1" applyNumberFormat="1">
      <alignment horizontal="center" readingOrder="0" shrinkToFit="0" vertical="center" wrapText="1"/>
    </xf>
    <xf borderId="12" fillId="2" fontId="20" numFmtId="0" xfId="0" applyAlignment="1" applyBorder="1" applyFill="1" applyFont="1">
      <alignment horizontal="center" shrinkToFit="0" vertical="center" wrapText="1"/>
    </xf>
    <xf borderId="12" fillId="2" fontId="20" numFmtId="0" xfId="0" applyAlignment="1" applyBorder="1" applyFill="1" applyFont="1">
      <alignment horizontal="left" shrinkToFit="0" vertical="center" wrapText="1"/>
    </xf>
    <xf borderId="15" fillId="2" fontId="20" numFmtId="165" xfId="0" applyAlignment="1" applyBorder="1" applyFill="1" applyFont="1" applyNumberFormat="1">
      <alignment horizontal="left" shrinkToFit="0" vertical="center" wrapText="1"/>
    </xf>
    <xf borderId="11" fillId="0" fontId="24" numFmtId="0" xfId="0" applyAlignment="1" applyBorder="1" applyFont="1">
      <alignment horizontal="center" readingOrder="0" shrinkToFit="0" vertical="center" wrapText="1"/>
    </xf>
    <xf borderId="19" fillId="0" fontId="37" numFmtId="175" xfId="0" applyAlignment="1" applyBorder="1" applyFont="1" applyNumberFormat="1">
      <alignment horizontal="center" readingOrder="0" vertical="center"/>
    </xf>
    <xf borderId="12" fillId="0" fontId="56" numFmtId="0" xfId="0" applyAlignment="1" applyBorder="1" applyFont="1">
      <alignment readingOrder="0" vertical="center"/>
    </xf>
    <xf borderId="12" fillId="0" fontId="37" numFmtId="175" xfId="0" applyAlignment="1" applyBorder="1" applyFont="1" applyNumberFormat="1">
      <alignment horizontal="center" readingOrder="0" vertical="center"/>
    </xf>
    <xf borderId="12" fillId="0" fontId="57" numFmtId="0" xfId="0" applyAlignment="1" applyBorder="1" applyFont="1">
      <alignment horizontal="center" readingOrder="0" shrinkToFit="0" vertical="center" wrapText="1"/>
    </xf>
    <xf borderId="12" fillId="0" fontId="21" numFmtId="0" xfId="0" applyAlignment="1" applyBorder="1" applyFont="1">
      <alignment horizontal="left" shrinkToFit="0" vertical="center" wrapText="1"/>
    </xf>
    <xf borderId="16" fillId="0" fontId="28" numFmtId="165" xfId="0" applyAlignment="1" applyBorder="1" applyFont="1" applyNumberFormat="1">
      <alignment horizontal="left" readingOrder="0" shrinkToFit="0" vertical="center" wrapText="1"/>
    </xf>
    <xf borderId="15" fillId="2" fontId="20" numFmtId="0" xfId="0" applyAlignment="1" applyBorder="1" applyFill="1" applyFont="1">
      <alignment horizontal="left" readingOrder="0" shrinkToFit="0" vertical="center" wrapText="1"/>
    </xf>
    <xf borderId="0" fillId="12" fontId="58" numFmtId="0" xfId="0" applyAlignment="1" applyFill="1" applyFont="1">
      <alignment readingOrder="0" vertical="center"/>
    </xf>
    <xf borderId="28" fillId="2" fontId="20" numFmtId="0" xfId="0" applyAlignment="1" applyBorder="1" applyFill="1" applyFont="1">
      <alignment horizontal="center" readingOrder="0" shrinkToFit="0" vertical="center" wrapText="1"/>
    </xf>
    <xf borderId="12" fillId="0" fontId="21" numFmtId="0" xfId="0" applyAlignment="1" applyBorder="1" applyFont="1">
      <alignment horizontal="center" shrinkToFit="0" vertical="center" wrapText="1"/>
    </xf>
    <xf borderId="12" fillId="0" fontId="59" numFmtId="0" xfId="0" applyAlignment="1" applyBorder="1" applyFont="1">
      <alignment horizontal="left" readingOrder="0" shrinkToFit="0" vertical="center" wrapText="1"/>
    </xf>
    <xf borderId="15" fillId="2" fontId="20" numFmtId="0" xfId="0" applyAlignment="1" applyBorder="1" applyFill="1" applyFont="1">
      <alignment horizontal="center" readingOrder="0" shrinkToFit="0" vertical="center" wrapText="1"/>
    </xf>
    <xf borderId="15" fillId="0" fontId="21" numFmtId="165" xfId="0" applyAlignment="1" applyBorder="1" applyFont="1" applyNumberFormat="1">
      <alignment horizontal="left" readingOrder="0" shrinkToFit="0" vertical="center" wrapText="1"/>
    </xf>
    <xf quotePrefix="1" borderId="15" fillId="0" fontId="11" numFmtId="0" xfId="0" applyAlignment="1" applyBorder="1" applyFont="1">
      <alignment horizontal="left" readingOrder="0" shrinkToFit="0" vertical="center" wrapText="1"/>
    </xf>
    <xf borderId="16" fillId="0" fontId="21" numFmtId="168" xfId="0" applyAlignment="1" applyBorder="1" applyFont="1" applyNumberFormat="1">
      <alignment horizontal="right" readingOrder="0" shrinkToFit="0" vertical="center" wrapText="1"/>
    </xf>
    <xf borderId="12" fillId="0" fontId="11" numFmtId="168" xfId="0" applyAlignment="1" applyBorder="1" applyFont="1" applyNumberFormat="1">
      <alignment horizontal="center" readingOrder="0" shrinkToFit="0" vertical="center" wrapText="1"/>
    </xf>
    <xf borderId="23" fillId="2" fontId="20" numFmtId="0" xfId="0" applyAlignment="1" applyBorder="1" applyFill="1" applyFont="1">
      <alignment horizontal="left" shrinkToFit="0" vertical="center" wrapText="1"/>
    </xf>
    <xf borderId="11" fillId="7" fontId="11" numFmtId="0" xfId="0" applyAlignment="1" applyBorder="1" applyFill="1" applyFont="1">
      <alignment horizontal="center" readingOrder="0" shrinkToFit="0" vertical="center" wrapText="1"/>
    </xf>
    <xf borderId="0" fillId="4" fontId="60" numFmtId="0" xfId="0" applyAlignment="1" applyFill="1" applyFont="1">
      <alignment readingOrder="0" vertical="center"/>
    </xf>
    <xf borderId="12" fillId="0" fontId="61" numFmtId="0" xfId="0" applyAlignment="1" applyBorder="1" applyFont="1">
      <alignment horizontal="left" readingOrder="0" shrinkToFit="0" vertical="center" wrapText="1"/>
    </xf>
    <xf borderId="0" fillId="14" fontId="36" numFmtId="0" xfId="0" applyAlignment="1" applyFill="1" applyFont="1">
      <alignment readingOrder="0" vertical="center"/>
    </xf>
    <xf borderId="23" fillId="0" fontId="24" numFmtId="0" xfId="0" applyAlignment="1" applyBorder="1" applyFont="1">
      <alignment horizontal="left" readingOrder="0" shrinkToFit="0" vertical="center" wrapText="1"/>
    </xf>
    <xf borderId="11" fillId="12" fontId="11" numFmtId="0" xfId="0" applyAlignment="1" applyBorder="1" applyFill="1" applyFont="1">
      <alignment horizontal="center" readingOrder="0" shrinkToFit="0" vertical="center" wrapText="1"/>
    </xf>
    <xf borderId="16" fillId="0" fontId="62" numFmtId="166" xfId="0" applyAlignment="1" applyBorder="1" applyFont="1" applyNumberFormat="1">
      <alignment horizontal="left" readingOrder="0"/>
    </xf>
    <xf quotePrefix="1" borderId="15" fillId="0" fontId="37" numFmtId="0" xfId="0" applyAlignment="1" applyBorder="1" applyFont="1">
      <alignment readingOrder="0"/>
    </xf>
    <xf borderId="0" fillId="0" fontId="31" numFmtId="0" xfId="0" applyAlignment="1" applyFont="1">
      <alignment readingOrder="0" vertical="center"/>
    </xf>
    <xf borderId="12" fillId="0" fontId="5" numFmtId="0" xfId="0" applyAlignment="1" applyBorder="1" applyFont="1">
      <alignment horizontal="center" readingOrder="0" vertical="center"/>
    </xf>
    <xf borderId="25" fillId="0" fontId="21" numFmtId="0" xfId="0" applyAlignment="1" applyBorder="1" applyFont="1">
      <alignment horizontal="left" readingOrder="0" shrinkToFit="0" vertical="center" wrapText="1"/>
    </xf>
    <xf borderId="12" fillId="0" fontId="5" numFmtId="0" xfId="0" applyAlignment="1" applyBorder="1" applyFont="1">
      <alignment vertical="center"/>
    </xf>
    <xf borderId="25" fillId="7" fontId="23" numFmtId="0" xfId="0" applyAlignment="1" applyBorder="1" applyFill="1" applyFont="1">
      <alignment horizontal="center" readingOrder="0" shrinkToFit="0" vertical="center" wrapText="1"/>
    </xf>
    <xf borderId="25" fillId="0" fontId="23" numFmtId="0" xfId="0" applyAlignment="1" applyBorder="1" applyFont="1">
      <alignment horizontal="center" readingOrder="0" shrinkToFit="0" vertical="center" wrapText="1"/>
    </xf>
    <xf borderId="12" fillId="0" fontId="11" numFmtId="169" xfId="0" applyAlignment="1" applyBorder="1" applyFont="1" applyNumberFormat="1">
      <alignment vertical="center"/>
    </xf>
    <xf borderId="23" fillId="0" fontId="20" numFmtId="176" xfId="0" applyAlignment="1" applyBorder="1" applyFont="1" applyNumberFormat="1">
      <alignment horizontal="left" readingOrder="0" shrinkToFit="0" vertical="center" wrapText="1"/>
    </xf>
    <xf borderId="12" fillId="0" fontId="18" numFmtId="169" xfId="0" applyAlignment="1" applyBorder="1" applyFont="1" applyNumberFormat="1">
      <alignment vertical="center"/>
    </xf>
    <xf borderId="25" fillId="0" fontId="20" numFmtId="0" xfId="0" applyAlignment="1" applyBorder="1" applyFont="1">
      <alignment horizontal="left" readingOrder="0" shrinkToFit="0" vertical="center" wrapText="1"/>
    </xf>
    <xf borderId="12" fillId="0" fontId="11" numFmtId="0" xfId="0" applyAlignment="1" applyBorder="1" applyFont="1">
      <alignment vertical="center"/>
    </xf>
    <xf borderId="29" fillId="0" fontId="20" numFmtId="165" xfId="0" applyAlignment="1" applyBorder="1" applyFont="1" applyNumberFormat="1">
      <alignment horizontal="left" readingOrder="0" shrinkToFit="0" vertical="center" wrapText="1"/>
    </xf>
    <xf borderId="15" fillId="0" fontId="11" numFmtId="165" xfId="0" applyAlignment="1" applyBorder="1" applyFont="1" applyNumberFormat="1">
      <alignment horizontal="left" vertical="center"/>
    </xf>
    <xf borderId="30" fillId="0" fontId="20" numFmtId="165" xfId="0" applyAlignment="1" applyBorder="1" applyFont="1" applyNumberFormat="1">
      <alignment horizontal="left" readingOrder="0" shrinkToFit="0" vertical="center" wrapText="1"/>
    </xf>
    <xf borderId="0" fillId="0" fontId="28" numFmtId="166" xfId="0" applyAlignment="1" applyFont="1" applyNumberFormat="1">
      <alignment vertical="center"/>
    </xf>
    <xf borderId="31" fillId="0" fontId="20" numFmtId="166" xfId="0" applyAlignment="1" applyBorder="1" applyFont="1" applyNumberFormat="1">
      <alignment horizontal="left" readingOrder="0" shrinkToFit="0" vertical="center" wrapText="1"/>
    </xf>
    <xf borderId="18" fillId="0" fontId="5" numFmtId="166" xfId="0" applyAlignment="1" applyBorder="1" applyFont="1" applyNumberFormat="1">
      <alignment vertical="center"/>
    </xf>
    <xf borderId="20" fillId="0" fontId="14" numFmtId="169" xfId="0" applyAlignment="1" applyBorder="1" applyFont="1" applyNumberFormat="1">
      <alignment horizontal="center" readingOrder="0" vertical="center"/>
    </xf>
    <xf borderId="12" fillId="0" fontId="63" numFmtId="169" xfId="0" applyAlignment="1" applyBorder="1" applyFont="1" applyNumberFormat="1">
      <alignment vertical="center"/>
    </xf>
    <xf borderId="12" fillId="0" fontId="64" numFmtId="169" xfId="0" applyAlignment="1" applyBorder="1" applyFont="1" applyNumberFormat="1">
      <alignment horizontal="center" readingOrder="0" vertical="center"/>
    </xf>
    <xf borderId="16" fillId="0" fontId="65" numFmtId="169" xfId="0" applyAlignment="1" applyBorder="1" applyFont="1" applyNumberFormat="1">
      <alignment horizontal="center" readingOrder="0" vertical="center"/>
    </xf>
    <xf borderId="20" fillId="0" fontId="5" numFmtId="169" xfId="0" applyAlignment="1" applyBorder="1" applyFont="1" applyNumberFormat="1">
      <alignment vertical="center"/>
    </xf>
    <xf borderId="16" fillId="0" fontId="5" numFmtId="168" xfId="0" applyAlignment="1" applyBorder="1" applyFont="1" applyNumberFormat="1">
      <alignment horizontal="center" readingOrder="0" vertical="center"/>
    </xf>
    <xf borderId="11" fillId="0" fontId="5" numFmtId="168" xfId="0" applyAlignment="1" applyBorder="1" applyFont="1" applyNumberFormat="1">
      <alignment horizontal="center" readingOrder="0" vertical="center"/>
    </xf>
    <xf borderId="0" fillId="4" fontId="66" numFmtId="0" xfId="0" applyAlignment="1" applyFill="1" applyFont="1">
      <alignment readingOrder="0" vertical="center"/>
    </xf>
    <xf borderId="21" fillId="0" fontId="5" numFmtId="168" xfId="0" applyAlignment="1" applyBorder="1" applyFont="1" applyNumberFormat="1">
      <alignment horizontal="center" vertical="center"/>
    </xf>
    <xf borderId="13" fillId="0" fontId="5" numFmtId="170" xfId="0" applyAlignment="1" applyBorder="1" applyFont="1" applyNumberFormat="1">
      <alignment horizontal="center" vertical="center"/>
    </xf>
    <xf borderId="11" fillId="2" fontId="67" numFmtId="0" xfId="0" applyAlignment="1" applyBorder="1" applyFill="1" applyFont="1">
      <alignment horizontal="center" shrinkToFit="0" vertical="center" wrapText="1"/>
    </xf>
    <xf borderId="12" fillId="2" fontId="67" numFmtId="0" xfId="0" applyAlignment="1" applyBorder="1" applyFill="1" applyFont="1">
      <alignment horizontal="left" readingOrder="0" shrinkToFit="0" vertical="center" wrapText="1"/>
    </xf>
    <xf borderId="12" fillId="2" fontId="67" numFmtId="0" xfId="0" applyAlignment="1" applyBorder="1" applyFill="1" applyFont="1">
      <alignment horizontal="center" readingOrder="0" shrinkToFit="0" vertical="center" wrapText="1"/>
    </xf>
    <xf borderId="15" fillId="2" fontId="67" numFmtId="165" xfId="0" applyAlignment="1" applyBorder="1" applyFill="1" applyFont="1" applyNumberFormat="1">
      <alignment horizontal="left" readingOrder="0" shrinkToFit="0" vertical="center" wrapText="1"/>
    </xf>
    <xf borderId="0" fillId="2" fontId="21" numFmtId="171" xfId="0" applyAlignment="1" applyFill="1" applyFont="1" applyNumberFormat="1">
      <alignment horizontal="left" shrinkToFit="0" vertical="center" wrapText="1"/>
    </xf>
    <xf borderId="12" fillId="0" fontId="5" numFmtId="0" xfId="0" applyAlignment="1" applyBorder="1" applyFont="1">
      <alignment horizontal="center" readingOrder="0"/>
    </xf>
    <xf borderId="22" fillId="2" fontId="67" numFmtId="166" xfId="0" applyAlignment="1" applyBorder="1" applyFill="1" applyFont="1" applyNumberFormat="1">
      <alignment horizontal="right" readingOrder="0" shrinkToFit="0" vertical="center" wrapText="1"/>
    </xf>
    <xf borderId="12" fillId="0" fontId="5" numFmtId="0" xfId="0" applyAlignment="1" applyBorder="1" applyFont="1">
      <alignment horizontal="center"/>
    </xf>
    <xf borderId="17" fillId="2" fontId="67" numFmtId="167" xfId="0" applyAlignment="1" applyBorder="1" applyFill="1" applyFont="1" applyNumberFormat="1">
      <alignment horizontal="left" readingOrder="0" shrinkToFit="0" vertical="center" wrapText="1"/>
    </xf>
    <xf borderId="16" fillId="0" fontId="68" numFmtId="166" xfId="0" applyAlignment="1" applyBorder="1" applyFont="1" applyNumberFormat="1">
      <alignment horizontal="left" readingOrder="0" shrinkToFit="0" wrapText="1"/>
    </xf>
    <xf borderId="16" fillId="2" fontId="67" numFmtId="168" xfId="0" applyAlignment="1" applyBorder="1" applyFill="1" applyFont="1" applyNumberFormat="1">
      <alignment horizontal="right" readingOrder="0" shrinkToFit="0" vertical="center" wrapText="1"/>
    </xf>
    <xf borderId="12" fillId="0" fontId="5" numFmtId="0" xfId="0" applyBorder="1" applyFont="1"/>
    <xf borderId="13" fillId="2" fontId="67" numFmtId="0" xfId="0" applyAlignment="1" applyBorder="1" applyFill="1" applyFont="1">
      <alignment horizontal="center" readingOrder="0" shrinkToFit="0" vertical="center" wrapText="1"/>
    </xf>
    <xf borderId="12" fillId="0" fontId="5" numFmtId="169" xfId="0" applyBorder="1" applyFont="1" applyNumberFormat="1"/>
    <xf borderId="11" fillId="2" fontId="67" numFmtId="168" xfId="0" applyAlignment="1" applyBorder="1" applyFill="1" applyFont="1" applyNumberFormat="1">
      <alignment horizontal="right" readingOrder="0" shrinkToFit="0" vertical="center" wrapText="1"/>
    </xf>
    <xf borderId="12" fillId="0" fontId="65" numFmtId="169" xfId="0" applyBorder="1" applyFont="1" applyNumberFormat="1"/>
    <xf borderId="12" fillId="0" fontId="5" numFmtId="0" xfId="0" applyAlignment="1" applyBorder="1" applyFont="1">
      <alignment readingOrder="0"/>
    </xf>
    <xf borderId="0" fillId="0" fontId="36" numFmtId="0" xfId="0" applyAlignment="1" applyFont="1">
      <alignment readingOrder="0" vertical="center"/>
    </xf>
    <xf borderId="15" fillId="0" fontId="5" numFmtId="0" xfId="0" applyAlignment="1" applyBorder="1" applyFont="1">
      <alignment readingOrder="0"/>
    </xf>
    <xf borderId="21" fillId="2" fontId="67" numFmtId="168" xfId="0" applyAlignment="1" applyBorder="1" applyFill="1" applyFont="1" applyNumberFormat="1">
      <alignment horizontal="right" readingOrder="0" shrinkToFit="0" vertical="center" wrapText="1"/>
    </xf>
    <xf borderId="16" fillId="12" fontId="69" numFmtId="0" xfId="0" applyAlignment="1" applyBorder="1" applyFill="1" applyFont="1">
      <alignment readingOrder="0"/>
    </xf>
    <xf borderId="0" fillId="0" fontId="20" numFmtId="0" xfId="0" applyAlignment="1" applyFont="1">
      <alignment horizontal="center" readingOrder="0" shrinkToFit="0" vertical="center" wrapText="1"/>
    </xf>
    <xf borderId="18" fillId="12" fontId="69" numFmtId="0" xfId="0" applyAlignment="1" applyBorder="1" applyFill="1" applyFont="1">
      <alignment readingOrder="0"/>
    </xf>
    <xf borderId="20" fillId="0" fontId="11" numFmtId="0" xfId="0" applyAlignment="1" applyBorder="1" applyFont="1">
      <alignment horizontal="center" readingOrder="0" shrinkToFit="0" vertical="center" wrapText="1"/>
    </xf>
    <xf borderId="12" fillId="0" fontId="63" numFmtId="169" xfId="0" applyBorder="1" applyFont="1" applyNumberFormat="1"/>
    <xf borderId="12" fillId="2" fontId="70" numFmtId="0" xfId="0" applyAlignment="1" applyBorder="1" applyFill="1" applyFont="1">
      <alignment horizontal="center" readingOrder="0" shrinkToFit="0" vertical="center" wrapText="1"/>
    </xf>
    <xf borderId="12" fillId="0" fontId="71" numFmtId="169" xfId="0" applyAlignment="1" applyBorder="1" applyFont="1" applyNumberFormat="1">
      <alignment horizontal="center" readingOrder="0" vertical="center"/>
    </xf>
    <xf borderId="23" fillId="2" fontId="67" numFmtId="0" xfId="0" applyAlignment="1" applyBorder="1" applyFill="1" applyFont="1">
      <alignment horizontal="left" shrinkToFit="0" vertical="center" wrapText="1"/>
    </xf>
    <xf borderId="16" fillId="0" fontId="43" numFmtId="169" xfId="0" applyAlignment="1" applyBorder="1" applyFont="1" applyNumberFormat="1">
      <alignment horizontal="center" readingOrder="0"/>
    </xf>
    <xf borderId="20" fillId="9" fontId="65" numFmtId="0" xfId="0" applyAlignment="1" applyBorder="1" applyFill="1" applyFont="1">
      <alignment horizontal="center" readingOrder="0"/>
    </xf>
    <xf borderId="11" fillId="4" fontId="11" numFmtId="0" xfId="0" applyAlignment="1" applyBorder="1" applyFill="1" applyFont="1">
      <alignment horizontal="center" readingOrder="0" shrinkToFit="0" vertical="center" wrapText="1"/>
    </xf>
    <xf borderId="21" fillId="0" fontId="5" numFmtId="168" xfId="0" applyAlignment="1" applyBorder="1" applyFont="1" applyNumberFormat="1">
      <alignment horizontal="center" readingOrder="0" vertical="center"/>
    </xf>
    <xf borderId="13" fillId="0" fontId="11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readingOrder="0" vertical="center"/>
    </xf>
    <xf borderId="13" fillId="0" fontId="5" numFmtId="168" xfId="0" applyAlignment="1" applyBorder="1" applyFont="1" applyNumberFormat="1">
      <alignment horizontal="center" readingOrder="0" vertical="center"/>
    </xf>
    <xf borderId="13" fillId="0" fontId="5" numFmtId="168" xfId="0" applyAlignment="1" applyBorder="1" applyFont="1" applyNumberFormat="1">
      <alignment readingOrder="0"/>
    </xf>
    <xf borderId="12" fillId="0" fontId="20" numFmtId="0" xfId="0" applyAlignment="1" applyBorder="1" applyFont="1">
      <alignment horizontal="center" shrinkToFit="0" vertical="center" wrapText="1"/>
    </xf>
    <xf borderId="11" fillId="2" fontId="20" numFmtId="0" xfId="0" applyAlignment="1" applyBorder="1" applyFill="1" applyFont="1">
      <alignment horizontal="center" readingOrder="0" shrinkToFit="0" vertical="center" wrapText="1"/>
    </xf>
    <xf borderId="15" fillId="0" fontId="11" numFmtId="165" xfId="0" applyAlignment="1" applyBorder="1" applyFont="1" applyNumberFormat="1">
      <alignment horizontal="left" readingOrder="0" vertical="center"/>
    </xf>
    <xf borderId="16" fillId="0" fontId="11" numFmtId="166" xfId="0" applyAlignment="1" applyBorder="1" applyFont="1" applyNumberFormat="1">
      <alignment readingOrder="0" vertical="center"/>
    </xf>
    <xf borderId="18" fillId="0" fontId="11" numFmtId="0" xfId="0" applyAlignment="1" applyBorder="1" applyFont="1">
      <alignment readingOrder="0" vertical="center"/>
    </xf>
    <xf borderId="16" fillId="0" fontId="11" numFmtId="169" xfId="0" applyAlignment="1" applyBorder="1" applyFont="1" applyNumberFormat="1">
      <alignment vertical="center"/>
    </xf>
    <xf borderId="12" fillId="0" fontId="11" numFmtId="170" xfId="0" applyAlignment="1" applyBorder="1" applyFont="1" applyNumberFormat="1">
      <alignment horizontal="center" readingOrder="0" shrinkToFit="0" vertical="center" wrapText="1"/>
    </xf>
    <xf borderId="16" fillId="13" fontId="36" numFmtId="166" xfId="0" applyAlignment="1" applyBorder="1" applyFill="1" applyFont="1" applyNumberFormat="1">
      <alignment readingOrder="0" shrinkToFit="0" wrapText="0"/>
    </xf>
    <xf borderId="18" fillId="13" fontId="72" numFmtId="166" xfId="0" applyAlignment="1" applyBorder="1" applyFill="1" applyFont="1" applyNumberFormat="1">
      <alignment readingOrder="0" shrinkToFit="0" wrapText="1"/>
    </xf>
    <xf borderId="25" fillId="0" fontId="24" numFmtId="0" xfId="0" applyAlignment="1" applyBorder="1" applyFont="1">
      <alignment readingOrder="0" vertical="center"/>
    </xf>
    <xf borderId="25" fillId="0" fontId="5" numFmtId="0" xfId="0" applyAlignment="1" applyBorder="1" applyFont="1">
      <alignment horizontal="center" readingOrder="0" vertical="center"/>
    </xf>
    <xf borderId="23" fillId="0" fontId="73" numFmtId="0" xfId="0" applyAlignment="1" applyBorder="1" applyFont="1">
      <alignment horizontal="left" readingOrder="0" shrinkToFit="0" vertical="center" wrapText="1"/>
    </xf>
    <xf borderId="25" fillId="0" fontId="5" numFmtId="0" xfId="0" applyAlignment="1" applyBorder="1" applyFont="1">
      <alignment vertical="center"/>
    </xf>
    <xf borderId="25" fillId="0" fontId="11" numFmtId="169" xfId="0" applyAlignment="1" applyBorder="1" applyFont="1" applyNumberFormat="1">
      <alignment readingOrder="0" vertical="center"/>
    </xf>
    <xf borderId="25" fillId="0" fontId="18" numFmtId="169" xfId="0" applyAlignment="1" applyBorder="1" applyFont="1" applyNumberFormat="1">
      <alignment readingOrder="0" vertical="center"/>
    </xf>
    <xf borderId="25" fillId="0" fontId="11" numFmtId="0" xfId="0" applyAlignment="1" applyBorder="1" applyFont="1">
      <alignment readingOrder="0" vertical="center"/>
    </xf>
    <xf quotePrefix="1" borderId="29" fillId="0" fontId="11" numFmtId="0" xfId="0" applyAlignment="1" applyBorder="1" applyFont="1">
      <alignment horizontal="left" readingOrder="0" vertical="center"/>
    </xf>
    <xf borderId="16" fillId="0" fontId="62" numFmtId="166" xfId="0" applyAlignment="1" applyBorder="1" applyFont="1" applyNumberFormat="1">
      <alignment horizontal="left" readingOrder="0" shrinkToFit="0" wrapText="1"/>
    </xf>
    <xf borderId="30" fillId="0" fontId="28" numFmtId="166" xfId="0" applyAlignment="1" applyBorder="1" applyFont="1" applyNumberFormat="1">
      <alignment vertical="center"/>
    </xf>
    <xf borderId="31" fillId="0" fontId="5" numFmtId="166" xfId="0" applyAlignment="1" applyBorder="1" applyFont="1" applyNumberFormat="1">
      <alignment vertical="center"/>
    </xf>
    <xf borderId="13" fillId="9" fontId="11" numFmtId="0" xfId="0" applyAlignment="1" applyBorder="1" applyFill="1" applyFont="1">
      <alignment horizontal="center" readingOrder="0" shrinkToFit="0" vertical="center" wrapText="1"/>
    </xf>
    <xf borderId="13" fillId="0" fontId="20" numFmtId="164" xfId="0" applyAlignment="1" applyBorder="1" applyFont="1" applyNumberFormat="1">
      <alignment horizontal="center" readingOrder="0" shrinkToFit="0" vertical="center" wrapText="1"/>
    </xf>
    <xf borderId="12" fillId="13" fontId="5" numFmtId="168" xfId="0" applyAlignment="1" applyBorder="1" applyFill="1" applyFont="1" applyNumberFormat="1">
      <alignment horizontal="center" readingOrder="0" vertical="center"/>
    </xf>
    <xf borderId="24" fillId="0" fontId="5" numFmtId="164" xfId="0" applyAlignment="1" applyBorder="1" applyFont="1" applyNumberFormat="1">
      <alignment horizontal="center" vertical="center"/>
    </xf>
    <xf borderId="12" fillId="13" fontId="74" numFmtId="0" xfId="0" applyAlignment="1" applyBorder="1" applyFill="1" applyFont="1">
      <alignment readingOrder="0"/>
    </xf>
    <xf borderId="21" fillId="0" fontId="5" numFmtId="170" xfId="0" applyAlignment="1" applyBorder="1" applyFont="1" applyNumberFormat="1">
      <alignment horizontal="center" vertical="center"/>
    </xf>
    <xf borderId="24" fillId="0" fontId="5" numFmtId="164" xfId="0" applyBorder="1" applyFont="1" applyNumberFormat="1"/>
    <xf borderId="21" fillId="0" fontId="5" numFmtId="170" xfId="0" applyAlignment="1" applyBorder="1" applyFont="1" applyNumberFormat="1">
      <alignment vertical="center"/>
    </xf>
    <xf borderId="23" fillId="0" fontId="30" numFmtId="0" xfId="0" applyAlignment="1" applyBorder="1" applyFont="1">
      <alignment horizontal="left" readingOrder="0" shrinkToFit="0" vertical="center" wrapText="1"/>
    </xf>
    <xf borderId="21" fillId="0" fontId="11" numFmtId="0" xfId="0" applyAlignment="1" applyBorder="1" applyFont="1">
      <alignment horizontal="center" readingOrder="0" shrinkToFit="0" vertical="center" wrapText="1"/>
    </xf>
    <xf borderId="18" fillId="0" fontId="75" numFmtId="166" xfId="0" applyAlignment="1" applyBorder="1" applyFont="1" applyNumberFormat="1">
      <alignment horizontal="center" readingOrder="0" shrinkToFit="0" vertical="center" wrapText="1"/>
    </xf>
    <xf borderId="16" fillId="13" fontId="76" numFmtId="166" xfId="0" applyAlignment="1" applyBorder="1" applyFill="1" applyFont="1" applyNumberFormat="1">
      <alignment readingOrder="0"/>
    </xf>
    <xf quotePrefix="1" borderId="15" fillId="2" fontId="20" numFmtId="0" xfId="0" applyAlignment="1" applyBorder="1" applyFill="1" applyFont="1">
      <alignment horizontal="left" readingOrder="0" shrinkToFit="0" vertical="center" wrapText="1"/>
    </xf>
    <xf borderId="11" fillId="0" fontId="11" numFmtId="168" xfId="0" applyAlignment="1" applyBorder="1" applyFont="1" applyNumberFormat="1">
      <alignment horizontal="center" readingOrder="0" shrinkToFit="0" vertical="center" wrapText="1"/>
    </xf>
    <xf borderId="13" fillId="2" fontId="11" numFmtId="168" xfId="0" applyAlignment="1" applyBorder="1" applyFill="1" applyFont="1" applyNumberFormat="1">
      <alignment horizontal="center" readingOrder="0" shrinkToFit="0" vertical="center" wrapText="1"/>
    </xf>
    <xf borderId="0" fillId="0" fontId="20" numFmtId="166" xfId="0" applyAlignment="1" applyFont="1" applyNumberFormat="1">
      <alignment horizontal="center" readingOrder="0" shrinkToFit="0" vertical="center" wrapText="1"/>
    </xf>
    <xf borderId="12" fillId="0" fontId="77" numFmtId="0" xfId="0" applyAlignment="1" applyBorder="1" applyFont="1">
      <alignment horizontal="left" readingOrder="0" shrinkToFit="0" vertical="center" wrapText="1"/>
    </xf>
    <xf borderId="15" fillId="0" fontId="11" numFmtId="170" xfId="0" applyAlignment="1" applyBorder="1" applyFont="1" applyNumberFormat="1">
      <alignment horizontal="center" shrinkToFit="0" wrapText="1"/>
    </xf>
    <xf borderId="15" fillId="2" fontId="11" numFmtId="0" xfId="0" applyAlignment="1" applyBorder="1" applyFill="1" applyFont="1">
      <alignment horizontal="center" readingOrder="0" shrinkToFit="0" vertical="center" wrapText="1"/>
    </xf>
    <xf borderId="13" fillId="2" fontId="11" numFmtId="168" xfId="0" applyAlignment="1" applyBorder="1" applyFill="1" applyFont="1" applyNumberFormat="1">
      <alignment horizontal="right" readingOrder="0" shrinkToFit="0" vertical="center" wrapText="1"/>
    </xf>
    <xf borderId="13" fillId="2" fontId="11" numFmtId="164" xfId="0" applyAlignment="1" applyBorder="1" applyFill="1" applyFont="1" applyNumberFormat="1">
      <alignment horizontal="center" readingOrder="0" shrinkToFit="0" vertical="center" wrapText="1"/>
    </xf>
    <xf borderId="0" fillId="0" fontId="28" numFmtId="166" xfId="0" applyAlignment="1" applyFont="1" applyNumberFormat="1">
      <alignment horizontal="left" readingOrder="0" shrinkToFit="0" vertical="center" wrapText="1"/>
    </xf>
    <xf borderId="18" fillId="0" fontId="11" numFmtId="166" xfId="0" applyAlignment="1" applyBorder="1" applyFont="1" applyNumberFormat="1">
      <alignment horizontal="center" readingOrder="0" shrinkToFit="0" vertical="center" wrapText="1"/>
    </xf>
    <xf borderId="12" fillId="0" fontId="11" numFmtId="169" xfId="0" applyAlignment="1" applyBorder="1" applyFont="1" applyNumberFormat="1">
      <alignment horizontal="center" readingOrder="0" shrinkToFit="0" vertical="center" wrapText="1"/>
    </xf>
    <xf borderId="0" fillId="0" fontId="28" numFmtId="165" xfId="0" applyAlignment="1" applyFont="1" applyNumberFormat="1">
      <alignment horizontal="left" readingOrder="0" shrinkToFit="0" vertical="center" wrapText="1"/>
    </xf>
    <xf borderId="18" fillId="0" fontId="11" numFmtId="165" xfId="0" applyAlignment="1" applyBorder="1" applyFont="1" applyNumberFormat="1">
      <alignment horizontal="left" readingOrder="0" shrinkToFit="0" vertical="center" wrapText="1"/>
    </xf>
    <xf borderId="12" fillId="13" fontId="53" numFmtId="0" xfId="0" applyAlignment="1" applyBorder="1" applyFill="1" applyFont="1">
      <alignment readingOrder="0" shrinkToFit="0" wrapText="0"/>
    </xf>
    <xf borderId="16" fillId="0" fontId="78" numFmtId="169" xfId="0" applyAlignment="1" applyBorder="1" applyFont="1" applyNumberFormat="1">
      <alignment horizontal="center" readingOrder="0" shrinkToFit="0" vertical="center" wrapText="1"/>
    </xf>
    <xf borderId="12" fillId="2" fontId="11" numFmtId="0" xfId="0" applyAlignment="1" applyBorder="1" applyFill="1" applyFont="1">
      <alignment horizontal="left" readingOrder="0" shrinkToFit="0" vertical="center" wrapText="1"/>
    </xf>
    <xf borderId="12" fillId="5" fontId="11" numFmtId="0" xfId="0" applyAlignment="1" applyBorder="1" applyFill="1" applyFont="1">
      <alignment horizontal="left" readingOrder="0" shrinkToFit="0" vertical="center" wrapText="1"/>
    </xf>
    <xf borderId="0" fillId="2" fontId="23" numFmtId="0" xfId="0" applyAlignment="1" applyFill="1" applyFont="1">
      <alignment horizontal="center" readingOrder="0" shrinkToFit="0" vertical="center" wrapText="1"/>
    </xf>
    <xf borderId="0" fillId="0" fontId="20" numFmtId="165" xfId="0" applyAlignment="1" applyFont="1" applyNumberFormat="1">
      <alignment horizontal="left" readingOrder="0" shrinkToFit="0" vertical="center" wrapText="1"/>
    </xf>
    <xf borderId="12" fillId="0" fontId="37" numFmtId="0" xfId="0" applyAlignment="1" applyBorder="1" applyFont="1">
      <alignment horizontal="center"/>
    </xf>
    <xf borderId="12" fillId="2" fontId="22" numFmtId="0" xfId="0" applyAlignment="1" applyBorder="1" applyFill="1" applyFont="1">
      <alignment horizontal="center" readingOrder="0" shrinkToFit="0" vertical="center" wrapText="1"/>
    </xf>
    <xf borderId="12" fillId="2" fontId="22" numFmtId="0" xfId="0" applyAlignment="1" applyBorder="1" applyFill="1" applyFont="1">
      <alignment horizontal="center" shrinkToFit="0" vertical="center" wrapText="1"/>
    </xf>
    <xf borderId="12" fillId="2" fontId="11" numFmtId="0" xfId="0" applyAlignment="1" applyBorder="1" applyFill="1" applyFont="1">
      <alignment horizontal="center" readingOrder="0" shrinkToFit="0" vertical="center" wrapText="1"/>
    </xf>
    <xf borderId="12" fillId="2" fontId="11" numFmtId="169" xfId="0" applyAlignment="1" applyBorder="1" applyFill="1" applyFont="1" applyNumberFormat="1">
      <alignment horizontal="left" readingOrder="0" shrinkToFit="0" vertical="center" wrapText="1"/>
    </xf>
    <xf borderId="12" fillId="0" fontId="20" numFmtId="166" xfId="0" applyAlignment="1" applyBorder="1" applyFont="1" applyNumberFormat="1">
      <alignment horizontal="left" readingOrder="0" shrinkToFit="0" vertical="center" wrapText="1"/>
    </xf>
    <xf borderId="12" fillId="2" fontId="18" numFmtId="169" xfId="0" applyAlignment="1" applyBorder="1" applyFill="1" applyFont="1" applyNumberFormat="1">
      <alignment horizontal="left" readingOrder="0" shrinkToFit="0" vertical="center" wrapText="1"/>
    </xf>
    <xf borderId="15" fillId="2" fontId="11" numFmtId="165" xfId="0" applyAlignment="1" applyBorder="1" applyFill="1" applyFont="1" applyNumberFormat="1">
      <alignment horizontal="left" readingOrder="0" shrinkToFit="0" vertical="center" wrapText="1"/>
    </xf>
    <xf borderId="18" fillId="2" fontId="11" numFmtId="166" xfId="0" applyAlignment="1" applyBorder="1" applyFill="1" applyFont="1" applyNumberFormat="1">
      <alignment horizontal="left" readingOrder="0" shrinkToFit="0" vertical="center" wrapText="1"/>
    </xf>
    <xf borderId="12" fillId="2" fontId="19" numFmtId="169" xfId="0" applyAlignment="1" applyBorder="1" applyFill="1" applyFont="1" applyNumberFormat="1">
      <alignment horizontal="center" readingOrder="0" shrinkToFit="0" vertical="center" wrapText="1"/>
    </xf>
    <xf borderId="13" fillId="0" fontId="11" numFmtId="177" xfId="0" applyAlignment="1" applyBorder="1" applyFont="1" applyNumberFormat="1">
      <alignment horizontal="center" readingOrder="0" shrinkToFit="0" vertical="center" wrapText="1"/>
    </xf>
    <xf borderId="12" fillId="2" fontId="29" numFmtId="169" xfId="0" applyAlignment="1" applyBorder="1" applyFill="1" applyFont="1" applyNumberFormat="1">
      <alignment horizontal="center" readingOrder="0" shrinkToFit="0" vertical="center" wrapText="1"/>
    </xf>
    <xf borderId="16" fillId="2" fontId="43" numFmtId="169" xfId="0" applyAlignment="1" applyBorder="1" applyFill="1" applyFont="1" applyNumberFormat="1">
      <alignment horizontal="center" readingOrder="0" shrinkToFit="0" vertical="center" wrapText="1"/>
    </xf>
    <xf borderId="12" fillId="13" fontId="50" numFmtId="0" xfId="0" applyAlignment="1" applyBorder="1" applyFill="1" applyFont="1">
      <alignment readingOrder="0"/>
    </xf>
    <xf borderId="12" fillId="4" fontId="11" numFmtId="0" xfId="0" applyAlignment="1" applyBorder="1" applyFill="1" applyFont="1">
      <alignment readingOrder="0"/>
    </xf>
    <xf borderId="25" fillId="4" fontId="11" numFmtId="0" xfId="0" applyAlignment="1" applyBorder="1" applyFill="1" applyFont="1">
      <alignment horizontal="left" readingOrder="0" shrinkToFit="0" vertical="center" wrapText="1"/>
    </xf>
    <xf borderId="29" fillId="0" fontId="11" numFmtId="0" xfId="0" applyAlignment="1" applyBorder="1" applyFont="1">
      <alignment horizontal="center" readingOrder="0" shrinkToFit="0" vertical="center" wrapText="1"/>
    </xf>
    <xf borderId="29" fillId="0" fontId="11" numFmtId="170" xfId="0" applyAlignment="1" applyBorder="1" applyFont="1" applyNumberFormat="1">
      <alignment horizontal="center" readingOrder="0" shrinkToFit="0" vertical="center" wrapText="1"/>
    </xf>
    <xf borderId="15" fillId="0" fontId="20" numFmtId="166" xfId="0" applyAlignment="1" applyBorder="1" applyFont="1" applyNumberFormat="1">
      <alignment horizontal="left" readingOrder="0" shrinkToFit="0" vertical="center" wrapText="1"/>
    </xf>
    <xf borderId="12" fillId="4" fontId="11" numFmtId="0" xfId="0" applyAlignment="1" applyBorder="1" applyFill="1" applyFont="1">
      <alignment readingOrder="0" vertical="center"/>
    </xf>
    <xf borderId="12" fillId="0" fontId="79" numFmtId="0" xfId="0" applyAlignment="1" applyBorder="1" applyFont="1">
      <alignment horizontal="center" readingOrder="0" shrinkToFit="0" vertical="center" wrapText="1"/>
    </xf>
    <xf borderId="12" fillId="0" fontId="77" numFmtId="169" xfId="0" applyAlignment="1" applyBorder="1" applyFont="1" applyNumberFormat="1">
      <alignment horizontal="left" readingOrder="0" shrinkToFit="0" vertical="center" wrapText="1"/>
    </xf>
    <xf borderId="21" fillId="0" fontId="5" numFmtId="168" xfId="0" applyAlignment="1" applyBorder="1" applyFont="1" applyNumberFormat="1">
      <alignment readingOrder="0" vertical="center"/>
    </xf>
    <xf borderId="0" fillId="0" fontId="18" numFmtId="169" xfId="0" applyAlignment="1" applyFont="1" applyNumberFormat="1">
      <alignment horizontal="left" readingOrder="0" shrinkToFit="0" vertical="center" wrapText="1"/>
    </xf>
    <xf borderId="0" fillId="0" fontId="11" numFmtId="166" xfId="0" applyAlignment="1" applyFont="1" applyNumberFormat="1">
      <alignment horizontal="left" readingOrder="0" shrinkToFit="0" vertical="center" wrapText="1"/>
    </xf>
    <xf borderId="12" fillId="8" fontId="26" numFmtId="169" xfId="0" applyAlignment="1" applyBorder="1" applyFill="1" applyFont="1" applyNumberFormat="1">
      <alignment horizontal="center" readingOrder="0" shrinkToFit="0" vertical="center" wrapText="1"/>
    </xf>
    <xf borderId="13" fillId="0" fontId="24" numFmtId="0" xfId="0" applyAlignment="1" applyBorder="1" applyFont="1">
      <alignment horizontal="center" readingOrder="0" shrinkToFit="0" vertical="center" wrapText="1"/>
    </xf>
    <xf borderId="15" fillId="0" fontId="5" numFmtId="0" xfId="0" applyBorder="1" applyFont="1"/>
    <xf borderId="16" fillId="0" fontId="28" numFmtId="0" xfId="0" applyBorder="1" applyFont="1"/>
    <xf borderId="18" fillId="0" fontId="5" numFmtId="0" xfId="0" applyBorder="1" applyFont="1"/>
    <xf borderId="20" fillId="0" fontId="5" numFmtId="169" xfId="0" applyBorder="1" applyFont="1" applyNumberFormat="1"/>
    <xf borderId="25" fillId="9" fontId="11" numFmtId="0" xfId="0" applyAlignment="1" applyBorder="1" applyFill="1" applyFont="1">
      <alignment horizontal="left" readingOrder="0" shrinkToFit="0" vertical="center" wrapText="1"/>
    </xf>
    <xf borderId="0" fillId="2" fontId="22" numFmtId="0" xfId="0" applyAlignment="1" applyFill="1" applyFont="1">
      <alignment horizontal="center" readingOrder="0" shrinkToFit="0" vertical="center" wrapText="1"/>
    </xf>
    <xf borderId="15" fillId="2" fontId="11" numFmtId="0" xfId="0" applyAlignment="1" applyBorder="1" applyFill="1" applyFont="1">
      <alignment horizontal="left" readingOrder="0" shrinkToFit="0" vertical="center" wrapText="1"/>
    </xf>
    <xf borderId="20" fillId="2" fontId="11" numFmtId="0" xfId="0" applyAlignment="1" applyBorder="1" applyFill="1" applyFont="1">
      <alignment horizontal="center" readingOrder="0" shrinkToFit="0" vertical="center" wrapText="1"/>
    </xf>
    <xf borderId="23" fillId="2" fontId="11" numFmtId="168" xfId="0" applyAlignment="1" applyBorder="1" applyFill="1" applyFont="1" applyNumberFormat="1">
      <alignment horizontal="right" readingOrder="0" shrinkToFit="0" vertical="center" wrapText="1"/>
    </xf>
    <xf borderId="16" fillId="2" fontId="11" numFmtId="168" xfId="0" applyAlignment="1" applyBorder="1" applyFill="1" applyFont="1" applyNumberFormat="1">
      <alignment horizontal="center" readingOrder="0" shrinkToFit="0" vertical="center" wrapText="1"/>
    </xf>
    <xf borderId="25" fillId="0" fontId="56" numFmtId="0" xfId="0" applyAlignment="1" applyBorder="1" applyFont="1">
      <alignment readingOrder="0" vertical="center"/>
    </xf>
    <xf borderId="13" fillId="2" fontId="11" numFmtId="178" xfId="0" applyAlignment="1" applyBorder="1" applyFill="1" applyFont="1" applyNumberFormat="1">
      <alignment horizontal="center" readingOrder="0" shrinkToFit="0" vertical="center" wrapText="1"/>
    </xf>
    <xf borderId="29" fillId="0" fontId="11" numFmtId="0" xfId="0" applyAlignment="1" applyBorder="1" applyFont="1">
      <alignment horizontal="center" shrinkToFit="0" wrapText="1"/>
    </xf>
    <xf borderId="29" fillId="0" fontId="11" numFmtId="170" xfId="0" applyAlignment="1" applyBorder="1" applyFont="1" applyNumberFormat="1">
      <alignment horizontal="center" shrinkToFit="0" wrapText="1"/>
    </xf>
    <xf borderId="18" fillId="0" fontId="73" numFmtId="166" xfId="0" applyAlignment="1" applyBorder="1" applyFont="1" applyNumberFormat="1">
      <alignment horizontal="left" readingOrder="0" shrinkToFit="0" vertical="center" wrapText="1"/>
    </xf>
    <xf borderId="0" fillId="0" fontId="11" numFmtId="165" xfId="0" applyAlignment="1" applyFont="1" applyNumberFormat="1">
      <alignment horizontal="left" readingOrder="0" shrinkToFit="0" vertical="center" wrapText="1"/>
    </xf>
    <xf borderId="12" fillId="0" fontId="28" numFmtId="166" xfId="0" applyAlignment="1" applyBorder="1" applyFont="1" applyNumberFormat="1">
      <alignment horizontal="left" readingOrder="0" shrinkToFit="0" vertical="center" wrapText="1"/>
    </xf>
    <xf borderId="20" fillId="4" fontId="20" numFmtId="0" xfId="0" applyAlignment="1" applyBorder="1" applyFill="1" applyFont="1">
      <alignment horizontal="center" readingOrder="0" shrinkToFit="0" vertical="center" wrapText="1"/>
    </xf>
    <xf borderId="18" fillId="0" fontId="24" numFmtId="166" xfId="0" applyAlignment="1" applyBorder="1" applyFont="1" applyNumberFormat="1">
      <alignment horizontal="left" readingOrder="0" shrinkToFit="0" vertical="center" wrapText="1"/>
    </xf>
    <xf borderId="20" fillId="4" fontId="11" numFmtId="0" xfId="0" applyAlignment="1" applyBorder="1" applyFill="1" applyFont="1">
      <alignment horizontal="center" readingOrder="0" shrinkToFit="0" vertical="center" wrapText="1"/>
    </xf>
    <xf borderId="32" fillId="0" fontId="11" numFmtId="166" xfId="0" applyAlignment="1" applyBorder="1" applyFont="1" applyNumberFormat="1">
      <alignment horizontal="right" readingOrder="0" shrinkToFit="0" vertical="center" wrapText="1"/>
    </xf>
    <xf borderId="33" fillId="0" fontId="5" numFmtId="0" xfId="0" applyAlignment="1" applyBorder="1" applyFont="1">
      <alignment readingOrder="0"/>
    </xf>
    <xf borderId="12" fillId="0" fontId="11" numFmtId="179" xfId="0" applyAlignment="1" applyBorder="1" applyFont="1" applyNumberFormat="1">
      <alignment horizontal="left" readingOrder="0" shrinkToFit="0" vertical="center" wrapText="1"/>
    </xf>
    <xf borderId="25" fillId="0" fontId="30" numFmtId="0" xfId="0" applyAlignment="1" applyBorder="1" applyFont="1">
      <alignment horizontal="left" shrinkToFit="0" vertical="center" wrapText="1"/>
    </xf>
    <xf borderId="12" fillId="17" fontId="23" numFmtId="0" xfId="0" applyAlignment="1" applyBorder="1" applyFill="1" applyFont="1">
      <alignment horizontal="center" readingOrder="0" shrinkToFit="0" vertical="center" wrapText="1"/>
    </xf>
    <xf borderId="12" fillId="0" fontId="23" numFmtId="180" xfId="0" applyAlignment="1" applyBorder="1" applyFont="1" applyNumberFormat="1">
      <alignment horizontal="center" readingOrder="0" shrinkToFit="0" vertical="center" wrapText="1"/>
    </xf>
    <xf borderId="12" fillId="5" fontId="80" numFmtId="169" xfId="0" applyAlignment="1" applyBorder="1" applyFill="1" applyFont="1" applyNumberFormat="1">
      <alignment horizontal="center" readingOrder="0" shrinkToFit="0" vertical="center" wrapText="1"/>
    </xf>
    <xf borderId="33" fillId="0" fontId="11" numFmtId="0" xfId="0" applyAlignment="1" applyBorder="1" applyFont="1">
      <alignment horizontal="left" shrinkToFit="0" vertical="center" wrapText="1"/>
    </xf>
    <xf borderId="0" fillId="0" fontId="81" numFmtId="166" xfId="0" applyAlignment="1" applyFont="1" applyNumberFormat="1">
      <alignment horizontal="left" readingOrder="0"/>
    </xf>
    <xf borderId="20" fillId="0" fontId="20" numFmtId="0" xfId="0" applyAlignment="1" applyBorder="1" applyFont="1">
      <alignment horizontal="center" readingOrder="0" shrinkToFit="0" vertical="center" wrapText="1"/>
    </xf>
    <xf borderId="33" fillId="0" fontId="11" numFmtId="0" xfId="0" applyAlignment="1" applyBorder="1" applyFont="1">
      <alignment horizontal="left" readingOrder="0" shrinkToFit="0" vertical="center" wrapText="1"/>
    </xf>
    <xf borderId="20" fillId="0" fontId="20" numFmtId="170" xfId="0" applyAlignment="1" applyBorder="1" applyFont="1" applyNumberFormat="1">
      <alignment horizontal="center" readingOrder="0" shrinkToFit="0" vertical="center" wrapText="1"/>
    </xf>
    <xf borderId="25" fillId="0" fontId="22" numFmtId="181" xfId="0" applyAlignment="1" applyBorder="1" applyFont="1" applyNumberFormat="1">
      <alignment horizontal="center" readingOrder="0" shrinkToFit="0" vertical="center" wrapText="1"/>
    </xf>
    <xf borderId="12" fillId="2" fontId="11" numFmtId="169" xfId="0" applyAlignment="1" applyBorder="1" applyFill="1" applyFont="1" applyNumberFormat="1">
      <alignment horizontal="center" readingOrder="0" shrinkToFit="0" vertical="center" wrapText="1"/>
    </xf>
    <xf borderId="12" fillId="2" fontId="18" numFmtId="169" xfId="0" applyAlignment="1" applyBorder="1" applyFill="1" applyFont="1" applyNumberFormat="1">
      <alignment horizontal="center" readingOrder="0" shrinkToFit="0" vertical="center" wrapText="1"/>
    </xf>
    <xf borderId="12" fillId="13" fontId="52" numFmtId="0" xfId="0" applyAlignment="1" applyBorder="1" applyFill="1" applyFont="1">
      <alignment readingOrder="0" shrinkToFit="0" wrapText="1"/>
    </xf>
    <xf borderId="16" fillId="12" fontId="36" numFmtId="166" xfId="0" applyAlignment="1" applyBorder="1" applyFill="1" applyFont="1" applyNumberFormat="1">
      <alignment readingOrder="0"/>
    </xf>
    <xf borderId="15" fillId="0" fontId="20" numFmtId="182" xfId="0" applyAlignment="1" applyBorder="1" applyFont="1" applyNumberFormat="1">
      <alignment horizontal="center" readingOrder="0" shrinkToFit="0" vertical="center" wrapText="1"/>
    </xf>
    <xf borderId="16" fillId="2" fontId="78" numFmtId="169" xfId="0" applyAlignment="1" applyBorder="1" applyFill="1" applyFont="1" applyNumberFormat="1">
      <alignment horizontal="center" readingOrder="0" shrinkToFit="0" vertical="center" wrapText="1"/>
    </xf>
    <xf borderId="31" fillId="0" fontId="11" numFmtId="167" xfId="0" applyAlignment="1" applyBorder="1" applyFont="1" applyNumberFormat="1">
      <alignment horizontal="left" readingOrder="0" shrinkToFit="0" vertical="center" wrapText="1"/>
    </xf>
    <xf borderId="24" fillId="0" fontId="5" numFmtId="182" xfId="0" applyAlignment="1" applyBorder="1" applyFont="1" applyNumberFormat="1">
      <alignment horizontal="center" vertical="center"/>
    </xf>
    <xf borderId="24" fillId="0" fontId="5" numFmtId="182" xfId="0" applyBorder="1" applyFont="1" applyNumberFormat="1"/>
    <xf borderId="25" fillId="0" fontId="11" numFmtId="0" xfId="0" applyAlignment="1" applyBorder="1" applyFont="1">
      <alignment readingOrder="0"/>
    </xf>
    <xf borderId="28" fillId="0" fontId="11" numFmtId="0" xfId="0" applyAlignment="1" applyBorder="1" applyFont="1">
      <alignment horizontal="center" shrinkToFit="0" wrapText="1"/>
    </xf>
    <xf borderId="15" fillId="0" fontId="68" numFmtId="166" xfId="0" applyAlignment="1" applyBorder="1" applyFont="1" applyNumberFormat="1">
      <alignment horizontal="left" readingOrder="0" shrinkToFit="0" wrapText="1"/>
    </xf>
    <xf borderId="28" fillId="0" fontId="11" numFmtId="170" xfId="0" applyAlignment="1" applyBorder="1" applyFont="1" applyNumberFormat="1">
      <alignment horizontal="center" shrinkToFit="0" wrapText="1"/>
    </xf>
    <xf borderId="20" fillId="0" fontId="20" numFmtId="166" xfId="0" applyAlignment="1" applyBorder="1" applyFont="1" applyNumberFormat="1">
      <alignment horizontal="left" readingOrder="0" shrinkToFit="0" vertical="center" wrapText="1"/>
    </xf>
    <xf borderId="12" fillId="13" fontId="5" numFmtId="168" xfId="0" applyBorder="1" applyFill="1" applyFont="1" applyNumberFormat="1"/>
    <xf borderId="12" fillId="0" fontId="27" numFmtId="169" xfId="0" applyAlignment="1" applyBorder="1" applyFont="1" applyNumberFormat="1">
      <alignment horizontal="center" readingOrder="0" shrinkToFit="0" vertical="center" wrapText="1"/>
    </xf>
    <xf borderId="12" fillId="7" fontId="22" numFmtId="0" xfId="0" applyAlignment="1" applyBorder="1" applyFill="1" applyFont="1">
      <alignment horizontal="center" readingOrder="0" shrinkToFit="0" vertical="center" wrapText="1"/>
    </xf>
    <xf borderId="15" fillId="0" fontId="5" numFmtId="170" xfId="0" applyBorder="1" applyFont="1" applyNumberFormat="1"/>
    <xf borderId="33" fillId="0" fontId="5" numFmtId="0" xfId="0" applyBorder="1" applyFont="1"/>
    <xf borderId="12" fillId="5" fontId="82" numFmtId="169" xfId="0" applyAlignment="1" applyBorder="1" applyFill="1" applyFont="1" applyNumberFormat="1">
      <alignment horizontal="center" readingOrder="0" shrinkToFit="0" vertical="center" wrapText="1"/>
    </xf>
    <xf quotePrefix="1" borderId="12" fillId="0" fontId="20" numFmtId="0" xfId="0" applyAlignment="1" applyBorder="1" applyFont="1">
      <alignment horizontal="left" readingOrder="0" shrinkToFit="0" vertical="center" wrapText="1"/>
    </xf>
    <xf borderId="15" fillId="12" fontId="83" numFmtId="165" xfId="0" applyAlignment="1" applyBorder="1" applyFill="1" applyFont="1" applyNumberFormat="1">
      <alignment readingOrder="0"/>
    </xf>
    <xf borderId="16" fillId="0" fontId="83" numFmtId="165" xfId="0" applyAlignment="1" applyBorder="1" applyFont="1" applyNumberFormat="1">
      <alignment readingOrder="0" shrinkToFit="0" wrapText="1"/>
    </xf>
    <xf borderId="24" fillId="0" fontId="5" numFmtId="0" xfId="0" applyAlignment="1" applyBorder="1" applyFont="1">
      <alignment horizontal="center" readingOrder="0" vertical="center"/>
    </xf>
    <xf borderId="34" fillId="0" fontId="11" numFmtId="0" xfId="0" applyAlignment="1" applyBorder="1" applyFont="1">
      <alignment horizontal="left" readingOrder="0" shrinkToFit="0" vertical="center" wrapText="1"/>
    </xf>
    <xf borderId="12" fillId="18" fontId="23" numFmtId="0" xfId="0" applyAlignment="1" applyBorder="1" applyFill="1" applyFont="1">
      <alignment horizontal="center" readingOrder="0" shrinkToFit="0" vertical="center" wrapText="1"/>
    </xf>
    <xf borderId="21" fillId="0" fontId="11" numFmtId="166" xfId="0" applyAlignment="1" applyBorder="1" applyFont="1" applyNumberFormat="1">
      <alignment horizontal="right" readingOrder="0" shrinkToFit="0" vertical="center" wrapText="1"/>
    </xf>
    <xf borderId="18" fillId="0" fontId="11" numFmtId="167" xfId="0" applyAlignment="1" applyBorder="1" applyFont="1" applyNumberFormat="1">
      <alignment horizontal="left" readingOrder="0" shrinkToFit="0" vertical="center" wrapText="1"/>
    </xf>
    <xf borderId="12" fillId="0" fontId="21" numFmtId="0" xfId="0" applyAlignment="1" applyBorder="1" applyFont="1">
      <alignment horizontal="center" readingOrder="0" shrinkToFit="0" vertical="center" wrapText="1"/>
    </xf>
    <xf borderId="15" fillId="0" fontId="21" numFmtId="165" xfId="0" applyAlignment="1" applyBorder="1" applyFont="1" applyNumberFormat="1">
      <alignment horizontal="left" shrinkToFit="0" vertical="center" wrapText="1"/>
    </xf>
    <xf borderId="24" fillId="0" fontId="11" numFmtId="0" xfId="0" applyAlignment="1" applyBorder="1" applyFont="1">
      <alignment horizontal="left" readingOrder="0" shrinkToFit="0" vertical="center" wrapText="1"/>
    </xf>
    <xf borderId="19" fillId="0" fontId="21" numFmtId="168" xfId="0" applyAlignment="1" applyBorder="1" applyFont="1" applyNumberFormat="1">
      <alignment horizontal="right" readingOrder="0" shrinkToFit="0" vertical="center" wrapText="1"/>
    </xf>
    <xf borderId="12" fillId="0" fontId="84" numFmtId="0" xfId="0" applyAlignment="1" applyBorder="1" applyFont="1">
      <alignment readingOrder="0" vertical="center"/>
    </xf>
    <xf borderId="12" fillId="0" fontId="5" numFmtId="169" xfId="0" applyAlignment="1" applyBorder="1" applyFont="1" applyNumberFormat="1">
      <alignment vertical="center"/>
    </xf>
    <xf borderId="12" fillId="0" fontId="65" numFmtId="169" xfId="0" applyAlignment="1" applyBorder="1" applyFont="1" applyNumberFormat="1">
      <alignment vertical="center"/>
    </xf>
    <xf borderId="15" fillId="0" fontId="5" numFmtId="165" xfId="0" applyAlignment="1" applyBorder="1" applyFont="1" applyNumberFormat="1">
      <alignment horizontal="left" vertical="center"/>
    </xf>
    <xf borderId="18" fillId="0" fontId="5" numFmtId="166" xfId="0" applyBorder="1" applyFont="1" applyNumberFormat="1"/>
    <xf borderId="16" fillId="0" fontId="5" numFmtId="0" xfId="0" applyAlignment="1" applyBorder="1" applyFont="1">
      <alignment readingOrder="0"/>
    </xf>
    <xf borderId="25" fillId="0" fontId="85" numFmtId="0" xfId="0" applyAlignment="1" applyBorder="1" applyFont="1">
      <alignment readingOrder="0" vertical="center"/>
    </xf>
    <xf borderId="28" fillId="0" fontId="11" numFmtId="170" xfId="0" applyAlignment="1" applyBorder="1" applyFont="1" applyNumberFormat="1">
      <alignment horizontal="center" readingOrder="0" shrinkToFit="0" vertical="center" wrapText="1"/>
    </xf>
    <xf borderId="12" fillId="2" fontId="21" numFmtId="0" xfId="0" applyAlignment="1" applyBorder="1" applyFill="1" applyFont="1">
      <alignment horizontal="center" shrinkToFit="0" vertical="center" wrapText="1"/>
    </xf>
    <xf borderId="12" fillId="2" fontId="21" numFmtId="0" xfId="0" applyAlignment="1" applyBorder="1" applyFill="1" applyFont="1">
      <alignment horizontal="left" shrinkToFit="0" vertical="center" wrapText="1"/>
    </xf>
    <xf borderId="25" fillId="0" fontId="30" numFmtId="0" xfId="0" applyAlignment="1" applyBorder="1" applyFont="1">
      <alignment horizontal="left" readingOrder="0" shrinkToFit="0" vertical="center" wrapText="1"/>
    </xf>
    <xf borderId="15" fillId="2" fontId="21" numFmtId="165" xfId="0" applyAlignment="1" applyBorder="1" applyFill="1" applyFont="1" applyNumberFormat="1">
      <alignment horizontal="left" shrinkToFit="0" vertical="center" wrapText="1"/>
    </xf>
    <xf borderId="16" fillId="0" fontId="47" numFmtId="166" xfId="0" applyAlignment="1" applyBorder="1" applyFont="1" applyNumberFormat="1">
      <alignment horizontal="left" readingOrder="0" shrinkToFit="0" wrapText="1"/>
    </xf>
    <xf borderId="12" fillId="0" fontId="30" numFmtId="168" xfId="0" applyAlignment="1" applyBorder="1" applyFont="1" applyNumberFormat="1">
      <alignment horizontal="right" readingOrder="0" shrinkToFit="0" vertical="center" wrapText="1"/>
    </xf>
    <xf borderId="22" fillId="2" fontId="21" numFmtId="166" xfId="0" applyAlignment="1" applyBorder="1" applyFill="1" applyFont="1" applyNumberFormat="1">
      <alignment horizontal="right" readingOrder="0" shrinkToFit="0" vertical="center" wrapText="1"/>
    </xf>
    <xf borderId="12" fillId="0" fontId="86" numFmtId="169" xfId="0" applyAlignment="1" applyBorder="1" applyFont="1" applyNumberFormat="1">
      <alignment horizontal="center" readingOrder="0" shrinkToFit="0" vertical="center" wrapText="1"/>
    </xf>
    <xf borderId="19" fillId="2" fontId="21" numFmtId="168" xfId="0" applyAlignment="1" applyBorder="1" applyFill="1" applyFont="1" applyNumberFormat="1">
      <alignment horizontal="right" readingOrder="0" shrinkToFit="0" vertical="center" wrapText="1"/>
    </xf>
    <xf borderId="15" fillId="2" fontId="21" numFmtId="0" xfId="0" applyAlignment="1" applyBorder="1" applyFill="1" applyFont="1">
      <alignment horizontal="center" readingOrder="0" shrinkToFit="0" vertical="center" wrapText="1"/>
    </xf>
    <xf borderId="23" fillId="2" fontId="21" numFmtId="0" xfId="0" applyAlignment="1" applyBorder="1" applyFill="1" applyFont="1">
      <alignment horizontal="left" shrinkToFit="0" vertical="center" wrapText="1"/>
    </xf>
    <xf borderId="12" fillId="2" fontId="20" numFmtId="0" xfId="0" applyAlignment="1" applyBorder="1" applyFill="1" applyFont="1">
      <alignment horizontal="left" readingOrder="0" shrinkToFit="0" vertical="center" wrapText="1"/>
    </xf>
    <xf borderId="0" fillId="0" fontId="11" numFmtId="0" xfId="0" applyAlignment="1" applyFont="1">
      <alignment readingOrder="0" vertical="center"/>
    </xf>
    <xf borderId="12" fillId="0" fontId="20" numFmtId="0" xfId="0" applyAlignment="1" applyBorder="1" applyFont="1">
      <alignment horizontal="left" readingOrder="0" shrinkToFit="0" vertical="center" wrapText="1"/>
    </xf>
    <xf borderId="12" fillId="0" fontId="11" numFmtId="169" xfId="0" applyAlignment="1" applyBorder="1" applyFont="1" applyNumberFormat="1">
      <alignment readingOrder="0" vertical="center"/>
    </xf>
    <xf borderId="12" fillId="0" fontId="18" numFmtId="169" xfId="0" applyAlignment="1" applyBorder="1" applyFont="1" applyNumberFormat="1">
      <alignment readingOrder="0" vertical="center"/>
    </xf>
    <xf borderId="25" fillId="2" fontId="24" numFmtId="0" xfId="0" applyAlignment="1" applyBorder="1" applyFill="1" applyFont="1">
      <alignment horizontal="left" readingOrder="0" shrinkToFit="0" vertical="center" wrapText="1"/>
    </xf>
    <xf borderId="15" fillId="0" fontId="28" numFmtId="166" xfId="0" applyAlignment="1" applyBorder="1" applyFont="1" applyNumberFormat="1">
      <alignment readingOrder="0" vertical="center"/>
    </xf>
    <xf borderId="12" fillId="0" fontId="19" numFmtId="169" xfId="0" applyAlignment="1" applyBorder="1" applyFont="1" applyNumberFormat="1">
      <alignment vertical="center"/>
    </xf>
    <xf borderId="12" fillId="2" fontId="46" numFmtId="0" xfId="0" applyAlignment="1" applyBorder="1" applyFill="1" applyFont="1">
      <alignment horizontal="center" readingOrder="0" shrinkToFit="0" vertical="center" wrapText="1"/>
    </xf>
    <xf borderId="25" fillId="0" fontId="87" numFmtId="0" xfId="0" applyAlignment="1" applyBorder="1" applyFont="1">
      <alignment horizontal="left" readingOrder="0" shrinkToFit="0" vertical="center" wrapText="1"/>
    </xf>
    <xf borderId="12" fillId="0" fontId="23" numFmtId="0" xfId="0" applyAlignment="1" applyBorder="1" applyFont="1">
      <alignment horizontal="center" shrinkToFit="0" vertical="center" wrapText="1"/>
    </xf>
    <xf borderId="31" fillId="2" fontId="30" numFmtId="167" xfId="0" applyAlignment="1" applyBorder="1" applyFill="1" applyFont="1" applyNumberFormat="1">
      <alignment horizontal="left" readingOrder="0" shrinkToFit="0" vertical="center" wrapText="1"/>
    </xf>
    <xf borderId="15" fillId="13" fontId="36" numFmtId="166" xfId="0" applyAlignment="1" applyBorder="1" applyFill="1" applyFont="1" applyNumberFormat="1">
      <alignment readingOrder="0" shrinkToFit="0" wrapText="0"/>
    </xf>
    <xf borderId="12" fillId="2" fontId="30" numFmtId="168" xfId="0" applyAlignment="1" applyBorder="1" applyFill="1" applyFont="1" applyNumberFormat="1">
      <alignment horizontal="right" readingOrder="0" shrinkToFit="0" vertical="center" wrapText="1"/>
    </xf>
    <xf borderId="28" fillId="2" fontId="30" numFmtId="0" xfId="0" applyAlignment="1" applyBorder="1" applyFill="1" applyFont="1">
      <alignment horizontal="center" readingOrder="0" shrinkToFit="0" vertical="center" wrapText="1"/>
    </xf>
    <xf borderId="15" fillId="2" fontId="30" numFmtId="0" xfId="0" applyAlignment="1" applyBorder="1" applyFill="1" applyFont="1">
      <alignment horizontal="center" readingOrder="0" shrinkToFit="0" vertical="center" wrapText="1"/>
    </xf>
    <xf borderId="21" fillId="2" fontId="30" numFmtId="168" xfId="0" applyAlignment="1" applyBorder="1" applyFill="1" applyFont="1" applyNumberFormat="1">
      <alignment horizontal="right" readingOrder="0" shrinkToFit="0" vertical="center" wrapText="1"/>
    </xf>
    <xf borderId="16" fillId="2" fontId="18" numFmtId="169" xfId="0" applyAlignment="1" applyBorder="1" applyFill="1" applyFont="1" applyNumberFormat="1">
      <alignment horizontal="center" readingOrder="0" shrinkToFit="0" vertical="center" wrapText="1"/>
    </xf>
    <xf borderId="13" fillId="2" fontId="30" numFmtId="0" xfId="0" applyAlignment="1" applyBorder="1" applyFill="1" applyFont="1">
      <alignment horizontal="center" readingOrder="0" shrinkToFit="0" vertical="center" wrapText="1"/>
    </xf>
    <xf borderId="33" fillId="2" fontId="30" numFmtId="0" xfId="0" applyAlignment="1" applyBorder="1" applyFill="1" applyFont="1">
      <alignment horizontal="left" shrinkToFit="0" vertical="center" wrapText="1"/>
    </xf>
    <xf borderId="12" fillId="0" fontId="14" numFmtId="168" xfId="0" applyAlignment="1" applyBorder="1" applyFont="1" applyNumberFormat="1">
      <alignment readingOrder="0"/>
    </xf>
    <xf borderId="28" fillId="0" fontId="11" numFmtId="0" xfId="0" applyAlignment="1" applyBorder="1" applyFont="1">
      <alignment horizontal="center" readingOrder="0" shrinkToFit="0" wrapText="1"/>
    </xf>
    <xf borderId="12" fillId="0" fontId="5" numFmtId="168" xfId="0" applyAlignment="1" applyBorder="1" applyFont="1" applyNumberFormat="1">
      <alignment readingOrder="0"/>
    </xf>
    <xf borderId="16" fillId="0" fontId="52" numFmtId="166" xfId="0" applyAlignment="1" applyBorder="1" applyFont="1" applyNumberFormat="1">
      <alignment readingOrder="0" shrinkToFit="0" wrapText="1"/>
    </xf>
    <xf borderId="12" fillId="13" fontId="5" numFmtId="168" xfId="0" applyAlignment="1" applyBorder="1" applyFill="1" applyFont="1" applyNumberFormat="1">
      <alignment readingOrder="0"/>
    </xf>
    <xf borderId="12" fillId="0" fontId="88" numFmtId="0" xfId="0" applyAlignment="1" applyBorder="1" applyFont="1">
      <alignment horizontal="left" readingOrder="0" shrinkToFit="0" vertical="center" wrapText="1"/>
    </xf>
    <xf borderId="12" fillId="5" fontId="89" numFmtId="169" xfId="0" applyAlignment="1" applyBorder="1" applyFill="1" applyFont="1" applyNumberFormat="1">
      <alignment horizontal="center" readingOrder="0" shrinkToFit="0" vertical="center" wrapText="1"/>
    </xf>
    <xf borderId="12" fillId="13" fontId="90" numFmtId="0" xfId="0" applyAlignment="1" applyBorder="1" applyFill="1" applyFont="1">
      <alignment readingOrder="0" vertical="center"/>
    </xf>
    <xf borderId="0" fillId="19" fontId="11" numFmtId="171" xfId="0" applyAlignment="1" applyFill="1" applyFont="1" applyNumberFormat="1">
      <alignment horizontal="left" shrinkToFit="0" vertical="center" wrapText="1"/>
    </xf>
    <xf borderId="25" fillId="0" fontId="55" numFmtId="0" xfId="0" applyAlignment="1" applyBorder="1" applyFont="1">
      <alignment horizontal="left" readingOrder="0" shrinkToFit="0" vertical="center" wrapText="1"/>
    </xf>
    <xf borderId="15" fillId="0" fontId="28" numFmtId="0" xfId="0" applyBorder="1" applyFont="1"/>
    <xf borderId="20" fillId="0" fontId="5" numFmtId="0" xfId="0" applyBorder="1" applyFont="1"/>
    <xf borderId="12" fillId="0" fontId="91" numFmtId="169" xfId="0" applyAlignment="1" applyBorder="1" applyFont="1" applyNumberFormat="1">
      <alignment horizontal="center" readingOrder="0"/>
    </xf>
    <xf borderId="35" fillId="0" fontId="11" numFmtId="0" xfId="0" applyAlignment="1" applyBorder="1" applyFont="1">
      <alignment horizontal="left" readingOrder="0" shrinkToFit="0" vertical="center" wrapText="1"/>
    </xf>
    <xf borderId="36" fillId="0" fontId="5" numFmtId="173" xfId="0" applyAlignment="1" applyBorder="1" applyFont="1" applyNumberFormat="1">
      <alignment horizontal="center" readingOrder="0" vertical="center"/>
    </xf>
    <xf borderId="36" fillId="0" fontId="5" numFmtId="0" xfId="0" applyAlignment="1" applyBorder="1" applyFont="1">
      <alignment horizontal="center" readingOrder="0" vertical="center"/>
    </xf>
    <xf borderId="12" fillId="0" fontId="23" numFmtId="182" xfId="0" applyAlignment="1" applyBorder="1" applyFont="1" applyNumberFormat="1">
      <alignment horizontal="center" readingOrder="0" shrinkToFit="0" vertical="center" wrapText="1"/>
    </xf>
    <xf borderId="21" fillId="2" fontId="24" numFmtId="168" xfId="0" applyAlignment="1" applyBorder="1" applyFill="1" applyFont="1" applyNumberFormat="1">
      <alignment horizontal="right" readingOrder="0" shrinkToFit="0" vertical="center" wrapText="1"/>
    </xf>
    <xf borderId="15" fillId="13" fontId="90" numFmtId="165" xfId="0" applyAlignment="1" applyBorder="1" applyFill="1" applyFont="1" applyNumberFormat="1">
      <alignment horizontal="left" readingOrder="0"/>
    </xf>
    <xf borderId="28" fillId="2" fontId="11" numFmtId="0" xfId="0" applyAlignment="1" applyBorder="1" applyFill="1" applyFont="1">
      <alignment horizontal="center" readingOrder="0" shrinkToFit="0" vertical="center" wrapText="1"/>
    </xf>
    <xf borderId="21" fillId="0" fontId="20" numFmtId="0" xfId="0" applyAlignment="1" applyBorder="1" applyFont="1">
      <alignment horizontal="right" readingOrder="0" shrinkToFit="0" vertical="center" wrapText="1"/>
    </xf>
    <xf borderId="17" fillId="9" fontId="11" numFmtId="0" xfId="0" applyAlignment="1" applyBorder="1" applyFill="1" applyFont="1">
      <alignment horizontal="center" readingOrder="0" shrinkToFit="0" vertical="center" wrapText="1"/>
    </xf>
    <xf quotePrefix="1" borderId="15" fillId="0" fontId="5" numFmtId="0" xfId="0" applyAlignment="1" applyBorder="1" applyFont="1">
      <alignment readingOrder="0"/>
    </xf>
    <xf quotePrefix="1" borderId="18" fillId="0" fontId="5" numFmtId="0" xfId="0" applyAlignment="1" applyBorder="1" applyFont="1">
      <alignment readingOrder="0"/>
    </xf>
    <xf borderId="12" fillId="0" fontId="5" numFmtId="169" xfId="0" applyAlignment="1" applyBorder="1" applyFont="1" applyNumberFormat="1">
      <alignment readingOrder="0"/>
    </xf>
    <xf borderId="25" fillId="0" fontId="77" numFmtId="0" xfId="0" applyAlignment="1" applyBorder="1" applyFont="1">
      <alignment horizontal="left" readingOrder="0" shrinkToFit="0" vertical="center" wrapText="1"/>
    </xf>
    <xf borderId="17" fillId="0" fontId="5" numFmtId="169" xfId="0" applyBorder="1" applyFont="1" applyNumberFormat="1"/>
    <xf borderId="12" fillId="13" fontId="11" numFmtId="168" xfId="0" applyAlignment="1" applyBorder="1" applyFill="1" applyFont="1" applyNumberFormat="1">
      <alignment horizontal="center" readingOrder="0" vertical="center"/>
    </xf>
    <xf borderId="25" fillId="8" fontId="11" numFmtId="0" xfId="0" applyAlignment="1" applyBorder="1" applyFill="1" applyFont="1">
      <alignment horizontal="left" readingOrder="0" shrinkToFit="0" vertical="center" wrapText="1"/>
    </xf>
    <xf borderId="12" fillId="13" fontId="92" numFmtId="169" xfId="0" applyAlignment="1" applyBorder="1" applyFill="1" applyFont="1" applyNumberFormat="1">
      <alignment readingOrder="0"/>
    </xf>
    <xf borderId="12" fillId="13" fontId="18" numFmtId="169" xfId="0" applyAlignment="1" applyBorder="1" applyFill="1" applyFont="1" applyNumberFormat="1">
      <alignment readingOrder="0"/>
    </xf>
    <xf borderId="12" fillId="13" fontId="92" numFmtId="0" xfId="0" applyAlignment="1" applyBorder="1" applyFill="1" applyFont="1">
      <alignment readingOrder="0"/>
    </xf>
    <xf borderId="12" fillId="0" fontId="43" numFmtId="169" xfId="0" applyAlignment="1" applyBorder="1" applyFont="1" applyNumberFormat="1">
      <alignment horizontal="center" readingOrder="0" shrinkToFit="0" vertical="center" wrapText="1"/>
    </xf>
    <xf borderId="16" fillId="0" fontId="28" numFmtId="0" xfId="0" applyAlignment="1" applyBorder="1" applyFont="1">
      <alignment readingOrder="0" shrinkToFit="0" wrapText="1"/>
    </xf>
    <xf borderId="12" fillId="0" fontId="19" numFmtId="169" xfId="0" applyBorder="1" applyFont="1" applyNumberFormat="1"/>
    <xf borderId="20" fillId="0" fontId="18" numFmtId="0" xfId="0" applyAlignment="1" applyBorder="1" applyFont="1">
      <alignment horizontal="center" readingOrder="0" shrinkToFit="0" vertical="center" wrapText="1"/>
    </xf>
    <xf borderId="11" fillId="13" fontId="11" numFmtId="168" xfId="0" applyAlignment="1" applyBorder="1" applyFill="1" applyFont="1" applyNumberFormat="1">
      <alignment horizontal="center" readingOrder="0" vertical="center"/>
    </xf>
    <xf borderId="12" fillId="0" fontId="30" numFmtId="0" xfId="0" applyAlignment="1" applyBorder="1" applyFont="1">
      <alignment readingOrder="0"/>
    </xf>
    <xf borderId="15" fillId="0" fontId="28" numFmtId="0" xfId="0" applyAlignment="1" applyBorder="1" applyFont="1">
      <alignment readingOrder="0" shrinkToFit="0" wrapText="1"/>
    </xf>
    <xf borderId="25" fillId="0" fontId="5" numFmtId="173" xfId="0" applyAlignment="1" applyBorder="1" applyFont="1" applyNumberFormat="1">
      <alignment horizontal="center" readingOrder="0"/>
    </xf>
    <xf borderId="25" fillId="0" fontId="5" numFmtId="0" xfId="0" applyAlignment="1" applyBorder="1" applyFont="1">
      <alignment horizontal="center" readingOrder="0"/>
    </xf>
    <xf borderId="12" fillId="0" fontId="93" numFmtId="169" xfId="0" applyAlignment="1" applyBorder="1" applyFont="1" applyNumberFormat="1">
      <alignment horizontal="center" readingOrder="0" vertical="center"/>
    </xf>
    <xf borderId="19" fillId="0" fontId="37" numFmtId="169" xfId="0" applyAlignment="1" applyBorder="1" applyFont="1" applyNumberFormat="1">
      <alignment horizontal="center" readingOrder="0" vertical="center"/>
    </xf>
    <xf borderId="21" fillId="0" fontId="37" numFmtId="169" xfId="0" applyAlignment="1" applyBorder="1" applyFont="1" applyNumberFormat="1">
      <alignment horizontal="center" readingOrder="0" vertical="center"/>
    </xf>
    <xf borderId="25" fillId="2" fontId="20" numFmtId="0" xfId="0" applyAlignment="1" applyBorder="1" applyFill="1" applyFont="1">
      <alignment horizontal="left" readingOrder="0" shrinkToFit="0" vertical="center" wrapText="1"/>
    </xf>
    <xf borderId="15" fillId="0" fontId="28" numFmtId="166" xfId="0" applyAlignment="1" applyBorder="1" applyFont="1" applyNumberFormat="1">
      <alignment horizontal="left" readingOrder="0" shrinkToFit="0" vertical="center" wrapText="1"/>
    </xf>
    <xf borderId="25" fillId="0" fontId="20" numFmtId="0" xfId="0" applyAlignment="1" applyBorder="1" applyFont="1">
      <alignment horizontal="center" readingOrder="0" shrinkToFit="0" vertical="center" wrapText="1"/>
    </xf>
    <xf borderId="18" fillId="0" fontId="11" numFmtId="166" xfId="0" applyAlignment="1" applyBorder="1" applyFont="1" applyNumberFormat="1">
      <alignment horizontal="center" readingOrder="0" shrinkToFit="0" vertical="center" wrapText="1"/>
    </xf>
    <xf borderId="29" fillId="0" fontId="20" numFmtId="0" xfId="0" applyAlignment="1" applyBorder="1" applyFont="1">
      <alignment horizontal="center" readingOrder="0" shrinkToFit="0" vertical="center" wrapText="1"/>
    </xf>
    <xf borderId="25" fillId="0" fontId="24" numFmtId="0" xfId="0" applyAlignment="1" applyBorder="1" applyFont="1">
      <alignment horizontal="left" readingOrder="0" shrinkToFit="0" vertical="center" wrapText="1"/>
    </xf>
    <xf borderId="29" fillId="0" fontId="20" numFmtId="170" xfId="0" applyAlignment="1" applyBorder="1" applyFont="1" applyNumberFormat="1">
      <alignment horizontal="center" readingOrder="0" shrinkToFit="0" vertical="center" wrapText="1"/>
    </xf>
    <xf borderId="25" fillId="0" fontId="11" numFmtId="168" xfId="0" applyAlignment="1" applyBorder="1" applyFont="1" applyNumberFormat="1">
      <alignment horizontal="right" readingOrder="0" shrinkToFit="0" vertical="center" wrapText="1"/>
    </xf>
    <xf borderId="27" fillId="0" fontId="20" numFmtId="0" xfId="0" applyAlignment="1" applyBorder="1" applyFont="1">
      <alignment horizontal="center" readingOrder="0" shrinkToFit="0" vertical="center" wrapText="1"/>
    </xf>
    <xf borderId="25" fillId="2" fontId="11" numFmtId="168" xfId="0" applyAlignment="1" applyBorder="1" applyFill="1" applyFont="1" applyNumberFormat="1">
      <alignment horizontal="right" readingOrder="0" shrinkToFit="0" vertical="center" wrapText="1"/>
    </xf>
    <xf borderId="29" fillId="2" fontId="11" numFmtId="0" xfId="0" applyAlignment="1" applyBorder="1" applyFill="1" applyFont="1">
      <alignment horizontal="center" readingOrder="0" shrinkToFit="0" vertical="center" wrapText="1"/>
    </xf>
    <xf borderId="37" fillId="0" fontId="5" numFmtId="168" xfId="0" applyBorder="1" applyFont="1" applyNumberFormat="1"/>
    <xf borderId="20" fillId="0" fontId="39" numFmtId="164" xfId="0" applyAlignment="1" applyBorder="1" applyFont="1" applyNumberFormat="1">
      <alignment horizontal="center" readingOrder="0" vertical="center"/>
    </xf>
    <xf borderId="27" fillId="0" fontId="5" numFmtId="170" xfId="0" applyBorder="1" applyFont="1" applyNumberFormat="1"/>
    <xf borderId="25" fillId="2" fontId="20" numFmtId="0" xfId="0" applyAlignment="1" applyBorder="1" applyFill="1" applyFont="1">
      <alignment horizontal="left" shrinkToFit="0" vertical="center" wrapText="1"/>
    </xf>
    <xf borderId="20" fillId="0" fontId="11" numFmtId="0" xfId="0" applyAlignment="1" applyBorder="1" applyFont="1">
      <alignment horizontal="left" readingOrder="0" shrinkToFit="0" vertical="center" wrapText="1"/>
    </xf>
    <xf borderId="20" fillId="0" fontId="22" numFmtId="173" xfId="0" applyAlignment="1" applyBorder="1" applyFont="1" applyNumberFormat="1">
      <alignment horizontal="center" readingOrder="0" shrinkToFit="0" vertical="center" wrapText="1"/>
    </xf>
    <xf borderId="20" fillId="0" fontId="22" numFmtId="0" xfId="0" applyAlignment="1" applyBorder="1" applyFont="1">
      <alignment horizontal="center" readingOrder="0" shrinkToFit="0" vertical="center" wrapText="1"/>
    </xf>
    <xf borderId="17" fillId="0" fontId="11" numFmtId="0" xfId="0" applyAlignment="1" applyBorder="1" applyFont="1">
      <alignment horizontal="center" readingOrder="0" shrinkToFit="0" vertical="center" wrapText="1"/>
    </xf>
    <xf borderId="12" fillId="0" fontId="94" numFmtId="0" xfId="0" applyAlignment="1" applyBorder="1" applyFont="1">
      <alignment readingOrder="0"/>
    </xf>
    <xf borderId="34" fillId="4" fontId="11" numFmtId="0" xfId="0" applyAlignment="1" applyBorder="1" applyFill="1" applyFont="1">
      <alignment horizontal="left" readingOrder="0" shrinkToFit="0" vertical="center" wrapText="1"/>
    </xf>
    <xf borderId="34" fillId="0" fontId="22" numFmtId="173" xfId="0" applyAlignment="1" applyBorder="1" applyFont="1" applyNumberFormat="1">
      <alignment horizontal="center" readingOrder="0" shrinkToFit="0" vertical="center" wrapText="1"/>
    </xf>
    <xf borderId="34" fillId="0" fontId="22" numFmtId="0" xfId="0" applyAlignment="1" applyBorder="1" applyFont="1">
      <alignment horizontal="center" readingOrder="0" shrinkToFit="0" vertical="center" wrapText="1"/>
    </xf>
    <xf borderId="35" fillId="0" fontId="22" numFmtId="0" xfId="0" applyAlignment="1" applyBorder="1" applyFont="1">
      <alignment horizontal="center" readingOrder="0" shrinkToFit="0" vertical="center" wrapText="1"/>
    </xf>
    <xf borderId="12" fillId="0" fontId="26" numFmtId="0" xfId="0" applyAlignment="1" applyBorder="1" applyFont="1">
      <alignment horizontal="center" readingOrder="0" shrinkToFit="0" vertical="center" wrapText="1"/>
    </xf>
    <xf borderId="20" fillId="0" fontId="27" numFmtId="0" xfId="0" applyAlignment="1" applyBorder="1" applyFont="1">
      <alignment horizontal="center" readingOrder="0" shrinkToFit="0" vertical="center" wrapText="1"/>
    </xf>
    <xf borderId="12" fillId="0" fontId="95" numFmtId="0" xfId="0" applyAlignment="1" applyBorder="1" applyFont="1">
      <alignment horizontal="left" readingOrder="0" shrinkToFit="0" vertical="center" wrapText="1"/>
    </xf>
    <xf borderId="19" fillId="0" fontId="30" numFmtId="168" xfId="0" applyAlignment="1" applyBorder="1" applyFont="1" applyNumberFormat="1">
      <alignment horizontal="right" readingOrder="0" shrinkToFit="0" vertical="center" wrapText="1"/>
    </xf>
    <xf borderId="21" fillId="15" fontId="11" numFmtId="168" xfId="0" applyAlignment="1" applyBorder="1" applyFill="1" applyFont="1" applyNumberFormat="1">
      <alignment horizontal="right" readingOrder="0" shrinkToFit="0" vertical="center" wrapText="1"/>
    </xf>
    <xf borderId="32" fillId="2" fontId="20" numFmtId="0" xfId="0" applyAlignment="1" applyBorder="1" applyFill="1" applyFont="1">
      <alignment horizontal="center" readingOrder="0" shrinkToFit="0" vertical="center" wrapText="1"/>
    </xf>
    <xf borderId="38" fillId="0" fontId="20" numFmtId="166" xfId="0" applyAlignment="1" applyBorder="1" applyFont="1" applyNumberFormat="1">
      <alignment horizontal="right" readingOrder="0" shrinkToFit="0" vertical="center" wrapText="1"/>
    </xf>
    <xf borderId="12" fillId="19" fontId="24" numFmtId="0" xfId="0" applyAlignment="1" applyBorder="1" applyFill="1" applyFont="1">
      <alignment horizontal="left" readingOrder="0" shrinkToFit="0" vertical="center" wrapText="1"/>
    </xf>
    <xf borderId="12" fillId="13" fontId="96" numFmtId="169" xfId="0" applyAlignment="1" applyBorder="1" applyFill="1" applyFont="1" applyNumberFormat="1">
      <alignment readingOrder="0" shrinkToFit="0" wrapText="0"/>
    </xf>
    <xf borderId="39" fillId="0" fontId="20" numFmtId="167" xfId="0" applyAlignment="1" applyBorder="1" applyFont="1" applyNumberFormat="1">
      <alignment horizontal="left" readingOrder="0" shrinkToFit="0" vertical="center" wrapText="1"/>
    </xf>
    <xf borderId="12" fillId="13" fontId="65" numFmtId="169" xfId="0" applyAlignment="1" applyBorder="1" applyFill="1" applyFont="1" applyNumberFormat="1">
      <alignment readingOrder="0" shrinkToFit="0" wrapText="0"/>
    </xf>
    <xf borderId="11" fillId="19" fontId="11" numFmtId="166" xfId="0" applyAlignment="1" applyBorder="1" applyFill="1" applyFont="1" applyNumberFormat="1">
      <alignment horizontal="right" readingOrder="0" shrinkToFit="0" vertical="center" wrapText="1"/>
    </xf>
    <xf borderId="23" fillId="2" fontId="20" numFmtId="168" xfId="0" applyAlignment="1" applyBorder="1" applyFill="1" applyFont="1" applyNumberFormat="1">
      <alignment horizontal="right" readingOrder="0" shrinkToFit="0" vertical="center" wrapText="1"/>
    </xf>
    <xf borderId="17" fillId="19" fontId="11" numFmtId="167" xfId="0" applyAlignment="1" applyBorder="1" applyFill="1" applyFont="1" applyNumberFormat="1">
      <alignment horizontal="left" readingOrder="0" shrinkToFit="0" vertical="center" wrapText="1"/>
    </xf>
    <xf borderId="12" fillId="13" fontId="96" numFmtId="0" xfId="0" applyAlignment="1" applyBorder="1" applyFill="1" applyFont="1">
      <alignment readingOrder="0" shrinkToFit="0" wrapText="0"/>
    </xf>
    <xf borderId="19" fillId="19" fontId="11" numFmtId="168" xfId="0" applyAlignment="1" applyBorder="1" applyFill="1" applyFont="1" applyNumberFormat="1">
      <alignment horizontal="right" readingOrder="0" shrinkToFit="0" vertical="center" wrapText="1"/>
    </xf>
    <xf borderId="29" fillId="19" fontId="11" numFmtId="0" xfId="0" applyAlignment="1" applyBorder="1" applyFill="1" applyFont="1">
      <alignment horizontal="center" readingOrder="0" shrinkToFit="0" vertical="center" wrapText="1"/>
    </xf>
    <xf borderId="15" fillId="19" fontId="11" numFmtId="170" xfId="0" applyAlignment="1" applyBorder="1" applyFill="1" applyFont="1" applyNumberFormat="1">
      <alignment horizontal="center" readingOrder="0" shrinkToFit="0" vertical="center" wrapText="1"/>
    </xf>
    <xf borderId="13" fillId="19" fontId="11" numFmtId="170" xfId="0" applyAlignment="1" applyBorder="1" applyFill="1" applyFont="1" applyNumberFormat="1">
      <alignment horizontal="center" readingOrder="0" shrinkToFit="0" vertical="center" wrapText="1"/>
    </xf>
    <xf borderId="14" fillId="19" fontId="11" numFmtId="170" xfId="0" applyAlignment="1" applyBorder="1" applyFill="1" applyFont="1" applyNumberFormat="1">
      <alignment horizontal="center" readingOrder="0" shrinkToFit="0" vertical="center" wrapText="1"/>
    </xf>
    <xf borderId="21" fillId="19" fontId="11" numFmtId="168" xfId="0" applyAlignment="1" applyBorder="1" applyFill="1" applyFont="1" applyNumberFormat="1">
      <alignment horizontal="right" readingOrder="0" shrinkToFit="0" vertical="center" wrapText="1"/>
    </xf>
    <xf borderId="40" fillId="2" fontId="20" numFmtId="0" xfId="0" applyAlignment="1" applyBorder="1" applyFill="1" applyFont="1">
      <alignment horizontal="center" readingOrder="0" shrinkToFit="0" vertical="center" wrapText="1"/>
    </xf>
    <xf borderId="24" fillId="19" fontId="11" numFmtId="0" xfId="0" applyAlignment="1" applyBorder="1" applyFill="1" applyFont="1">
      <alignment horizontal="left" readingOrder="0" shrinkToFit="0" vertical="center" wrapText="1"/>
    </xf>
    <xf borderId="0" fillId="0" fontId="11" numFmtId="169" xfId="0" applyAlignment="1" applyFont="1" applyNumberFormat="1">
      <alignment horizontal="left" readingOrder="0" shrinkToFit="0" vertical="center" wrapText="1"/>
    </xf>
    <xf borderId="15" fillId="0" fontId="28" numFmtId="165" xfId="0" applyAlignment="1" applyBorder="1" applyFont="1" applyNumberFormat="1">
      <alignment horizontal="left" readingOrder="0" shrinkToFit="0" vertical="center" wrapText="1"/>
    </xf>
    <xf borderId="41" fillId="2" fontId="20" numFmtId="0" xfId="0" applyAlignment="1" applyBorder="1" applyFill="1" applyFont="1">
      <alignment horizontal="left" readingOrder="0" shrinkToFit="0" vertical="center" wrapText="1"/>
    </xf>
    <xf borderId="14" fillId="0" fontId="11" numFmtId="0" xfId="0" applyAlignment="1" applyBorder="1" applyFont="1">
      <alignment horizontal="center" readingOrder="0" shrinkToFit="0" vertical="center" wrapText="1"/>
    </xf>
    <xf borderId="41" fillId="0" fontId="20" numFmtId="0" xfId="0" applyAlignment="1" applyBorder="1" applyFont="1">
      <alignment horizontal="center" readingOrder="0" shrinkToFit="0" vertical="center" wrapText="1"/>
    </xf>
    <xf borderId="41" fillId="0" fontId="20" numFmtId="0" xfId="0" applyAlignment="1" applyBorder="1" applyFont="1">
      <alignment horizontal="left" readingOrder="0" shrinkToFit="0" vertical="center" wrapText="1"/>
    </xf>
    <xf borderId="42" fillId="0" fontId="20" numFmtId="165" xfId="0" applyAlignment="1" applyBorder="1" applyFont="1" applyNumberFormat="1">
      <alignment horizontal="left" readingOrder="0" shrinkToFit="0" vertical="center" wrapText="1"/>
    </xf>
    <xf borderId="43" fillId="0" fontId="20" numFmtId="166" xfId="0" applyAlignment="1" applyBorder="1" applyFont="1" applyNumberFormat="1">
      <alignment horizontal="right" readingOrder="0" shrinkToFit="0" vertical="center" wrapText="1"/>
    </xf>
    <xf borderId="44" fillId="0" fontId="20" numFmtId="167" xfId="0" applyAlignment="1" applyBorder="1" applyFont="1" applyNumberFormat="1">
      <alignment horizontal="left" readingOrder="0" shrinkToFit="0" vertical="center" wrapText="1"/>
    </xf>
    <xf borderId="45" fillId="0" fontId="20" numFmtId="168" xfId="0" applyAlignment="1" applyBorder="1" applyFont="1" applyNumberFormat="1">
      <alignment horizontal="right" readingOrder="0" shrinkToFit="0" vertical="center" wrapText="1"/>
    </xf>
    <xf borderId="42" fillId="0" fontId="20" numFmtId="170" xfId="0" applyAlignment="1" applyBorder="1" applyFont="1" applyNumberFormat="1">
      <alignment horizontal="center" readingOrder="0" shrinkToFit="0" vertical="center" wrapText="1"/>
    </xf>
    <xf borderId="4" fillId="0" fontId="20" numFmtId="170" xfId="0" applyAlignment="1" applyBorder="1" applyFont="1" applyNumberFormat="1">
      <alignment horizontal="center" readingOrder="0" shrinkToFit="0" vertical="center" wrapText="1"/>
    </xf>
    <xf borderId="46" fillId="0" fontId="20" numFmtId="168" xfId="0" applyAlignment="1" applyBorder="1" applyFont="1" applyNumberFormat="1">
      <alignment horizontal="right" readingOrder="0" shrinkToFit="0" vertical="center" wrapText="1"/>
    </xf>
    <xf borderId="12" fillId="0" fontId="20" numFmtId="0" xfId="0" applyAlignment="1" applyBorder="1" applyFont="1">
      <alignment horizontal="left" readingOrder="0" shrinkToFit="0" vertical="center" wrapText="1"/>
    </xf>
    <xf borderId="14" fillId="0" fontId="11" numFmtId="170" xfId="0" applyAlignment="1" applyBorder="1" applyFont="1" applyNumberFormat="1">
      <alignment horizontal="center" readingOrder="0" shrinkToFit="0" vertical="center" wrapText="1"/>
    </xf>
    <xf borderId="24" fillId="0" fontId="11" numFmtId="171" xfId="0" applyAlignment="1" applyBorder="1" applyFont="1" applyNumberFormat="1">
      <alignment horizontal="left" shrinkToFit="0" vertical="center" wrapText="1"/>
    </xf>
    <xf borderId="47" fillId="0" fontId="5" numFmtId="170" xfId="0" applyAlignment="1" applyBorder="1" applyFont="1" applyNumberFormat="1">
      <alignment horizontal="center" vertical="center"/>
    </xf>
    <xf borderId="12" fillId="13" fontId="72" numFmtId="169" xfId="0" applyAlignment="1" applyBorder="1" applyFill="1" applyFont="1" applyNumberFormat="1">
      <alignment readingOrder="0"/>
    </xf>
    <xf borderId="14" fillId="0" fontId="5" numFmtId="170" xfId="0" applyBorder="1" applyFont="1" applyNumberFormat="1"/>
    <xf borderId="47" fillId="0" fontId="5" numFmtId="170" xfId="0" applyBorder="1" applyFont="1" applyNumberFormat="1"/>
    <xf borderId="12" fillId="13" fontId="72" numFmtId="0" xfId="0" applyAlignment="1" applyBorder="1" applyFill="1" applyFont="1">
      <alignment readingOrder="0"/>
    </xf>
    <xf borderId="17" fillId="9" fontId="18" numFmtId="0" xfId="0" applyAlignment="1" applyBorder="1" applyFill="1" applyFont="1">
      <alignment horizontal="center" readingOrder="0" shrinkToFit="0" vertical="center" wrapText="1"/>
    </xf>
    <xf borderId="48" fillId="0" fontId="20" numFmtId="0" xfId="0" applyAlignment="1" applyBorder="1" applyFont="1">
      <alignment horizontal="left" readingOrder="0" shrinkToFit="0" vertical="center" wrapText="1"/>
    </xf>
    <xf borderId="19" fillId="0" fontId="5" numFmtId="168" xfId="0" applyAlignment="1" applyBorder="1" applyFont="1" applyNumberFormat="1">
      <alignment vertical="center"/>
    </xf>
    <xf borderId="29" fillId="0" fontId="11" numFmtId="0" xfId="0" applyAlignment="1" applyBorder="1" applyFont="1">
      <alignment horizontal="center" shrinkToFit="0" vertical="center" wrapText="1"/>
    </xf>
    <xf borderId="21" fillId="0" fontId="14" numFmtId="168" xfId="0" applyAlignment="1" applyBorder="1" applyFont="1" applyNumberFormat="1">
      <alignment horizontal="center" readingOrder="0" shrinkToFit="0" vertical="center" wrapText="1"/>
    </xf>
    <xf borderId="12" fillId="0" fontId="20" numFmtId="0" xfId="0" applyAlignment="1" applyBorder="1" applyFont="1">
      <alignment horizontal="center" shrinkToFit="0" wrapText="1"/>
    </xf>
    <xf borderId="15" fillId="0" fontId="5" numFmtId="165" xfId="0" applyBorder="1" applyFont="1" applyNumberFormat="1"/>
    <xf borderId="19" fillId="13" fontId="5" numFmtId="168" xfId="0" applyAlignment="1" applyBorder="1" applyFill="1" applyFont="1" applyNumberFormat="1">
      <alignment vertical="center"/>
    </xf>
    <xf borderId="16" fillId="0" fontId="5" numFmtId="166" xfId="0" applyBorder="1" applyFont="1" applyNumberFormat="1"/>
    <xf borderId="14" fillId="0" fontId="5" numFmtId="170" xfId="0" applyAlignment="1" applyBorder="1" applyFont="1" applyNumberFormat="1">
      <alignment vertical="center"/>
    </xf>
    <xf borderId="16" fillId="0" fontId="5" numFmtId="169" xfId="0" applyBorder="1" applyFont="1" applyNumberFormat="1"/>
    <xf borderId="24" fillId="0" fontId="5" numFmtId="0" xfId="0" applyAlignment="1" applyBorder="1" applyFont="1">
      <alignment vertical="center"/>
    </xf>
    <xf borderId="19" fillId="0" fontId="37" numFmtId="175" xfId="0" applyAlignment="1" applyBorder="1" applyFont="1" applyNumberFormat="1">
      <alignment horizontal="center" readingOrder="0" vertical="center"/>
    </xf>
    <xf borderId="15" fillId="0" fontId="11" numFmtId="175" xfId="0" applyAlignment="1" applyBorder="1" applyFont="1" applyNumberFormat="1">
      <alignment horizontal="center" readingOrder="0" shrinkToFit="0" vertical="center" wrapText="1"/>
    </xf>
    <xf borderId="21" fillId="0" fontId="37" numFmtId="175" xfId="0" applyAlignment="1" applyBorder="1" applyFont="1" applyNumberFormat="1">
      <alignment horizontal="center" readingOrder="0" vertical="center"/>
    </xf>
    <xf borderId="13" fillId="0" fontId="11" numFmtId="175" xfId="0" applyAlignment="1" applyBorder="1" applyFont="1" applyNumberFormat="1">
      <alignment horizontal="center" readingOrder="0" shrinkToFit="0" vertical="center" wrapText="1"/>
    </xf>
    <xf borderId="23" fillId="0" fontId="5" numFmtId="0" xfId="0" applyAlignment="1" applyBorder="1" applyFont="1">
      <alignment readingOrder="0"/>
    </xf>
    <xf borderId="12" fillId="8" fontId="11" numFmtId="0" xfId="0" applyAlignment="1" applyBorder="1" applyFill="1" applyFont="1">
      <alignment horizontal="left" readingOrder="0" shrinkToFit="0" vertical="center" wrapText="1"/>
    </xf>
    <xf borderId="24" fillId="2" fontId="11" numFmtId="0" xfId="0" applyAlignment="1" applyBorder="1" applyFill="1" applyFont="1">
      <alignment horizontal="left" readingOrder="0" shrinkToFit="0" vertical="center" wrapText="1"/>
    </xf>
    <xf borderId="12" fillId="0" fontId="5" numFmtId="164" xfId="0" applyAlignment="1" applyBorder="1" applyFont="1" applyNumberFormat="1">
      <alignment horizontal="center" readingOrder="0" vertical="center"/>
    </xf>
    <xf borderId="12" fillId="0" fontId="5" numFmtId="168" xfId="0" applyAlignment="1" applyBorder="1" applyFont="1" applyNumberFormat="1">
      <alignment vertical="center"/>
    </xf>
    <xf borderId="12" fillId="0" fontId="5" numFmtId="170" xfId="0" applyAlignment="1" applyBorder="1" applyFont="1" applyNumberFormat="1">
      <alignment vertical="center"/>
    </xf>
    <xf borderId="0" fillId="12" fontId="36" numFmtId="0" xfId="0" applyAlignment="1" applyFill="1" applyFont="1">
      <alignment horizontal="left" readingOrder="0" vertical="center"/>
    </xf>
    <xf borderId="12" fillId="0" fontId="22" numFmtId="173" xfId="0" applyAlignment="1" applyBorder="1" applyFont="1" applyNumberFormat="1">
      <alignment horizontal="center" readingOrder="0" shrinkToFit="0" vertical="center" wrapText="1"/>
    </xf>
    <xf borderId="18" fillId="13" fontId="68" numFmtId="166" xfId="0" applyAlignment="1" applyBorder="1" applyFill="1" applyFont="1" applyNumberFormat="1">
      <alignment horizontal="left" readingOrder="0" shrinkToFit="0" vertical="center" wrapText="1"/>
    </xf>
    <xf borderId="12" fillId="13" fontId="68" numFmtId="169" xfId="0" applyAlignment="1" applyBorder="1" applyFill="1" applyFont="1" applyNumberFormat="1">
      <alignment horizontal="center" readingOrder="0"/>
    </xf>
    <xf borderId="24" fillId="0" fontId="11" numFmtId="0" xfId="0" applyAlignment="1" applyBorder="1" applyFont="1">
      <alignment horizontal="left" shrinkToFit="0" vertical="center" wrapText="1"/>
    </xf>
    <xf borderId="12" fillId="13" fontId="97" numFmtId="169" xfId="0" applyAlignment="1" applyBorder="1" applyFill="1" applyFont="1" applyNumberFormat="1">
      <alignment horizontal="center" readingOrder="0"/>
    </xf>
    <xf borderId="16" fillId="13" fontId="98" numFmtId="169" xfId="0" applyAlignment="1" applyBorder="1" applyFill="1" applyFont="1" applyNumberFormat="1">
      <alignment horizontal="center" readingOrder="0"/>
    </xf>
    <xf borderId="20" fillId="13" fontId="98" numFmtId="169" xfId="0" applyAlignment="1" applyBorder="1" applyFill="1" applyFont="1" applyNumberFormat="1">
      <alignment horizontal="center" readingOrder="0"/>
    </xf>
    <xf borderId="12" fillId="0" fontId="5" numFmtId="170" xfId="0" applyBorder="1" applyFont="1" applyNumberFormat="1"/>
    <xf borderId="12" fillId="0" fontId="5" numFmtId="173" xfId="0" applyAlignment="1" applyBorder="1" applyFont="1" applyNumberFormat="1">
      <alignment horizontal="center" readingOrder="0" vertical="center"/>
    </xf>
    <xf borderId="25" fillId="0" fontId="37" numFmtId="169" xfId="0" applyBorder="1" applyFont="1" applyNumberFormat="1"/>
    <xf borderId="12" fillId="0" fontId="11" numFmtId="170" xfId="0" applyAlignment="1" applyBorder="1" applyFont="1" applyNumberFormat="1">
      <alignment horizontal="center" shrinkToFit="0" wrapText="1"/>
    </xf>
    <xf borderId="12" fillId="13" fontId="11" numFmtId="168" xfId="0" applyAlignment="1" applyBorder="1" applyFill="1" applyFont="1" applyNumberFormat="1">
      <alignment readingOrder="0" vertical="center"/>
    </xf>
    <xf borderId="15" fillId="0" fontId="11" numFmtId="175" xfId="0" applyAlignment="1" applyBorder="1" applyFont="1" applyNumberFormat="1">
      <alignment horizontal="center" readingOrder="0" shrinkToFit="0" vertical="center" wrapText="1"/>
    </xf>
    <xf borderId="12" fillId="13" fontId="11" numFmtId="0" xfId="0" applyAlignment="1" applyBorder="1" applyFill="1" applyFont="1">
      <alignment horizontal="center" shrinkToFit="0" wrapText="1"/>
    </xf>
    <xf borderId="16" fillId="0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0" fillId="0" fontId="44" numFmtId="169" xfId="0" applyAlignment="1" applyBorder="1" applyFont="1" applyNumberFormat="1">
      <alignment horizontal="center"/>
    </xf>
    <xf borderId="0" fillId="0" fontId="1" numFmtId="4" xfId="0" applyAlignment="1" applyFont="1" applyNumberFormat="1">
      <alignment horizontal="center" readingOrder="0" shrinkToFit="0" vertical="center" wrapText="1"/>
    </xf>
    <xf borderId="12" fillId="0" fontId="11" numFmtId="168" xfId="0" applyAlignment="1" applyBorder="1" applyFont="1" applyNumberFormat="1">
      <alignment vertical="center"/>
    </xf>
    <xf borderId="12" fillId="0" fontId="11" numFmtId="170" xfId="0" applyAlignment="1" applyBorder="1" applyFont="1" applyNumberFormat="1">
      <alignment vertical="center"/>
    </xf>
    <xf borderId="12" fillId="0" fontId="46" numFmtId="173" xfId="0" applyAlignment="1" applyBorder="1" applyFont="1" applyNumberFormat="1">
      <alignment horizontal="center" readingOrder="0" shrinkToFit="0" vertical="center" wrapText="1"/>
    </xf>
    <xf borderId="12" fillId="0" fontId="46" numFmtId="0" xfId="0" applyAlignment="1" applyBorder="1" applyFont="1">
      <alignment horizontal="center" readingOrder="0" shrinkToFit="0" vertical="center" wrapText="1"/>
    </xf>
    <xf borderId="11" fillId="2" fontId="30" numFmtId="166" xfId="0" applyAlignment="1" applyBorder="1" applyFill="1" applyFont="1" applyNumberFormat="1">
      <alignment horizontal="right" readingOrder="0" shrinkToFit="0" vertical="center" wrapText="1"/>
    </xf>
    <xf borderId="0" fillId="3" fontId="9" numFmtId="0" xfId="0" applyAlignment="1" applyFill="1" applyFont="1">
      <alignment horizontal="center" readingOrder="0" shrinkToFit="0" vertical="center" wrapText="1"/>
    </xf>
    <xf borderId="17" fillId="2" fontId="30" numFmtId="167" xfId="0" applyAlignment="1" applyBorder="1" applyFill="1" applyFont="1" applyNumberFormat="1">
      <alignment horizontal="left" readingOrder="0" shrinkToFit="0" vertical="center" wrapText="1"/>
    </xf>
    <xf borderId="5" fillId="3" fontId="9" numFmtId="0" xfId="0" applyAlignment="1" applyBorder="1" applyFill="1" applyFont="1">
      <alignment horizontal="center" shrinkToFit="0" vertical="center" wrapText="1"/>
    </xf>
    <xf borderId="19" fillId="2" fontId="30" numFmtId="168" xfId="0" applyAlignment="1" applyBorder="1" applyFill="1" applyFont="1" applyNumberFormat="1">
      <alignment horizontal="right" readingOrder="0" shrinkToFit="0" vertical="center" wrapText="1"/>
    </xf>
    <xf borderId="6" fillId="3" fontId="9" numFmtId="4" xfId="0" applyAlignment="1" applyBorder="1" applyFill="1" applyFont="1" applyNumberFormat="1">
      <alignment horizontal="center" readingOrder="0" shrinkToFit="0" vertical="center" wrapText="1"/>
    </xf>
    <xf borderId="25" fillId="0" fontId="99" numFmtId="0" xfId="0" applyAlignment="1" applyBorder="1" applyFont="1">
      <alignment horizontal="center" readingOrder="0" shrinkToFit="0" vertical="center" wrapText="1"/>
    </xf>
    <xf borderId="24" fillId="2" fontId="30" numFmtId="0" xfId="0" applyAlignment="1" applyBorder="1" applyFill="1" applyFont="1">
      <alignment horizontal="left" shrinkToFit="0" vertical="center" wrapText="1"/>
    </xf>
    <xf borderId="12" fillId="20" fontId="11" numFmtId="0" xfId="0" applyAlignment="1" applyBorder="1" applyFill="1" applyFont="1">
      <alignment horizontal="left" readingOrder="0" shrinkToFit="0" vertical="center" wrapText="1"/>
    </xf>
    <xf borderId="31" fillId="13" fontId="100" numFmtId="166" xfId="0" applyAlignment="1" applyBorder="1" applyFill="1" applyFont="1" applyNumberFormat="1">
      <alignment readingOrder="0" shrinkToFit="0" wrapText="1"/>
    </xf>
    <xf borderId="11" fillId="20" fontId="11" numFmtId="166" xfId="0" applyAlignment="1" applyBorder="1" applyFill="1" applyFont="1" applyNumberFormat="1">
      <alignment horizontal="right" readingOrder="0" shrinkToFit="0" vertical="center" wrapText="1"/>
    </xf>
    <xf borderId="20" fillId="13" fontId="101" numFmtId="169" xfId="0" applyAlignment="1" applyBorder="1" applyFill="1" applyFont="1" applyNumberFormat="1">
      <alignment horizontal="center" readingOrder="0"/>
    </xf>
    <xf borderId="20" fillId="0" fontId="5" numFmtId="0" xfId="0" applyAlignment="1" applyBorder="1" applyFont="1">
      <alignment readingOrder="0"/>
    </xf>
    <xf borderId="0" fillId="0" fontId="102" numFmtId="0" xfId="0" applyAlignment="1" applyFont="1">
      <alignment readingOrder="0" vertical="center"/>
    </xf>
    <xf borderId="17" fillId="20" fontId="11" numFmtId="167" xfId="0" applyAlignment="1" applyBorder="1" applyFill="1" applyFont="1" applyNumberFormat="1">
      <alignment horizontal="left" readingOrder="0" shrinkToFit="0" vertical="center" wrapText="1"/>
    </xf>
    <xf borderId="0" fillId="0" fontId="37" numFmtId="0" xfId="0" applyAlignment="1" applyFont="1">
      <alignment vertical="center"/>
    </xf>
    <xf borderId="19" fillId="20" fontId="11" numFmtId="168" xfId="0" applyAlignment="1" applyBorder="1" applyFill="1" applyFont="1" applyNumberFormat="1">
      <alignment horizontal="right" readingOrder="0" shrinkToFit="0" vertical="center" wrapText="1"/>
    </xf>
    <xf borderId="30" fillId="0" fontId="20" numFmtId="166" xfId="0" applyAlignment="1" applyBorder="1" applyFont="1" applyNumberFormat="1">
      <alignment horizontal="left" readingOrder="0" shrinkToFit="0" vertical="center" wrapText="1"/>
    </xf>
    <xf borderId="13" fillId="20" fontId="11" numFmtId="0" xfId="0" applyAlignment="1" applyBorder="1" applyFill="1" applyFont="1">
      <alignment horizontal="center" readingOrder="0" shrinkToFit="0" vertical="center" wrapText="1"/>
    </xf>
    <xf borderId="31" fillId="0" fontId="9" numFmtId="166" xfId="0" applyAlignment="1" applyBorder="1" applyFont="1" applyNumberFormat="1">
      <alignment horizontal="left" readingOrder="0" shrinkToFit="0" vertical="center" wrapText="1"/>
    </xf>
    <xf borderId="21" fillId="20" fontId="11" numFmtId="168" xfId="0" applyAlignment="1" applyBorder="1" applyFill="1" applyFont="1" applyNumberFormat="1">
      <alignment horizontal="right" readingOrder="0" shrinkToFit="0" vertical="center" wrapText="1"/>
    </xf>
    <xf borderId="12" fillId="20" fontId="11" numFmtId="168" xfId="0" applyAlignment="1" applyBorder="1" applyFill="1" applyFont="1" applyNumberFormat="1">
      <alignment horizontal="right" readingOrder="0" shrinkToFit="0" vertical="center" wrapText="1"/>
    </xf>
    <xf borderId="12" fillId="20" fontId="11" numFmtId="0" xfId="0" applyAlignment="1" applyBorder="1" applyFill="1" applyFont="1">
      <alignment horizontal="center" readingOrder="0" shrinkToFit="0" vertical="center" wrapText="1"/>
    </xf>
    <xf borderId="12" fillId="0" fontId="103" numFmtId="0" xfId="0" applyAlignment="1" applyBorder="1" applyFont="1">
      <alignment readingOrder="0" vertical="center"/>
    </xf>
    <xf borderId="24" fillId="20" fontId="11" numFmtId="0" xfId="0" applyAlignment="1" applyBorder="1" applyFill="1" applyFont="1">
      <alignment horizontal="left" readingOrder="0" shrinkToFit="0" vertical="center" wrapText="1"/>
    </xf>
    <xf borderId="12" fillId="0" fontId="20" numFmtId="4" xfId="0" applyAlignment="1" applyBorder="1" applyFont="1" applyNumberFormat="1">
      <alignment horizontal="center" readingOrder="0" shrinkToFit="0" vertical="center" wrapText="1"/>
    </xf>
    <xf borderId="16" fillId="0" fontId="11" numFmtId="0" xfId="0" applyAlignment="1" applyBorder="1" applyFont="1">
      <alignment readingOrder="0" vertical="center"/>
    </xf>
    <xf borderId="16" fillId="0" fontId="5" numFmtId="0" xfId="0" applyAlignment="1" applyBorder="1" applyFont="1">
      <alignment horizontal="center" readingOrder="0" vertical="center"/>
    </xf>
    <xf borderId="25" fillId="0" fontId="5" numFmtId="0" xfId="0" applyAlignment="1" applyBorder="1" applyFont="1">
      <alignment horizontal="center" vertical="center"/>
    </xf>
    <xf borderId="16" fillId="0" fontId="5" numFmtId="168" xfId="0" applyAlignment="1" applyBorder="1" applyFont="1" applyNumberFormat="1">
      <alignment vertical="center"/>
    </xf>
    <xf borderId="25" fillId="0" fontId="5" numFmtId="169" xfId="0" applyAlignment="1" applyBorder="1" applyFont="1" applyNumberFormat="1">
      <alignment vertical="center"/>
    </xf>
    <xf borderId="17" fillId="0" fontId="5" numFmtId="170" xfId="0" applyAlignment="1" applyBorder="1" applyFont="1" applyNumberFormat="1">
      <alignment vertical="center"/>
    </xf>
    <xf borderId="25" fillId="0" fontId="65" numFmtId="169" xfId="0" applyAlignment="1" applyBorder="1" applyFont="1" applyNumberFormat="1">
      <alignment vertical="center"/>
    </xf>
    <xf borderId="29" fillId="0" fontId="85" numFmtId="165" xfId="0" applyAlignment="1" applyBorder="1" applyFont="1" applyNumberFormat="1">
      <alignment horizontal="left" readingOrder="0" vertical="center"/>
    </xf>
    <xf borderId="17" fillId="0" fontId="5" numFmtId="0" xfId="0" applyAlignment="1" applyBorder="1" applyFont="1">
      <alignment vertical="center"/>
    </xf>
    <xf borderId="0" fillId="0" fontId="5" numFmtId="171" xfId="0" applyFont="1" applyNumberFormat="1"/>
    <xf borderId="12" fillId="0" fontId="29" numFmtId="169" xfId="0" applyAlignment="1" applyBorder="1" applyFont="1" applyNumberFormat="1">
      <alignment horizontal="center" readingOrder="0" vertical="center"/>
    </xf>
    <xf borderId="20" fillId="9" fontId="14" numFmtId="0" xfId="0" applyAlignment="1" applyBorder="1" applyFill="1" applyFont="1">
      <alignment readingOrder="0" vertical="center"/>
    </xf>
    <xf borderId="12" fillId="0" fontId="11" numFmtId="0" xfId="0" applyAlignment="1" applyBorder="1" applyFont="1">
      <alignment horizontal="left" readingOrder="0" shrinkToFit="0" vertical="center" wrapText="1"/>
    </xf>
    <xf borderId="12" fillId="0" fontId="70" numFmtId="0" xfId="0" applyAlignment="1" applyBorder="1" applyFont="1">
      <alignment horizontal="center" readingOrder="0" shrinkToFit="0" vertical="center" wrapText="1"/>
    </xf>
    <xf borderId="12" fillId="17" fontId="22" numFmtId="0" xfId="0" applyAlignment="1" applyBorder="1" applyFill="1" applyFont="1">
      <alignment horizontal="center" readingOrder="0" shrinkToFit="0" vertical="center" wrapText="1"/>
    </xf>
    <xf borderId="12" fillId="0" fontId="22" numFmtId="180" xfId="0" applyAlignment="1" applyBorder="1" applyFont="1" applyNumberFormat="1">
      <alignment horizontal="center" readingOrder="0" shrinkToFit="0" vertical="center" wrapText="1"/>
    </xf>
    <xf borderId="29" fillId="0" fontId="11" numFmtId="165" xfId="0" applyAlignment="1" applyBorder="1" applyFont="1" applyNumberFormat="1">
      <alignment horizontal="left" readingOrder="0" shrinkToFit="0" vertical="center" wrapText="1"/>
    </xf>
    <xf borderId="30" fillId="0" fontId="28" numFmtId="166" xfId="0" applyAlignment="1" applyBorder="1" applyFont="1" applyNumberFormat="1">
      <alignment horizontal="left" readingOrder="0" shrinkToFit="0" vertical="center" wrapText="1"/>
    </xf>
    <xf borderId="31" fillId="0" fontId="11" numFmtId="166" xfId="0" applyAlignment="1" applyBorder="1" applyFont="1" applyNumberFormat="1">
      <alignment horizontal="center" readingOrder="0" shrinkToFit="0" vertical="center" wrapText="1"/>
    </xf>
    <xf borderId="25" fillId="6" fontId="23" numFmtId="0" xfId="0" applyAlignment="1" applyBorder="1" applyFill="1" applyFont="1">
      <alignment horizontal="center" readingOrder="0" shrinkToFit="0" vertical="center" wrapText="1"/>
    </xf>
    <xf quotePrefix="1" borderId="12" fillId="0" fontId="22" numFmtId="0" xfId="0" applyAlignment="1" applyBorder="1" applyFont="1">
      <alignment horizontal="center" readingOrder="0" shrinkToFit="0" vertical="center" wrapText="1"/>
    </xf>
    <xf borderId="25" fillId="0" fontId="70" numFmtId="0" xfId="0" applyAlignment="1" applyBorder="1" applyFont="1">
      <alignment horizontal="center" readingOrder="0" shrinkToFit="0" vertical="center" wrapText="1"/>
    </xf>
    <xf borderId="25" fillId="0" fontId="21" numFmtId="0" xfId="0" applyAlignment="1" applyBorder="1" applyFont="1">
      <alignment horizontal="center" readingOrder="0" shrinkToFit="0" vertical="center" wrapText="1"/>
    </xf>
    <xf borderId="29" fillId="0" fontId="21" numFmtId="165" xfId="0" applyAlignment="1" applyBorder="1" applyFont="1" applyNumberFormat="1">
      <alignment horizontal="left" shrinkToFit="0" vertical="center" wrapText="1"/>
    </xf>
    <xf borderId="12" fillId="13" fontId="104" numFmtId="0" xfId="0" applyAlignment="1" applyBorder="1" applyFill="1" applyFont="1">
      <alignment horizontal="center" readingOrder="0" shrinkToFit="0" wrapText="1"/>
    </xf>
    <xf borderId="25" fillId="2" fontId="70" numFmtId="0" xfId="0" applyAlignment="1" applyBorder="1" applyFill="1" applyFont="1">
      <alignment horizontal="center" readingOrder="0" shrinkToFit="0" vertical="center" wrapText="1"/>
    </xf>
    <xf borderId="25" fillId="2" fontId="70" numFmtId="0" xfId="0" applyAlignment="1" applyBorder="1" applyFill="1" applyFont="1">
      <alignment horizontal="center" shrinkToFit="0" vertical="center" wrapText="1"/>
    </xf>
    <xf borderId="25" fillId="2" fontId="21" numFmtId="0" xfId="0" applyAlignment="1" applyBorder="1" applyFill="1" applyFont="1">
      <alignment horizontal="left" shrinkToFit="0" vertical="center" wrapText="1"/>
    </xf>
    <xf borderId="29" fillId="2" fontId="21" numFmtId="165" xfId="0" applyAlignment="1" applyBorder="1" applyFill="1" applyFont="1" applyNumberFormat="1">
      <alignment horizontal="left" readingOrder="0" shrinkToFit="0" vertical="center" wrapText="1"/>
    </xf>
    <xf borderId="13" fillId="0" fontId="11" numFmtId="0" xfId="0" applyAlignment="1" applyBorder="1" applyFont="1">
      <alignment horizontal="left" readingOrder="0" shrinkToFit="0" vertical="center" wrapText="1"/>
    </xf>
    <xf borderId="12" fillId="0" fontId="20" numFmtId="0" xfId="0" applyAlignment="1" applyBorder="1" applyFont="1">
      <alignment horizontal="left" readingOrder="0" shrinkToFit="0" vertical="center" wrapText="1"/>
    </xf>
    <xf borderId="29" fillId="2" fontId="21" numFmtId="0" xfId="0" applyAlignment="1" applyBorder="1" applyFill="1" applyFont="1">
      <alignment horizontal="center" readingOrder="0" shrinkToFit="0" vertical="center" wrapText="1"/>
    </xf>
    <xf borderId="16" fillId="2" fontId="30" numFmtId="0" xfId="0" applyAlignment="1" applyBorder="1" applyFill="1" applyFont="1">
      <alignment horizontal="left" readingOrder="0" shrinkToFit="0" vertical="center" wrapText="1"/>
    </xf>
    <xf borderId="16" fillId="2" fontId="46" numFmtId="173" xfId="0" applyAlignment="1" applyBorder="1" applyFill="1" applyFont="1" applyNumberFormat="1">
      <alignment horizontal="center" readingOrder="0" shrinkToFit="0" vertical="center" wrapText="1"/>
    </xf>
    <xf borderId="14" fillId="2" fontId="21" numFmtId="168" xfId="0" applyAlignment="1" applyBorder="1" applyFill="1" applyFont="1" applyNumberFormat="1">
      <alignment horizontal="right" readingOrder="0" shrinkToFit="0" vertical="center" wrapText="1"/>
    </xf>
    <xf borderId="16" fillId="2" fontId="46" numFmtId="0" xfId="0" applyAlignment="1" applyBorder="1" applyFill="1" applyFont="1">
      <alignment horizontal="center" readingOrder="0" shrinkToFit="0" vertical="center" wrapText="1"/>
    </xf>
    <xf borderId="16" fillId="2" fontId="30" numFmtId="168" xfId="0" applyAlignment="1" applyBorder="1" applyFill="1" applyFont="1" applyNumberFormat="1">
      <alignment horizontal="right" readingOrder="0" shrinkToFit="0" vertical="center" wrapText="1"/>
    </xf>
    <xf borderId="17" fillId="2" fontId="30" numFmtId="0" xfId="0" applyAlignment="1" applyBorder="1" applyFill="1" applyFont="1">
      <alignment horizontal="center" readingOrder="0" shrinkToFit="0" vertical="center" wrapText="1"/>
    </xf>
    <xf borderId="25" fillId="2" fontId="21" numFmtId="0" xfId="0" applyAlignment="1" applyBorder="1" applyFill="1" applyFont="1">
      <alignment horizontal="center" readingOrder="0" shrinkToFit="0" vertical="center" wrapText="1"/>
    </xf>
    <xf borderId="25" fillId="10" fontId="23" numFmtId="0" xfId="0" applyAlignment="1" applyBorder="1" applyFill="1" applyFont="1">
      <alignment horizontal="center" readingOrder="0" shrinkToFit="0" vertical="center" wrapText="1"/>
    </xf>
    <xf borderId="16" fillId="4" fontId="30" numFmtId="168" xfId="0" applyAlignment="1" applyBorder="1" applyFill="1" applyFont="1" applyNumberFormat="1">
      <alignment horizontal="right" readingOrder="0" shrinkToFit="0" vertical="center" wrapText="1"/>
    </xf>
    <xf borderId="25" fillId="2" fontId="21" numFmtId="4" xfId="0" applyAlignment="1" applyBorder="1" applyFill="1" applyFont="1" applyNumberFormat="1">
      <alignment horizontal="center" readingOrder="0" shrinkToFit="0" vertical="center" wrapText="1"/>
    </xf>
    <xf borderId="25" fillId="2" fontId="21" numFmtId="0" xfId="0" applyAlignment="1" applyBorder="1" applyFill="1" applyFont="1">
      <alignment horizontal="left" readingOrder="0" shrinkToFit="0" vertical="center" wrapText="1"/>
    </xf>
    <xf borderId="25" fillId="2" fontId="46" numFmtId="0" xfId="0" applyAlignment="1" applyBorder="1" applyFill="1" applyFont="1">
      <alignment horizontal="center" readingOrder="0" shrinkToFit="0" vertical="center" wrapText="1"/>
    </xf>
    <xf borderId="17" fillId="0" fontId="11" numFmtId="170" xfId="0" applyAlignment="1" applyBorder="1" applyFont="1" applyNumberFormat="1">
      <alignment horizontal="center" readingOrder="0" shrinkToFit="0" vertical="center" wrapText="1"/>
    </xf>
    <xf borderId="25" fillId="13" fontId="104" numFmtId="0" xfId="0" applyAlignment="1" applyBorder="1" applyFill="1" applyFont="1">
      <alignment horizontal="center" readingOrder="0" shrinkToFit="0" wrapText="1"/>
    </xf>
    <xf borderId="17" fillId="2" fontId="30" numFmtId="0" xfId="0" applyAlignment="1" applyBorder="1" applyFill="1" applyFont="1">
      <alignment horizontal="left" readingOrder="0" shrinkToFit="0" vertical="center" wrapText="1"/>
    </xf>
    <xf borderId="25" fillId="0" fontId="11" numFmtId="0" xfId="0" applyAlignment="1" applyBorder="1" applyFont="1">
      <alignment horizontal="center" readingOrder="0" shrinkToFit="0" vertical="center" wrapText="1"/>
    </xf>
    <xf borderId="16" fillId="0" fontId="11" numFmtId="0" xfId="0" applyAlignment="1" applyBorder="1" applyFont="1">
      <alignment horizontal="left" readingOrder="0" shrinkToFit="0" vertical="center" wrapText="1"/>
    </xf>
    <xf borderId="16" fillId="0" fontId="22" numFmtId="173" xfId="0" applyAlignment="1" applyBorder="1" applyFont="1" applyNumberFormat="1">
      <alignment horizontal="center" readingOrder="0" shrinkToFit="0" vertical="center" wrapText="1"/>
    </xf>
    <xf borderId="25" fillId="0" fontId="11" numFmtId="169" xfId="0" applyAlignment="1" applyBorder="1" applyFont="1" applyNumberFormat="1">
      <alignment horizontal="left" readingOrder="0" shrinkToFit="0" vertical="center" wrapText="1"/>
    </xf>
    <xf borderId="16" fillId="0" fontId="22" numFmtId="0" xfId="0" applyAlignment="1" applyBorder="1" applyFont="1">
      <alignment horizontal="center" readingOrder="0" shrinkToFit="0" vertical="center" wrapText="1"/>
    </xf>
    <xf borderId="29" fillId="2" fontId="21" numFmtId="170" xfId="0" applyAlignment="1" applyBorder="1" applyFill="1" applyFont="1" applyNumberFormat="1">
      <alignment horizontal="center" readingOrder="0" shrinkToFit="0" vertical="center" wrapText="1"/>
    </xf>
    <xf borderId="25" fillId="0" fontId="18" numFmtId="169" xfId="0" applyAlignment="1" applyBorder="1" applyFont="1" applyNumberFormat="1">
      <alignment horizontal="left" readingOrder="0" shrinkToFit="0" vertical="center" wrapText="1"/>
    </xf>
    <xf borderId="16" fillId="2" fontId="11" numFmtId="168" xfId="0" applyAlignment="1" applyBorder="1" applyFill="1" applyFont="1" applyNumberFormat="1">
      <alignment horizontal="right" readingOrder="0" shrinkToFit="0" vertical="center" wrapText="1"/>
    </xf>
    <xf borderId="17" fillId="2" fontId="11" numFmtId="0" xfId="0" applyAlignment="1" applyBorder="1" applyFill="1" applyFont="1">
      <alignment horizontal="center" readingOrder="0" shrinkToFit="0" vertical="center" wrapText="1"/>
    </xf>
    <xf borderId="29" fillId="0" fontId="47" numFmtId="166" xfId="0" applyAlignment="1" applyBorder="1" applyFont="1" applyNumberFormat="1">
      <alignment horizontal="left" readingOrder="0" shrinkToFit="0" wrapText="1"/>
    </xf>
    <xf borderId="31" fillId="0" fontId="11" numFmtId="166" xfId="0" applyAlignment="1" applyBorder="1" applyFont="1" applyNumberFormat="1">
      <alignment horizontal="left" readingOrder="0" shrinkToFit="0" vertical="center" wrapText="1"/>
    </xf>
    <xf borderId="17" fillId="0" fontId="11" numFmtId="0" xfId="0" applyAlignment="1" applyBorder="1" applyFont="1">
      <alignment horizontal="left" readingOrder="0" shrinkToFit="0" vertical="center" wrapText="1"/>
    </xf>
    <xf borderId="20" fillId="0" fontId="19" numFmtId="169" xfId="0" applyAlignment="1" applyBorder="1" applyFont="1" applyNumberFormat="1">
      <alignment horizontal="center" readingOrder="0" shrinkToFit="0" vertical="center" wrapText="1"/>
    </xf>
    <xf borderId="25" fillId="0" fontId="20" numFmtId="4" xfId="0" applyAlignment="1" applyBorder="1" applyFont="1" applyNumberFormat="1">
      <alignment horizontal="center" readingOrder="0" shrinkToFit="0" vertical="center" wrapText="1"/>
    </xf>
    <xf borderId="16" fillId="0" fontId="22" numFmtId="181" xfId="0" applyAlignment="1" applyBorder="1" applyFont="1" applyNumberFormat="1">
      <alignment horizontal="center" readingOrder="0" shrinkToFit="0" vertical="center" wrapText="1"/>
    </xf>
    <xf borderId="12" fillId="2" fontId="20" numFmtId="4" xfId="0" applyAlignment="1" applyBorder="1" applyFill="1" applyFont="1" applyNumberFormat="1">
      <alignment horizontal="center" readingOrder="0" shrinkToFit="0" vertical="center" wrapText="1"/>
    </xf>
    <xf borderId="25" fillId="0" fontId="88" numFmtId="0" xfId="0" applyAlignment="1" applyBorder="1" applyFont="1">
      <alignment horizontal="left" readingOrder="0" shrinkToFit="0" vertical="center" wrapText="1"/>
    </xf>
    <xf borderId="12" fillId="0" fontId="21" numFmtId="0" xfId="0" applyAlignment="1" applyBorder="1" applyFont="1">
      <alignment horizontal="left" readingOrder="0" shrinkToFit="0" vertical="center" wrapText="1"/>
    </xf>
    <xf borderId="21" fillId="2" fontId="20" numFmtId="0" xfId="0" applyAlignment="1" applyBorder="1" applyFill="1" applyFont="1">
      <alignment horizontal="left" readingOrder="0" shrinkToFit="0" vertical="center" wrapText="1"/>
    </xf>
    <xf borderId="25" fillId="0" fontId="20" numFmtId="0" xfId="0" applyAlignment="1" applyBorder="1" applyFont="1">
      <alignment horizontal="left" readingOrder="0" shrinkToFit="0" vertical="center" wrapText="1"/>
    </xf>
    <xf borderId="29" fillId="0" fontId="20" numFmtId="166" xfId="0" applyAlignment="1" applyBorder="1" applyFont="1" applyNumberFormat="1">
      <alignment horizontal="left" readingOrder="0" shrinkToFit="0" vertical="center" wrapText="1"/>
    </xf>
    <xf borderId="29" fillId="12" fontId="105" numFmtId="165" xfId="0" applyAlignment="1" applyBorder="1" applyFill="1" applyFont="1" applyNumberFormat="1">
      <alignment horizontal="left" readingOrder="0"/>
    </xf>
    <xf borderId="12" fillId="0" fontId="21" numFmtId="4" xfId="0" applyAlignment="1" applyBorder="1" applyFont="1" applyNumberFormat="1">
      <alignment horizontal="center" readingOrder="0" shrinkToFit="0" vertical="center" wrapText="1"/>
    </xf>
    <xf borderId="29" fillId="0" fontId="36" numFmtId="165" xfId="0" applyAlignment="1" applyBorder="1" applyFont="1" applyNumberFormat="1">
      <alignment readingOrder="0" shrinkToFit="0" wrapText="1"/>
    </xf>
    <xf borderId="17" fillId="0" fontId="22" numFmtId="0" xfId="0" applyAlignment="1" applyBorder="1" applyFont="1">
      <alignment horizontal="left" readingOrder="0" shrinkToFit="0" vertical="center" wrapText="1"/>
    </xf>
    <xf borderId="0" fillId="0" fontId="5" numFmtId="171" xfId="0" applyAlignment="1" applyFont="1" applyNumberFormat="1">
      <alignment vertical="center"/>
    </xf>
    <xf borderId="20" fillId="2" fontId="19" numFmtId="169" xfId="0" applyAlignment="1" applyBorder="1" applyFill="1" applyFont="1" applyNumberFormat="1">
      <alignment horizontal="center" readingOrder="0" shrinkToFit="0" vertical="center" wrapText="1"/>
    </xf>
    <xf borderId="21" fillId="15" fontId="20" numFmtId="168" xfId="0" applyAlignment="1" applyBorder="1" applyFill="1" applyFont="1" applyNumberFormat="1">
      <alignment horizontal="right" readingOrder="0" shrinkToFit="0" vertical="center" wrapText="1"/>
    </xf>
    <xf borderId="21" fillId="0" fontId="20" numFmtId="0" xfId="0" applyAlignment="1" applyBorder="1" applyFont="1">
      <alignment horizontal="center" readingOrder="0" shrinkToFit="0" vertical="center" wrapText="1"/>
    </xf>
    <xf borderId="0" fillId="2" fontId="20" numFmtId="168" xfId="0" applyAlignment="1" applyFill="1" applyFont="1" applyNumberFormat="1">
      <alignment horizontal="right" readingOrder="0" shrinkToFit="0" vertical="center" wrapText="1"/>
    </xf>
    <xf borderId="31" fillId="0" fontId="20" numFmtId="166" xfId="0" applyAlignment="1" applyBorder="1" applyFont="1" applyNumberFormat="1">
      <alignment horizontal="center" readingOrder="0" shrinkToFit="0" vertical="center" wrapText="1"/>
    </xf>
    <xf borderId="12" fillId="19" fontId="20" numFmtId="0" xfId="0" applyAlignment="1" applyBorder="1" applyFill="1" applyFont="1">
      <alignment horizontal="left" readingOrder="0" shrinkToFit="0" vertical="center" wrapText="1"/>
    </xf>
    <xf borderId="33" fillId="0" fontId="20" numFmtId="0" xfId="0" applyAlignment="1" applyBorder="1" applyFont="1">
      <alignment horizontal="left" readingOrder="0" shrinkToFit="0" vertical="center" wrapText="1"/>
    </xf>
    <xf borderId="16" fillId="4" fontId="11" numFmtId="0" xfId="0" applyAlignment="1" applyBorder="1" applyFill="1" applyFont="1">
      <alignment horizontal="left" readingOrder="0" shrinkToFit="0" vertical="center" wrapText="1"/>
    </xf>
    <xf borderId="25" fillId="4" fontId="24" numFmtId="0" xfId="0" applyAlignment="1" applyBorder="1" applyFill="1" applyFont="1">
      <alignment horizontal="left" readingOrder="0" shrinkToFit="0" vertical="center" wrapText="1"/>
    </xf>
    <xf quotePrefix="1" borderId="29" fillId="0" fontId="20" numFmtId="0" xfId="0" applyAlignment="1" applyBorder="1" applyFont="1">
      <alignment horizontal="left" readingOrder="0" shrinkToFit="0" vertical="center" wrapText="1"/>
    </xf>
    <xf borderId="25" fillId="18" fontId="22" numFmtId="0" xfId="0" applyAlignment="1" applyBorder="1" applyFill="1" applyFont="1">
      <alignment horizontal="center" readingOrder="0" shrinkToFit="0" vertical="center" wrapText="1"/>
    </xf>
    <xf borderId="16" fillId="5" fontId="11" numFmtId="0" xfId="0" applyAlignment="1" applyBorder="1" applyFill="1" applyFont="1">
      <alignment horizontal="left" readingOrder="0" shrinkToFit="0" vertical="center" wrapText="1"/>
    </xf>
    <xf quotePrefix="1" borderId="29" fillId="0" fontId="11" numFmtId="0" xfId="0" applyAlignment="1" applyBorder="1" applyFont="1">
      <alignment horizontal="left" readingOrder="0" shrinkToFit="0" vertical="center" wrapText="1"/>
    </xf>
    <xf borderId="17" fillId="0" fontId="24" numFmtId="0" xfId="0" applyAlignment="1" applyBorder="1" applyFont="1">
      <alignment horizontal="left" readingOrder="0" shrinkToFit="0" vertical="center" wrapText="1"/>
    </xf>
    <xf borderId="25" fillId="0" fontId="37" numFmtId="0" xfId="0" applyAlignment="1" applyBorder="1" applyFont="1">
      <alignment readingOrder="0"/>
    </xf>
    <xf borderId="29" fillId="0" fontId="20" numFmtId="0" xfId="0" applyAlignment="1" applyBorder="1" applyFont="1">
      <alignment horizontal="left" readingOrder="0" shrinkToFit="0" vertical="center" wrapText="1"/>
    </xf>
    <xf borderId="30" fillId="0" fontId="106" numFmtId="166" xfId="0" applyAlignment="1" applyBorder="1" applyFont="1" applyNumberFormat="1">
      <alignment horizontal="left" readingOrder="0" shrinkToFit="0" vertical="center" wrapText="1"/>
    </xf>
    <xf borderId="11" fillId="0" fontId="30" numFmtId="166" xfId="0" applyAlignment="1" applyBorder="1" applyFont="1" applyNumberFormat="1">
      <alignment horizontal="right" readingOrder="0" shrinkToFit="0" vertical="center" wrapText="1"/>
    </xf>
    <xf borderId="13" fillId="0" fontId="30" numFmtId="0" xfId="0" applyAlignment="1" applyBorder="1" applyFont="1">
      <alignment horizontal="center" readingOrder="0" shrinkToFit="0" vertical="center" wrapText="1"/>
    </xf>
    <xf borderId="25" fillId="0" fontId="45" numFmtId="0" xfId="0" applyAlignment="1" applyBorder="1" applyFont="1">
      <alignment horizontal="left" readingOrder="0" shrinkToFit="0" vertical="center" wrapText="1"/>
    </xf>
    <xf borderId="25" fillId="0" fontId="22" numFmtId="0" xfId="0" applyAlignment="1" applyBorder="1" applyFont="1">
      <alignment horizontal="center" shrinkToFit="0" vertical="center" wrapText="1"/>
    </xf>
    <xf borderId="29" fillId="0" fontId="20" numFmtId="182" xfId="0" applyAlignment="1" applyBorder="1" applyFont="1" applyNumberFormat="1">
      <alignment horizontal="center" readingOrder="0" shrinkToFit="0" vertical="center" wrapText="1"/>
    </xf>
    <xf borderId="16" fillId="0" fontId="5" numFmtId="168" xfId="0" applyBorder="1" applyFont="1" applyNumberFormat="1"/>
    <xf borderId="17" fillId="0" fontId="5" numFmtId="170" xfId="0" applyBorder="1" applyFont="1" applyNumberFormat="1"/>
    <xf borderId="33" fillId="0" fontId="20" numFmtId="0" xfId="0" applyAlignment="1" applyBorder="1" applyFont="1">
      <alignment horizontal="left" shrinkToFit="0" vertical="center" wrapText="1"/>
    </xf>
    <xf borderId="13" fillId="0" fontId="11" numFmtId="164" xfId="0" applyAlignment="1" applyBorder="1" applyFont="1" applyNumberFormat="1">
      <alignment horizontal="center" readingOrder="0" shrinkToFit="0" vertical="center" wrapText="1"/>
    </xf>
    <xf borderId="17" fillId="0" fontId="5" numFmtId="0" xfId="0" applyBorder="1" applyFont="1"/>
    <xf borderId="31" fillId="0" fontId="14" numFmtId="166" xfId="0" applyAlignment="1" applyBorder="1" applyFont="1" applyNumberFormat="1">
      <alignment horizontal="left" readingOrder="0" shrinkToFit="0" vertical="center" wrapText="1"/>
    </xf>
    <xf borderId="25" fillId="13" fontId="52" numFmtId="0" xfId="0" applyAlignment="1" applyBorder="1" applyFill="1" applyFont="1">
      <alignment readingOrder="0" shrinkToFit="0" wrapText="1"/>
    </xf>
    <xf borderId="25" fillId="0" fontId="11" numFmtId="0" xfId="0" applyAlignment="1" applyBorder="1" applyFont="1">
      <alignment horizontal="left" readingOrder="0" vertical="center"/>
    </xf>
    <xf borderId="31" fillId="0" fontId="20" numFmtId="167" xfId="0" applyAlignment="1" applyBorder="1" applyFont="1" applyNumberFormat="1">
      <alignment horizontal="left" readingOrder="0" shrinkToFit="0" vertical="center" wrapText="1"/>
    </xf>
    <xf borderId="25" fillId="0" fontId="5" numFmtId="0" xfId="0" applyAlignment="1" applyBorder="1" applyFont="1">
      <alignment horizontal="left" readingOrder="0" vertical="center"/>
    </xf>
    <xf borderId="25" fillId="0" fontId="5" numFmtId="0" xfId="0" applyAlignment="1" applyBorder="1" applyFont="1">
      <alignment horizontal="left" readingOrder="0" shrinkToFit="0" vertical="center" wrapText="1"/>
    </xf>
    <xf borderId="25" fillId="0" fontId="5" numFmtId="0" xfId="0" applyAlignment="1" applyBorder="1" applyFont="1">
      <alignment horizontal="left" vertical="center"/>
    </xf>
    <xf borderId="33" fillId="0" fontId="21" numFmtId="0" xfId="0" applyAlignment="1" applyBorder="1" applyFont="1">
      <alignment horizontal="left" readingOrder="0" shrinkToFit="0" vertical="center" wrapText="1"/>
    </xf>
    <xf borderId="12" fillId="0" fontId="11" numFmtId="0" xfId="0" applyAlignment="1" applyBorder="1" applyFont="1">
      <alignment horizontal="left" shrinkToFit="0" vertical="center" wrapText="1"/>
    </xf>
    <xf borderId="25" fillId="0" fontId="5" numFmtId="169" xfId="0" applyAlignment="1" applyBorder="1" applyFont="1" applyNumberFormat="1">
      <alignment horizontal="left" vertical="center"/>
    </xf>
    <xf borderId="25" fillId="0" fontId="65" numFmtId="169" xfId="0" applyAlignment="1" applyBorder="1" applyFont="1" applyNumberFormat="1">
      <alignment horizontal="left" vertical="center"/>
    </xf>
    <xf borderId="29" fillId="0" fontId="5" numFmtId="0" xfId="0" applyAlignment="1" applyBorder="1" applyFont="1">
      <alignment horizontal="left" vertical="center"/>
    </xf>
    <xf borderId="30" fillId="0" fontId="28" numFmtId="0" xfId="0" applyAlignment="1" applyBorder="1" applyFont="1">
      <alignment horizontal="left" vertical="center"/>
    </xf>
    <xf borderId="31" fillId="0" fontId="5" numFmtId="0" xfId="0" applyAlignment="1" applyBorder="1" applyFont="1">
      <alignment horizontal="left" vertical="center"/>
    </xf>
    <xf borderId="20" fillId="0" fontId="14" numFmtId="169" xfId="0" applyAlignment="1" applyBorder="1" applyFont="1" applyNumberFormat="1">
      <alignment horizontal="left" readingOrder="0" vertical="center"/>
    </xf>
    <xf borderId="12" fillId="0" fontId="63" numFmtId="169" xfId="0" applyAlignment="1" applyBorder="1" applyFont="1" applyNumberFormat="1">
      <alignment horizontal="left" vertical="center"/>
    </xf>
    <xf borderId="12" fillId="0" fontId="71" numFmtId="169" xfId="0" applyAlignment="1" applyBorder="1" applyFont="1" applyNumberFormat="1">
      <alignment horizontal="left" readingOrder="0" vertical="center"/>
    </xf>
    <xf borderId="35" fillId="0" fontId="23" numFmtId="0" xfId="0" applyAlignment="1" applyBorder="1" applyFont="1">
      <alignment horizontal="center" readingOrder="0" shrinkToFit="0" vertical="center" wrapText="1"/>
    </xf>
    <xf borderId="16" fillId="0" fontId="43" numFmtId="164" xfId="0" applyAlignment="1" applyBorder="1" applyFont="1" applyNumberFormat="1">
      <alignment horizontal="left" readingOrder="0" shrinkToFit="0" vertical="center" wrapText="1"/>
    </xf>
    <xf borderId="20" fillId="0" fontId="5" numFmtId="169" xfId="0" applyAlignment="1" applyBorder="1" applyFont="1" applyNumberFormat="1">
      <alignment horizontal="left" vertical="center"/>
    </xf>
    <xf borderId="11" fillId="0" fontId="11" numFmtId="166" xfId="0" applyAlignment="1" applyBorder="1" applyFont="1" applyNumberFormat="1">
      <alignment horizontal="left" readingOrder="0" shrinkToFit="0" vertical="center" wrapText="1"/>
    </xf>
    <xf borderId="19" fillId="0" fontId="5" numFmtId="168" xfId="0" applyAlignment="1" applyBorder="1" applyFont="1" applyNumberFormat="1">
      <alignment horizontal="left" readingOrder="0" vertical="center"/>
    </xf>
    <xf borderId="29" fillId="0" fontId="11" numFmtId="0" xfId="0" applyAlignment="1" applyBorder="1" applyFont="1">
      <alignment horizontal="left" readingOrder="0" shrinkToFit="0" vertical="center" wrapText="1"/>
    </xf>
    <xf borderId="21" fillId="0" fontId="5" numFmtId="168" xfId="0" applyAlignment="1" applyBorder="1" applyFont="1" applyNumberFormat="1">
      <alignment horizontal="left" readingOrder="0" vertical="center"/>
    </xf>
    <xf borderId="21" fillId="13" fontId="5" numFmtId="168" xfId="0" applyAlignment="1" applyBorder="1" applyFill="1" applyFont="1" applyNumberFormat="1">
      <alignment horizontal="left" readingOrder="0" vertical="center"/>
    </xf>
    <xf borderId="34" fillId="0" fontId="21" numFmtId="0" xfId="0" applyAlignment="1" applyBorder="1" applyFont="1">
      <alignment horizontal="left" readingOrder="0" shrinkToFit="0" vertical="center" wrapText="1"/>
    </xf>
    <xf borderId="13" fillId="13" fontId="11" numFmtId="0" xfId="0" applyAlignment="1" applyBorder="1" applyFill="1" applyFont="1">
      <alignment horizontal="left" shrinkToFit="0" vertical="center" wrapText="1"/>
    </xf>
    <xf borderId="12" fillId="20" fontId="20" numFmtId="0" xfId="0" applyAlignment="1" applyBorder="1" applyFill="1" applyFont="1">
      <alignment horizontal="center" readingOrder="0" shrinkToFit="0" vertical="center" wrapText="1"/>
    </xf>
    <xf borderId="21" fillId="0" fontId="5" numFmtId="168" xfId="0" applyAlignment="1" applyBorder="1" applyFont="1" applyNumberFormat="1">
      <alignment horizontal="left" vertical="center"/>
    </xf>
    <xf borderId="35" fillId="0" fontId="20" numFmtId="0" xfId="0" applyAlignment="1" applyBorder="1" applyFont="1">
      <alignment horizontal="center" readingOrder="0" shrinkToFit="0" vertical="center" wrapText="1"/>
    </xf>
    <xf borderId="13" fillId="0" fontId="5" numFmtId="170" xfId="0" applyAlignment="1" applyBorder="1" applyFont="1" applyNumberFormat="1">
      <alignment horizontal="left" vertical="center"/>
    </xf>
    <xf borderId="12" fillId="20" fontId="20" numFmtId="182" xfId="0" applyAlignment="1" applyBorder="1" applyFill="1" applyFont="1" applyNumberFormat="1">
      <alignment horizontal="center" readingOrder="0" shrinkToFit="0" vertical="center" wrapText="1"/>
    </xf>
    <xf borderId="14" fillId="2" fontId="11" numFmtId="0" xfId="0" applyAlignment="1" applyBorder="1" applyFill="1" applyFont="1">
      <alignment horizontal="center" readingOrder="0" shrinkToFit="0" vertical="center" wrapText="1"/>
    </xf>
    <xf borderId="12" fillId="20" fontId="20" numFmtId="4" xfId="0" applyAlignment="1" applyBorder="1" applyFill="1" applyFont="1" applyNumberFormat="1">
      <alignment horizontal="center" readingOrder="0" shrinkToFit="0" vertical="center" wrapText="1"/>
    </xf>
    <xf borderId="23" fillId="0" fontId="5" numFmtId="0" xfId="0" applyAlignment="1" applyBorder="1" applyFont="1">
      <alignment horizontal="left" vertical="center"/>
    </xf>
    <xf borderId="12" fillId="20" fontId="20" numFmtId="0" xfId="0" applyAlignment="1" applyBorder="1" applyFill="1" applyFont="1">
      <alignment horizontal="left" readingOrder="0" shrinkToFit="0" vertical="center" wrapText="1"/>
    </xf>
    <xf borderId="15" fillId="20" fontId="20" numFmtId="165" xfId="0" applyAlignment="1" applyBorder="1" applyFill="1" applyFont="1" applyNumberFormat="1">
      <alignment horizontal="left" readingOrder="0" shrinkToFit="0" vertical="center" wrapText="1"/>
    </xf>
    <xf borderId="49" fillId="0" fontId="20" numFmtId="166" xfId="0" applyAlignment="1" applyBorder="1" applyFont="1" applyNumberFormat="1">
      <alignment horizontal="right" readingOrder="0" shrinkToFit="0" vertical="center" wrapText="1"/>
    </xf>
    <xf borderId="25" fillId="2" fontId="11" numFmtId="169" xfId="0" applyAlignment="1" applyBorder="1" applyFill="1" applyFont="1" applyNumberFormat="1">
      <alignment horizontal="left" readingOrder="0" shrinkToFit="0" vertical="center" wrapText="1"/>
    </xf>
    <xf borderId="18" fillId="0" fontId="20" numFmtId="167" xfId="0" applyAlignment="1" applyBorder="1" applyFont="1" applyNumberFormat="1">
      <alignment horizontal="left" readingOrder="0" shrinkToFit="0" vertical="center" wrapText="1"/>
    </xf>
    <xf borderId="25" fillId="2" fontId="18" numFmtId="169" xfId="0" applyAlignment="1" applyBorder="1" applyFill="1" applyFont="1" applyNumberFormat="1">
      <alignment horizontal="left" readingOrder="0" shrinkToFit="0" vertical="center" wrapText="1"/>
    </xf>
    <xf borderId="25" fillId="2" fontId="11" numFmtId="0" xfId="0" applyAlignment="1" applyBorder="1" applyFill="1" applyFont="1">
      <alignment horizontal="left" readingOrder="0" shrinkToFit="0" vertical="center" wrapText="1"/>
    </xf>
    <xf quotePrefix="1" borderId="29" fillId="2" fontId="11" numFmtId="0" xfId="0" applyAlignment="1" applyBorder="1" applyFill="1" applyFont="1">
      <alignment horizontal="left" readingOrder="0" shrinkToFit="0" vertical="center" wrapText="1"/>
    </xf>
    <xf borderId="29" fillId="0" fontId="104" numFmtId="166" xfId="0" applyAlignment="1" applyBorder="1" applyFont="1" applyNumberFormat="1">
      <alignment readingOrder="0" shrinkToFit="0" wrapText="1"/>
    </xf>
    <xf borderId="12" fillId="5" fontId="107" numFmtId="169" xfId="0" applyAlignment="1" applyBorder="1" applyFill="1" applyFont="1" applyNumberFormat="1">
      <alignment horizontal="center" readingOrder="0" shrinkToFit="0" vertical="center" wrapText="1"/>
    </xf>
    <xf borderId="20" fillId="0" fontId="29" numFmtId="0" xfId="0" applyAlignment="1" applyBorder="1" applyFont="1">
      <alignment horizontal="center" readingOrder="0" shrinkToFit="0" vertical="center" wrapText="1"/>
    </xf>
    <xf borderId="24" fillId="0" fontId="20" numFmtId="0" xfId="0" applyAlignment="1" applyBorder="1" applyFont="1">
      <alignment horizontal="left" readingOrder="0" shrinkToFit="0" vertical="center" wrapText="1"/>
    </xf>
    <xf borderId="25" fillId="0" fontId="21" numFmtId="0" xfId="0" applyAlignment="1" applyBorder="1" applyFont="1">
      <alignment readingOrder="0"/>
    </xf>
    <xf borderId="25" fillId="0" fontId="5" numFmtId="0" xfId="0" applyBorder="1" applyFont="1"/>
    <xf borderId="13" fillId="2" fontId="30" numFmtId="168" xfId="0" applyAlignment="1" applyBorder="1" applyFill="1" applyFont="1" applyNumberFormat="1">
      <alignment horizontal="center" readingOrder="0" shrinkToFit="0" vertical="center" wrapText="1"/>
    </xf>
    <xf borderId="25" fillId="0" fontId="20" numFmtId="0" xfId="0" applyAlignment="1" applyBorder="1" applyFont="1">
      <alignment horizontal="center" shrinkToFit="0" wrapText="1"/>
    </xf>
    <xf borderId="29" fillId="0" fontId="5" numFmtId="165" xfId="0" applyBorder="1" applyFont="1" applyNumberFormat="1"/>
    <xf borderId="0" fillId="0" fontId="5" numFmtId="166" xfId="0" applyFont="1" applyNumberFormat="1"/>
    <xf borderId="12" fillId="0" fontId="73" numFmtId="0" xfId="0" applyAlignment="1" applyBorder="1" applyFont="1">
      <alignment horizontal="left" readingOrder="0" shrinkToFit="0" vertical="center" wrapText="1"/>
    </xf>
    <xf borderId="25" fillId="0" fontId="11" numFmtId="179" xfId="0" applyAlignment="1" applyBorder="1" applyFont="1" applyNumberFormat="1">
      <alignment horizontal="left" readingOrder="0" shrinkToFit="0" vertical="center" wrapText="1"/>
    </xf>
    <xf borderId="25" fillId="13" fontId="18" numFmtId="169" xfId="0" applyAlignment="1" applyBorder="1" applyFill="1" applyFont="1" applyNumberFormat="1">
      <alignment readingOrder="0" vertical="center"/>
    </xf>
    <xf borderId="25" fillId="13" fontId="72" numFmtId="0" xfId="0" applyAlignment="1" applyBorder="1" applyFill="1" applyFont="1">
      <alignment readingOrder="0" vertical="center"/>
    </xf>
    <xf borderId="30" fillId="0" fontId="47" numFmtId="166" xfId="0" applyAlignment="1" applyBorder="1" applyFont="1" applyNumberFormat="1">
      <alignment horizontal="left" readingOrder="0" shrinkToFit="0" wrapText="1"/>
    </xf>
    <xf borderId="25" fillId="0" fontId="23" numFmtId="0" xfId="0" applyAlignment="1" applyBorder="1" applyFont="1">
      <alignment horizontal="center" shrinkToFit="0" vertical="center" wrapText="1"/>
    </xf>
    <xf borderId="25" fillId="0" fontId="20" numFmtId="0" xfId="0" applyAlignment="1" applyBorder="1" applyFont="1">
      <alignment horizontal="center" shrinkToFit="0" vertical="center" wrapText="1"/>
    </xf>
    <xf borderId="29" fillId="0" fontId="20" numFmtId="165" xfId="0" applyAlignment="1" applyBorder="1" applyFont="1" applyNumberFormat="1">
      <alignment horizontal="left" shrinkToFit="0" vertical="center" wrapText="1"/>
    </xf>
    <xf borderId="12" fillId="2" fontId="28" numFmtId="0" xfId="0" applyAlignment="1" applyBorder="1" applyFill="1" applyFont="1">
      <alignment horizontal="left" readingOrder="0" shrinkToFit="0" vertical="center" wrapText="1"/>
    </xf>
    <xf borderId="25" fillId="0" fontId="5" numFmtId="169" xfId="0" applyBorder="1" applyFont="1" applyNumberFormat="1"/>
    <xf borderId="25" fillId="0" fontId="65" numFmtId="169" xfId="0" applyBorder="1" applyFont="1" applyNumberFormat="1"/>
    <xf borderId="29" fillId="0" fontId="5" numFmtId="0" xfId="0" applyBorder="1" applyFont="1"/>
    <xf borderId="30" fillId="0" fontId="28" numFmtId="0" xfId="0" applyBorder="1" applyFont="1"/>
    <xf borderId="31" fillId="0" fontId="5" numFmtId="0" xfId="0" applyBorder="1" applyFont="1"/>
    <xf borderId="16" fillId="0" fontId="108" numFmtId="169" xfId="0" applyAlignment="1" applyBorder="1" applyFont="1" applyNumberFormat="1">
      <alignment readingOrder="0"/>
    </xf>
    <xf borderId="29" fillId="0" fontId="11" numFmtId="170" xfId="0" applyAlignment="1" applyBorder="1" applyFont="1" applyNumberFormat="1">
      <alignment horizontal="center" shrinkToFit="0" vertical="center" wrapText="1"/>
    </xf>
    <xf borderId="12" fillId="0" fontId="11" numFmtId="183" xfId="0" applyAlignment="1" applyBorder="1" applyFont="1" applyNumberFormat="1">
      <alignment horizontal="center" readingOrder="0" shrinkToFit="0" vertical="center" wrapText="1"/>
    </xf>
    <xf borderId="25" fillId="0" fontId="20" numFmtId="0" xfId="0" applyAlignment="1" applyBorder="1" applyFont="1">
      <alignment horizontal="left" shrinkToFit="0" vertical="center" wrapText="1"/>
    </xf>
    <xf borderId="25" fillId="0" fontId="37" numFmtId="0" xfId="0" applyBorder="1" applyFont="1"/>
    <xf borderId="12" fillId="0" fontId="11" numFmtId="168" xfId="0" applyAlignment="1" applyBorder="1" applyFont="1" applyNumberFormat="1">
      <alignment readingOrder="0" vertical="center"/>
    </xf>
    <xf borderId="25" fillId="0" fontId="38" numFmtId="169" xfId="0" applyBorder="1" applyFont="1" applyNumberFormat="1"/>
    <xf borderId="29" fillId="0" fontId="37" numFmtId="0" xfId="0" applyBorder="1" applyFont="1"/>
    <xf borderId="30" fillId="0" fontId="37" numFmtId="0" xfId="0" applyBorder="1" applyFont="1"/>
    <xf borderId="31" fillId="0" fontId="37" numFmtId="0" xfId="0" applyAlignment="1" applyBorder="1" applyFont="1">
      <alignment readingOrder="0"/>
    </xf>
    <xf borderId="12" fillId="0" fontId="37" numFmtId="164" xfId="0" applyAlignment="1" applyBorder="1" applyFont="1" applyNumberFormat="1">
      <alignment horizontal="center" readingOrder="0" vertical="center"/>
    </xf>
    <xf borderId="30" fillId="0" fontId="20" numFmtId="0" xfId="0" applyAlignment="1" applyBorder="1" applyFont="1">
      <alignment horizontal="left" readingOrder="0" shrinkToFit="0" vertical="center" wrapText="1"/>
    </xf>
    <xf borderId="33" fillId="0" fontId="37" numFmtId="0" xfId="0" applyBorder="1" applyFont="1"/>
    <xf borderId="13" fillId="2" fontId="20" numFmtId="168" xfId="0" applyAlignment="1" applyBorder="1" applyFill="1" applyFont="1" applyNumberFormat="1">
      <alignment horizontal="right" readingOrder="0" shrinkToFit="0" vertical="center" wrapText="1"/>
    </xf>
    <xf borderId="31" fillId="0" fontId="37" numFmtId="0" xfId="0" applyBorder="1" applyFont="1"/>
    <xf borderId="12" fillId="7" fontId="21" numFmtId="0" xfId="0" applyAlignment="1" applyBorder="1" applyFill="1" applyFont="1">
      <alignment horizontal="left" readingOrder="0" shrinkToFit="0" vertical="center" wrapText="1"/>
    </xf>
    <xf borderId="12" fillId="21" fontId="11" numFmtId="183" xfId="0" applyAlignment="1" applyBorder="1" applyFill="1" applyFont="1" applyNumberFormat="1">
      <alignment horizontal="center" readingOrder="0" shrinkToFit="0" wrapText="1"/>
    </xf>
    <xf borderId="28" fillId="0" fontId="11" numFmtId="175" xfId="0" applyAlignment="1" applyBorder="1" applyFont="1" applyNumberFormat="1">
      <alignment horizontal="center" readingOrder="0" shrinkToFit="0" vertical="center" wrapText="1"/>
    </xf>
    <xf borderId="12" fillId="0" fontId="85" numFmtId="0" xfId="0" applyAlignment="1" applyBorder="1" applyFont="1">
      <alignment readingOrder="0" vertical="center"/>
    </xf>
    <xf borderId="30" fillId="0" fontId="53" numFmtId="166" xfId="0" applyAlignment="1" applyBorder="1" applyFont="1" applyNumberFormat="1">
      <alignment readingOrder="0" shrinkToFit="0" wrapText="1"/>
    </xf>
    <xf borderId="25" fillId="10" fontId="70" numFmtId="0" xfId="0" applyAlignment="1" applyBorder="1" applyFill="1" applyFont="1">
      <alignment horizontal="center" readingOrder="0" shrinkToFit="0" vertical="center" wrapText="1"/>
    </xf>
    <xf borderId="25" fillId="0" fontId="70" numFmtId="0" xfId="0" applyAlignment="1" applyBorder="1" applyFont="1">
      <alignment horizontal="center" shrinkToFit="0" vertical="center" wrapText="1"/>
    </xf>
    <xf borderId="25" fillId="0" fontId="21" numFmtId="0" xfId="0" applyAlignment="1" applyBorder="1" applyFont="1">
      <alignment horizontal="center" shrinkToFit="0" vertical="center" wrapText="1"/>
    </xf>
    <xf borderId="29" fillId="0" fontId="21" numFmtId="165" xfId="0" applyAlignment="1" applyBorder="1" applyFont="1" applyNumberFormat="1">
      <alignment horizontal="left" readingOrder="0" shrinkToFit="0" vertical="center" wrapText="1"/>
    </xf>
    <xf borderId="16" fillId="0" fontId="27" numFmtId="164" xfId="0" applyAlignment="1" applyBorder="1" applyFont="1" applyNumberFormat="1">
      <alignment horizontal="center" readingOrder="0" shrinkToFit="0" vertical="center" wrapText="1"/>
    </xf>
    <xf borderId="12" fillId="2" fontId="11" numFmtId="184" xfId="0" applyAlignment="1" applyBorder="1" applyFill="1" applyFont="1" applyNumberFormat="1">
      <alignment horizontal="right" readingOrder="0" shrinkToFit="0" vertical="center" wrapText="1"/>
    </xf>
    <xf borderId="12" fillId="0" fontId="21" numFmtId="168" xfId="0" applyAlignment="1" applyBorder="1" applyFont="1" applyNumberFormat="1">
      <alignment horizontal="right" readingOrder="0" shrinkToFit="0" vertical="center" wrapText="1"/>
    </xf>
    <xf borderId="11" fillId="0" fontId="45" numFmtId="0" xfId="0" applyAlignment="1" applyBorder="1" applyFont="1">
      <alignment horizontal="center" readingOrder="0" shrinkToFit="0" vertical="center" wrapText="1"/>
    </xf>
    <xf borderId="25" fillId="0" fontId="11" numFmtId="169" xfId="0" applyAlignment="1" applyBorder="1" applyFont="1" applyNumberFormat="1">
      <alignment horizontal="center" readingOrder="0" shrinkToFit="0" vertical="center" wrapText="1"/>
    </xf>
    <xf borderId="12" fillId="15" fontId="20" numFmtId="168" xfId="0" applyAlignment="1" applyBorder="1" applyFill="1" applyFont="1" applyNumberFormat="1">
      <alignment horizontal="right" readingOrder="0" shrinkToFit="0" vertical="center" wrapText="1"/>
    </xf>
    <xf borderId="25" fillId="19" fontId="23" numFmtId="0" xfId="0" applyAlignment="1" applyBorder="1" applyFill="1" applyFont="1">
      <alignment horizontal="center" readingOrder="0" shrinkToFit="0" vertical="center" wrapText="1"/>
    </xf>
    <xf borderId="25" fillId="19" fontId="20" numFmtId="0" xfId="0" applyAlignment="1" applyBorder="1" applyFill="1" applyFont="1">
      <alignment horizontal="center" readingOrder="0" shrinkToFit="0" vertical="center" wrapText="1"/>
    </xf>
    <xf borderId="25" fillId="19" fontId="20" numFmtId="0" xfId="0" applyAlignment="1" applyBorder="1" applyFill="1" applyFont="1">
      <alignment horizontal="left" readingOrder="0" shrinkToFit="0" vertical="center" wrapText="1"/>
    </xf>
    <xf borderId="29" fillId="19" fontId="20" numFmtId="165" xfId="0" applyAlignment="1" applyBorder="1" applyFill="1" applyFont="1" applyNumberFormat="1">
      <alignment horizontal="left" readingOrder="0" shrinkToFit="0" vertical="center" wrapText="1"/>
    </xf>
    <xf borderId="21" fillId="21" fontId="11" numFmtId="168" xfId="0" applyAlignment="1" applyBorder="1" applyFill="1" applyFont="1" applyNumberFormat="1">
      <alignment horizontal="center" readingOrder="0" shrinkToFit="0" vertical="center" wrapText="1"/>
    </xf>
    <xf borderId="30" fillId="19" fontId="20" numFmtId="166" xfId="0" applyAlignment="1" applyBorder="1" applyFill="1" applyFont="1" applyNumberFormat="1">
      <alignment horizontal="left" readingOrder="0" shrinkToFit="0" vertical="center" wrapText="1"/>
    </xf>
    <xf borderId="31" fillId="19" fontId="20" numFmtId="166" xfId="0" applyAlignment="1" applyBorder="1" applyFill="1" applyFont="1" applyNumberFormat="1">
      <alignment horizontal="left" readingOrder="0" shrinkToFit="0" vertical="center" wrapText="1"/>
    </xf>
    <xf borderId="12" fillId="19" fontId="20" numFmtId="169" xfId="0" applyAlignment="1" applyBorder="1" applyFill="1" applyFont="1" applyNumberFormat="1">
      <alignment horizontal="center" readingOrder="0" shrinkToFit="0" vertical="center" wrapText="1"/>
    </xf>
    <xf borderId="19" fillId="22" fontId="20" numFmtId="168" xfId="0" applyAlignment="1" applyBorder="1" applyFill="1" applyFont="1" applyNumberFormat="1">
      <alignment horizontal="right" shrinkToFit="0" wrapText="1"/>
    </xf>
    <xf borderId="12" fillId="19" fontId="26" numFmtId="169" xfId="0" applyAlignment="1" applyBorder="1" applyFill="1" applyFont="1" applyNumberFormat="1">
      <alignment horizontal="center" readingOrder="0" shrinkToFit="0" vertical="center" wrapText="1"/>
    </xf>
    <xf borderId="33" fillId="0" fontId="11" numFmtId="171" xfId="0" applyAlignment="1" applyBorder="1" applyFont="1" applyNumberFormat="1">
      <alignment horizontal="left" shrinkToFit="0" vertical="center" wrapText="1"/>
    </xf>
    <xf borderId="21" fillId="22" fontId="20" numFmtId="168" xfId="0" applyAlignment="1" applyBorder="1" applyFill="1" applyFont="1" applyNumberFormat="1">
      <alignment horizontal="right" shrinkToFit="0" wrapText="1"/>
    </xf>
    <xf borderId="16" fillId="19" fontId="27" numFmtId="169" xfId="0" applyAlignment="1" applyBorder="1" applyFill="1" applyFont="1" applyNumberFormat="1">
      <alignment horizontal="center" readingOrder="0" shrinkToFit="0" vertical="center" wrapText="1"/>
    </xf>
    <xf borderId="20" fillId="19" fontId="27" numFmtId="169" xfId="0" applyAlignment="1" applyBorder="1" applyFill="1" applyFont="1" applyNumberFormat="1">
      <alignment horizontal="center" readingOrder="0" shrinkToFit="0" vertical="center" wrapText="1"/>
    </xf>
    <xf borderId="21" fillId="21" fontId="20" numFmtId="168" xfId="0" applyAlignment="1" applyBorder="1" applyFill="1" applyFont="1" applyNumberFormat="1">
      <alignment horizontal="right" shrinkToFit="0" wrapText="1"/>
    </xf>
    <xf borderId="25" fillId="0" fontId="84" numFmtId="0" xfId="0" applyAlignment="1" applyBorder="1" applyFont="1">
      <alignment horizontal="left" readingOrder="0" shrinkToFit="0" vertical="center" wrapText="1"/>
    </xf>
    <xf borderId="38" fillId="19" fontId="20" numFmtId="166" xfId="0" applyAlignment="1" applyBorder="1" applyFill="1" applyFont="1" applyNumberFormat="1">
      <alignment horizontal="right" readingOrder="0" shrinkToFit="0" vertical="center" wrapText="1"/>
    </xf>
    <xf borderId="25" fillId="0" fontId="22" numFmtId="182" xfId="0" applyAlignment="1" applyBorder="1" applyFont="1" applyNumberFormat="1">
      <alignment horizontal="center" readingOrder="0" shrinkToFit="0" vertical="center" wrapText="1"/>
    </xf>
    <xf borderId="31" fillId="19" fontId="20" numFmtId="167" xfId="0" applyAlignment="1" applyBorder="1" applyFill="1" applyFont="1" applyNumberFormat="1">
      <alignment horizontal="left" readingOrder="0" shrinkToFit="0" vertical="center" wrapText="1"/>
    </xf>
    <xf borderId="12" fillId="19" fontId="20" numFmtId="168" xfId="0" applyAlignment="1" applyBorder="1" applyFill="1" applyFont="1" applyNumberFormat="1">
      <alignment horizontal="right" readingOrder="0" shrinkToFit="0" vertical="center" wrapText="1"/>
    </xf>
    <xf borderId="28" fillId="19" fontId="20" numFmtId="0" xfId="0" applyAlignment="1" applyBorder="1" applyFill="1" applyFont="1">
      <alignment horizontal="center" readingOrder="0" shrinkToFit="0" vertical="center" wrapText="1"/>
    </xf>
    <xf borderId="29" fillId="13" fontId="72" numFmtId="165" xfId="0" applyAlignment="1" applyBorder="1" applyFill="1" applyFont="1" applyNumberFormat="1">
      <alignment horizontal="left" readingOrder="0"/>
    </xf>
    <xf borderId="21" fillId="21" fontId="20" numFmtId="168" xfId="0" applyAlignment="1" applyBorder="1" applyFill="1" applyFont="1" applyNumberFormat="1">
      <alignment horizontal="right" readingOrder="0" shrinkToFit="0" wrapText="1"/>
    </xf>
    <xf borderId="28" fillId="19" fontId="20" numFmtId="170" xfId="0" applyAlignment="1" applyBorder="1" applyFill="1" applyFont="1" applyNumberFormat="1">
      <alignment horizontal="center" readingOrder="0" shrinkToFit="0" vertical="center" wrapText="1"/>
    </xf>
    <xf borderId="21" fillId="19" fontId="20" numFmtId="168" xfId="0" applyAlignment="1" applyBorder="1" applyFill="1" applyFont="1" applyNumberFormat="1">
      <alignment horizontal="right" readingOrder="0" shrinkToFit="0" vertical="center" wrapText="1"/>
    </xf>
    <xf borderId="13" fillId="19" fontId="20" numFmtId="170" xfId="0" applyAlignment="1" applyBorder="1" applyFill="1" applyFont="1" applyNumberFormat="1">
      <alignment horizontal="center" readingOrder="0" shrinkToFit="0" vertical="center" wrapText="1"/>
    </xf>
    <xf borderId="33" fillId="19" fontId="20" numFmtId="0" xfId="0" applyAlignment="1" applyBorder="1" applyFill="1" applyFont="1">
      <alignment horizontal="left" readingOrder="0" shrinkToFit="0" vertical="center" wrapText="1"/>
    </xf>
    <xf borderId="0" fillId="19" fontId="20" numFmtId="171" xfId="0" applyAlignment="1" applyFill="1" applyFont="1" applyNumberFormat="1">
      <alignment horizontal="left" shrinkToFit="0" vertical="center" wrapText="1"/>
    </xf>
    <xf borderId="30" fillId="0" fontId="109" numFmtId="166" xfId="0" applyAlignment="1" applyBorder="1" applyFont="1" applyNumberFormat="1">
      <alignment horizontal="left" readingOrder="0" shrinkToFit="0" wrapText="1"/>
    </xf>
    <xf borderId="12" fillId="2" fontId="24" numFmtId="0" xfId="0" applyAlignment="1" applyBorder="1" applyFill="1" applyFont="1">
      <alignment horizontal="left" readingOrder="0" shrinkToFit="0" vertical="center" wrapText="1"/>
    </xf>
    <xf borderId="25" fillId="0" fontId="110" numFmtId="0" xfId="0" applyAlignment="1" applyBorder="1" applyFont="1">
      <alignment horizontal="center" readingOrder="0" shrinkToFit="0" vertical="center" wrapText="1"/>
    </xf>
    <xf borderId="12" fillId="23" fontId="20" numFmtId="0" xfId="0" applyAlignment="1" applyBorder="1" applyFill="1" applyFont="1">
      <alignment horizontal="center" readingOrder="0" shrinkToFit="0" vertical="center" wrapText="1"/>
    </xf>
    <xf borderId="12" fillId="23" fontId="20" numFmtId="4" xfId="0" applyAlignment="1" applyBorder="1" applyFill="1" applyFont="1" applyNumberFormat="1">
      <alignment horizontal="center" readingOrder="0" shrinkToFit="0" vertical="center" wrapText="1"/>
    </xf>
    <xf borderId="12" fillId="23" fontId="20" numFmtId="0" xfId="0" applyAlignment="1" applyBorder="1" applyFill="1" applyFont="1">
      <alignment horizontal="left" readingOrder="0" shrinkToFit="0" vertical="center" wrapText="1"/>
    </xf>
    <xf borderId="34" fillId="5" fontId="30" numFmtId="0" xfId="0" applyAlignment="1" applyBorder="1" applyFill="1" applyFont="1">
      <alignment horizontal="left" readingOrder="0" shrinkToFit="0" vertical="center" wrapText="1"/>
    </xf>
    <xf borderId="15" fillId="23" fontId="20" numFmtId="165" xfId="0" applyAlignment="1" applyBorder="1" applyFill="1" applyFont="1" applyNumberFormat="1">
      <alignment horizontal="left" readingOrder="0" shrinkToFit="0" vertical="center" wrapText="1"/>
    </xf>
    <xf borderId="12" fillId="0" fontId="11" numFmtId="166" xfId="0" applyAlignment="1" applyBorder="1" applyFont="1" applyNumberFormat="1">
      <alignment horizontal="right" readingOrder="0" shrinkToFit="0" vertical="center" wrapText="1"/>
    </xf>
    <xf borderId="12" fillId="0" fontId="11" numFmtId="167" xfId="0" applyAlignment="1" applyBorder="1" applyFont="1" applyNumberFormat="1">
      <alignment horizontal="left" readingOrder="0" shrinkToFit="0" vertical="center" wrapText="1"/>
    </xf>
    <xf borderId="35" fillId="0" fontId="11" numFmtId="0" xfId="0" applyAlignment="1" applyBorder="1" applyFont="1">
      <alignment horizontal="center" readingOrder="0" shrinkToFit="0" vertical="center" wrapText="1"/>
    </xf>
    <xf borderId="12" fillId="0" fontId="11" numFmtId="0" xfId="0" applyAlignment="1" applyBorder="1" applyFont="1">
      <alignment horizontal="center" shrinkToFit="0" wrapText="1"/>
    </xf>
    <xf borderId="36" fillId="0" fontId="11" numFmtId="169" xfId="0" applyAlignment="1" applyBorder="1" applyFont="1" applyNumberFormat="1">
      <alignment horizontal="left" readingOrder="0" shrinkToFit="0" vertical="center" wrapText="1"/>
    </xf>
    <xf borderId="36" fillId="0" fontId="18" numFmtId="169" xfId="0" applyAlignment="1" applyBorder="1" applyFont="1" applyNumberFormat="1">
      <alignment horizontal="left" readingOrder="0" shrinkToFit="0" vertical="center" wrapText="1"/>
    </xf>
    <xf borderId="33" fillId="0" fontId="20" numFmtId="171" xfId="0" applyAlignment="1" applyBorder="1" applyFont="1" applyNumberFormat="1">
      <alignment horizontal="left" shrinkToFit="0" vertical="center" wrapText="1"/>
    </xf>
    <xf borderId="25" fillId="18" fontId="23" numFmtId="0" xfId="0" applyAlignment="1" applyBorder="1" applyFill="1" applyFont="1">
      <alignment horizontal="center" readingOrder="0" shrinkToFit="0" vertical="center" wrapText="1"/>
    </xf>
    <xf borderId="25" fillId="17" fontId="23" numFmtId="0" xfId="0" applyAlignment="1" applyBorder="1" applyFill="1" applyFont="1">
      <alignment horizontal="center" readingOrder="0" shrinkToFit="0" vertical="center" wrapText="1"/>
    </xf>
    <xf borderId="25" fillId="2" fontId="23" numFmtId="0" xfId="0" applyAlignment="1" applyBorder="1" applyFill="1" applyFont="1">
      <alignment horizontal="center" readingOrder="0" shrinkToFit="0" vertical="center" wrapText="1"/>
    </xf>
    <xf borderId="25" fillId="2" fontId="20" numFmtId="0" xfId="0" applyAlignment="1" applyBorder="1" applyFill="1" applyFont="1">
      <alignment horizontal="center" readingOrder="0" shrinkToFit="0" vertical="center" wrapText="1"/>
    </xf>
    <xf borderId="29" fillId="2" fontId="20" numFmtId="165" xfId="0" applyAlignment="1" applyBorder="1" applyFill="1" applyFont="1" applyNumberFormat="1">
      <alignment horizontal="left" readingOrder="0" shrinkToFit="0" vertical="center" wrapText="1"/>
    </xf>
    <xf borderId="31" fillId="2" fontId="20" numFmtId="167" xfId="0" applyAlignment="1" applyBorder="1" applyFill="1" applyFont="1" applyNumberFormat="1">
      <alignment horizontal="left" readingOrder="0" shrinkToFit="0" vertical="center" wrapText="1"/>
    </xf>
    <xf borderId="33" fillId="2" fontId="20" numFmtId="0" xfId="0" applyAlignment="1" applyBorder="1" applyFill="1" applyFont="1">
      <alignment horizontal="left" readingOrder="0" shrinkToFit="0" vertical="center" wrapText="1"/>
    </xf>
    <xf borderId="31" fillId="0" fontId="30" numFmtId="167" xfId="0" applyAlignment="1" applyBorder="1" applyFont="1" applyNumberFormat="1">
      <alignment horizontal="left" readingOrder="0" shrinkToFit="0" vertical="center" wrapText="1"/>
    </xf>
    <xf borderId="30" fillId="0" fontId="21" numFmtId="166" xfId="0" applyAlignment="1" applyBorder="1" applyFont="1" applyNumberFormat="1">
      <alignment horizontal="left" readingOrder="0" shrinkToFit="0" vertical="center" wrapText="1"/>
    </xf>
    <xf borderId="31" fillId="2" fontId="21" numFmtId="166" xfId="0" applyAlignment="1" applyBorder="1" applyFill="1" applyFont="1" applyNumberFormat="1">
      <alignment horizontal="left" readingOrder="0" shrinkToFit="0" vertical="center" wrapText="1"/>
    </xf>
    <xf borderId="12" fillId="2" fontId="21" numFmtId="169" xfId="0" applyAlignment="1" applyBorder="1" applyFill="1" applyFont="1" applyNumberFormat="1">
      <alignment horizontal="center" readingOrder="0" shrinkToFit="0" vertical="center" wrapText="1"/>
    </xf>
    <xf borderId="20" fillId="2" fontId="27" numFmtId="169" xfId="0" applyAlignment="1" applyBorder="1" applyFill="1" applyFont="1" applyNumberFormat="1">
      <alignment horizontal="center" readingOrder="0" shrinkToFit="0" vertical="center" wrapText="1"/>
    </xf>
    <xf borderId="31" fillId="2" fontId="21" numFmtId="167" xfId="0" applyAlignment="1" applyBorder="1" applyFill="1" applyFont="1" applyNumberFormat="1">
      <alignment horizontal="left" readingOrder="0" shrinkToFit="0" vertical="center" wrapText="1"/>
    </xf>
    <xf borderId="12" fillId="2" fontId="21" numFmtId="168" xfId="0" applyAlignment="1" applyBorder="1" applyFill="1" applyFont="1" applyNumberFormat="1">
      <alignment horizontal="right" readingOrder="0" shrinkToFit="0" vertical="center" wrapText="1"/>
    </xf>
    <xf borderId="33" fillId="2" fontId="21" numFmtId="0" xfId="0" applyAlignment="1" applyBorder="1" applyFill="1" applyFont="1">
      <alignment horizontal="left" shrinkToFit="0" vertical="center" wrapText="1"/>
    </xf>
    <xf borderId="29" fillId="0" fontId="28" numFmtId="0" xfId="0" applyBorder="1" applyFont="1"/>
    <xf borderId="25" fillId="20" fontId="23" numFmtId="0" xfId="0" applyAlignment="1" applyBorder="1" applyFill="1" applyFont="1">
      <alignment horizontal="center" readingOrder="0" shrinkToFit="0" vertical="center" wrapText="1"/>
    </xf>
    <xf borderId="25" fillId="20" fontId="20" numFmtId="0" xfId="0" applyAlignment="1" applyBorder="1" applyFill="1" applyFont="1">
      <alignment horizontal="center" readingOrder="0" shrinkToFit="0" vertical="center" wrapText="1"/>
    </xf>
    <xf borderId="25" fillId="20" fontId="20" numFmtId="0" xfId="0" applyAlignment="1" applyBorder="1" applyFill="1" applyFont="1">
      <alignment horizontal="left" readingOrder="0" shrinkToFit="0" vertical="center" wrapText="1"/>
    </xf>
    <xf borderId="29" fillId="20" fontId="20" numFmtId="165" xfId="0" applyAlignment="1" applyBorder="1" applyFill="1" applyFont="1" applyNumberFormat="1">
      <alignment horizontal="left" readingOrder="0" shrinkToFit="0" vertical="center" wrapText="1"/>
    </xf>
    <xf borderId="30" fillId="20" fontId="20" numFmtId="166" xfId="0" applyAlignment="1" applyBorder="1" applyFill="1" applyFont="1" applyNumberFormat="1">
      <alignment horizontal="left" readingOrder="0" shrinkToFit="0" vertical="center" wrapText="1"/>
    </xf>
    <xf borderId="20" fillId="0" fontId="11" numFmtId="170" xfId="0" applyAlignment="1" applyBorder="1" applyFont="1" applyNumberFormat="1">
      <alignment horizontal="center" shrinkToFit="0" vertical="center" wrapText="1"/>
    </xf>
    <xf borderId="31" fillId="20" fontId="20" numFmtId="166" xfId="0" applyAlignment="1" applyBorder="1" applyFill="1" applyFont="1" applyNumberFormat="1">
      <alignment horizontal="left" readingOrder="0" shrinkToFit="0" vertical="center" wrapText="1"/>
    </xf>
    <xf borderId="12" fillId="20" fontId="26" numFmtId="169" xfId="0" applyAlignment="1" applyBorder="1" applyFill="1" applyFont="1" applyNumberFormat="1">
      <alignment horizontal="center" readingOrder="0" shrinkToFit="0" vertical="center" wrapText="1"/>
    </xf>
    <xf borderId="16" fillId="20" fontId="27" numFmtId="169" xfId="0" applyAlignment="1" applyBorder="1" applyFill="1" applyFont="1" applyNumberFormat="1">
      <alignment horizontal="center" readingOrder="0" shrinkToFit="0" vertical="center" wrapText="1"/>
    </xf>
    <xf borderId="20" fillId="20" fontId="27" numFmtId="169" xfId="0" applyAlignment="1" applyBorder="1" applyFill="1" applyFont="1" applyNumberFormat="1">
      <alignment horizontal="center" readingOrder="0" shrinkToFit="0" vertical="center" wrapText="1"/>
    </xf>
    <xf borderId="22" fillId="20" fontId="20" numFmtId="166" xfId="0" applyAlignment="1" applyBorder="1" applyFill="1" applyFont="1" applyNumberFormat="1">
      <alignment horizontal="right" readingOrder="0" shrinkToFit="0" vertical="center" wrapText="1"/>
    </xf>
    <xf borderId="12" fillId="0" fontId="20" numFmtId="4" xfId="0" applyAlignment="1" applyBorder="1" applyFont="1" applyNumberFormat="1">
      <alignment horizontal="center" shrinkToFit="0" vertical="center" wrapText="1"/>
    </xf>
    <xf borderId="31" fillId="20" fontId="20" numFmtId="167" xfId="0" applyAlignment="1" applyBorder="1" applyFill="1" applyFont="1" applyNumberFormat="1">
      <alignment horizontal="left" readingOrder="0" shrinkToFit="0" vertical="center" wrapText="1"/>
    </xf>
    <xf borderId="12" fillId="20" fontId="20" numFmtId="168" xfId="0" applyAlignment="1" applyBorder="1" applyFill="1" applyFont="1" applyNumberFormat="1">
      <alignment horizontal="right" readingOrder="0" shrinkToFit="0" vertical="center" wrapText="1"/>
    </xf>
    <xf borderId="28" fillId="20" fontId="20" numFmtId="0" xfId="0" applyAlignment="1" applyBorder="1" applyFill="1" applyFont="1">
      <alignment horizontal="center" readingOrder="0" shrinkToFit="0" vertical="center" wrapText="1"/>
    </xf>
    <xf borderId="21" fillId="20" fontId="20" numFmtId="168" xfId="0" applyAlignment="1" applyBorder="1" applyFill="1" applyFont="1" applyNumberFormat="1">
      <alignment horizontal="right" readingOrder="0" shrinkToFit="0" vertical="center" wrapText="1"/>
    </xf>
    <xf borderId="15" fillId="20" fontId="20" numFmtId="0" xfId="0" applyAlignment="1" applyBorder="1" applyFill="1" applyFont="1">
      <alignment horizontal="center" readingOrder="0" shrinkToFit="0" vertical="center" wrapText="1"/>
    </xf>
    <xf borderId="13" fillId="0" fontId="11" numFmtId="183" xfId="0" applyAlignment="1" applyBorder="1" applyFont="1" applyNumberFormat="1">
      <alignment horizontal="center" readingOrder="0" shrinkToFit="0" vertical="center" wrapText="1"/>
    </xf>
    <xf borderId="13" fillId="20" fontId="20" numFmtId="0" xfId="0" applyAlignment="1" applyBorder="1" applyFill="1" applyFont="1">
      <alignment horizontal="center" readingOrder="0" shrinkToFit="0" vertical="center" wrapText="1"/>
    </xf>
    <xf borderId="33" fillId="20" fontId="20" numFmtId="0" xfId="0" applyAlignment="1" applyBorder="1" applyFill="1" applyFont="1">
      <alignment horizontal="left" readingOrder="0" shrinkToFit="0" vertical="center" wrapText="1"/>
    </xf>
    <xf borderId="25" fillId="0" fontId="21" numFmtId="0" xfId="0" applyAlignment="1" applyBorder="1" applyFont="1">
      <alignment horizontal="left" readingOrder="0" shrinkToFit="0" vertical="center" wrapText="1"/>
    </xf>
    <xf borderId="13" fillId="0" fontId="20" numFmtId="182" xfId="0" applyAlignment="1" applyBorder="1" applyFont="1" applyNumberFormat="1">
      <alignment horizontal="center" readingOrder="0" shrinkToFit="0" vertical="center" wrapText="1"/>
    </xf>
    <xf borderId="29" fillId="0" fontId="28" numFmtId="166" xfId="0" applyAlignment="1" applyBorder="1" applyFont="1" applyNumberFormat="1">
      <alignment horizontal="left" readingOrder="0" shrinkToFit="0" vertical="center" wrapText="1"/>
    </xf>
    <xf borderId="29" fillId="0" fontId="5" numFmtId="165" xfId="0" applyAlignment="1" applyBorder="1" applyFont="1" applyNumberFormat="1">
      <alignment horizontal="left" vertical="center"/>
    </xf>
    <xf borderId="31" fillId="0" fontId="5" numFmtId="166" xfId="0" applyBorder="1" applyFont="1" applyNumberFormat="1"/>
    <xf borderId="20" fillId="0" fontId="14" numFmtId="0" xfId="0" applyAlignment="1" applyBorder="1" applyFont="1">
      <alignment readingOrder="0" vertical="center"/>
    </xf>
    <xf borderId="25" fillId="0" fontId="5" numFmtId="0" xfId="0" applyAlignment="1" applyBorder="1" applyFont="1">
      <alignment readingOrder="0"/>
    </xf>
    <xf quotePrefix="1" borderId="29" fillId="0" fontId="5" numFmtId="0" xfId="0" applyAlignment="1" applyBorder="1" applyFont="1">
      <alignment readingOrder="0"/>
    </xf>
    <xf borderId="28" fillId="0" fontId="11" numFmtId="170" xfId="0" applyAlignment="1" applyBorder="1" applyFont="1" applyNumberFormat="1">
      <alignment horizontal="center" shrinkToFit="0" vertical="center" wrapText="1"/>
    </xf>
    <xf borderId="12" fillId="0" fontId="5" numFmtId="168" xfId="0" applyAlignment="1" applyBorder="1" applyFont="1" applyNumberFormat="1">
      <alignment horizontal="center" vertical="center"/>
    </xf>
    <xf borderId="25" fillId="0" fontId="5" numFmtId="0" xfId="0" applyAlignment="1" applyBorder="1" applyFont="1">
      <alignment horizontal="center"/>
    </xf>
    <xf borderId="12" fillId="0" fontId="5" numFmtId="168" xfId="0" applyAlignment="1" applyBorder="1" applyFont="1" applyNumberFormat="1">
      <alignment horizontal="center" readingOrder="0" vertical="center"/>
    </xf>
    <xf borderId="25" fillId="2" fontId="111" numFmtId="0" xfId="0" applyAlignment="1" applyBorder="1" applyFill="1" applyFont="1">
      <alignment horizontal="center" readingOrder="0" shrinkToFit="0" vertical="center" wrapText="1"/>
    </xf>
    <xf borderId="28" fillId="2" fontId="21" numFmtId="0" xfId="0" applyAlignment="1" applyBorder="1" applyFill="1" applyFont="1">
      <alignment horizontal="center" readingOrder="0" shrinkToFit="0" vertical="center" wrapText="1"/>
    </xf>
    <xf borderId="12" fillId="4" fontId="21" numFmtId="168" xfId="0" applyAlignment="1" applyBorder="1" applyFill="1" applyFont="1" applyNumberFormat="1">
      <alignment horizontal="right" readingOrder="0" shrinkToFit="0" vertical="center" wrapText="1"/>
    </xf>
    <xf borderId="28" fillId="2" fontId="21" numFmtId="170" xfId="0" applyAlignment="1" applyBorder="1" applyFill="1" applyFont="1" applyNumberFormat="1">
      <alignment horizontal="center" readingOrder="0" shrinkToFit="0" vertical="center" wrapText="1"/>
    </xf>
    <xf borderId="21" fillId="0" fontId="11" numFmtId="183" xfId="0" applyAlignment="1" applyBorder="1" applyFont="1" applyNumberFormat="1">
      <alignment horizontal="center" readingOrder="0" shrinkToFit="0" vertical="center" wrapText="1"/>
    </xf>
    <xf borderId="12" fillId="0" fontId="20" numFmtId="182" xfId="0" applyAlignment="1" applyBorder="1" applyFont="1" applyNumberFormat="1">
      <alignment horizontal="center" readingOrder="0" shrinkToFit="0" vertical="center" wrapText="1"/>
    </xf>
    <xf borderId="33" fillId="2" fontId="21" numFmtId="0" xfId="0" applyAlignment="1" applyBorder="1" applyFill="1" applyFont="1">
      <alignment horizontal="left" readingOrder="0" shrinkToFit="0" vertical="center" wrapText="1"/>
    </xf>
    <xf borderId="35" fillId="0" fontId="45" numFmtId="0" xfId="0" applyAlignment="1" applyBorder="1" applyFont="1">
      <alignment horizontal="left" readingOrder="0" shrinkToFit="0" vertical="center" wrapText="1"/>
    </xf>
    <xf borderId="36" fillId="0" fontId="22" numFmtId="0" xfId="0" applyAlignment="1" applyBorder="1" applyFont="1">
      <alignment horizontal="center" readingOrder="0" shrinkToFit="0" vertical="center" wrapText="1"/>
    </xf>
    <xf borderId="30" fillId="0" fontId="81" numFmtId="166" xfId="0" applyAlignment="1" applyBorder="1" applyFont="1" applyNumberFormat="1">
      <alignment horizontal="left" readingOrder="0" shrinkToFit="0" wrapText="1"/>
    </xf>
    <xf borderId="12" fillId="24" fontId="20" numFmtId="0" xfId="0" applyAlignment="1" applyBorder="1" applyFill="1" applyFont="1">
      <alignment horizontal="left" shrinkToFit="0" vertical="center" wrapText="1"/>
    </xf>
    <xf borderId="21" fillId="0" fontId="11" numFmtId="164" xfId="0" applyAlignment="1" applyBorder="1" applyFont="1" applyNumberFormat="1">
      <alignment horizontal="center" readingOrder="0" shrinkToFit="0" vertical="center" wrapText="1"/>
    </xf>
    <xf borderId="11" fillId="4" fontId="24" numFmtId="0" xfId="0" applyAlignment="1" applyBorder="1" applyFill="1" applyFont="1">
      <alignment horizontal="center" readingOrder="0" shrinkToFit="0" vertical="center" wrapText="1"/>
    </xf>
    <xf borderId="29" fillId="0" fontId="11" numFmtId="165" xfId="0" applyAlignment="1" applyBorder="1" applyFont="1" applyNumberFormat="1">
      <alignment horizontal="left" readingOrder="0" vertical="center"/>
    </xf>
    <xf borderId="30" fillId="13" fontId="36" numFmtId="166" xfId="0" applyAlignment="1" applyBorder="1" applyFill="1" applyFont="1" applyNumberFormat="1">
      <alignment readingOrder="0" shrinkToFit="0" wrapText="0"/>
    </xf>
    <xf borderId="25" fillId="0" fontId="20" numFmtId="168" xfId="0" applyAlignment="1" applyBorder="1" applyFont="1" applyNumberFormat="1">
      <alignment horizontal="right" readingOrder="0" shrinkToFit="0" vertical="center" wrapText="1"/>
    </xf>
    <xf borderId="12" fillId="0" fontId="14" numFmtId="169" xfId="0" applyAlignment="1" applyBorder="1" applyFont="1" applyNumberFormat="1">
      <alignment horizontal="center" readingOrder="0" shrinkToFit="0" vertical="center" wrapText="1"/>
    </xf>
    <xf borderId="25" fillId="2" fontId="20" numFmtId="168" xfId="0" applyAlignment="1" applyBorder="1" applyFill="1" applyFont="1" applyNumberFormat="1">
      <alignment horizontal="right" readingOrder="0" shrinkToFit="0" vertical="center" wrapText="1"/>
    </xf>
    <xf borderId="37" fillId="2" fontId="20" numFmtId="168" xfId="0" applyAlignment="1" applyBorder="1" applyFill="1" applyFont="1" applyNumberFormat="1">
      <alignment horizontal="right" readingOrder="0" shrinkToFit="0" vertical="center" wrapText="1"/>
    </xf>
    <xf borderId="33" fillId="0" fontId="5" numFmtId="0" xfId="0" applyAlignment="1" applyBorder="1" applyFont="1">
      <alignment vertical="center"/>
    </xf>
    <xf borderId="20" fillId="0" fontId="21" numFmtId="0" xfId="0" applyAlignment="1" applyBorder="1" applyFont="1">
      <alignment horizontal="left" readingOrder="0" shrinkToFit="0" vertical="center" wrapText="1"/>
    </xf>
    <xf borderId="31" fillId="0" fontId="14" numFmtId="169" xfId="0" applyAlignment="1" applyBorder="1" applyFont="1" applyNumberFormat="1">
      <alignment horizontal="center" vertical="center"/>
    </xf>
    <xf borderId="12" fillId="0" fontId="71" numFmtId="169" xfId="0" applyAlignment="1" applyBorder="1" applyFont="1" applyNumberFormat="1">
      <alignment horizontal="center" vertical="center"/>
    </xf>
    <xf borderId="28" fillId="0" fontId="11" numFmtId="0" xfId="0" applyAlignment="1" applyBorder="1" applyFont="1">
      <alignment horizontal="center" shrinkToFit="0" vertical="center" wrapText="1"/>
    </xf>
    <xf borderId="12" fillId="20" fontId="21" numFmtId="0" xfId="0" applyAlignment="1" applyBorder="1" applyFill="1" applyFont="1">
      <alignment horizontal="left" readingOrder="0" shrinkToFit="0" vertical="center" wrapText="1"/>
    </xf>
    <xf borderId="21" fillId="13" fontId="5" numFmtId="168" xfId="0" applyAlignment="1" applyBorder="1" applyFill="1" applyFont="1" applyNumberFormat="1">
      <alignment horizontal="center" vertical="center"/>
    </xf>
    <xf borderId="17" fillId="0" fontId="20" numFmtId="0" xfId="0" applyAlignment="1" applyBorder="1" applyFont="1">
      <alignment horizontal="center" readingOrder="0" shrinkToFit="0" vertical="center" wrapText="1"/>
    </xf>
    <xf borderId="28" fillId="13" fontId="11" numFmtId="0" xfId="0" applyAlignment="1" applyBorder="1" applyFill="1" applyFont="1">
      <alignment horizontal="center" shrinkToFit="0" vertical="center" wrapText="1"/>
    </xf>
    <xf borderId="12" fillId="13" fontId="5" numFmtId="168" xfId="0" applyAlignment="1" applyBorder="1" applyFill="1" applyFont="1" applyNumberFormat="1">
      <alignment horizontal="center" vertical="center"/>
    </xf>
    <xf borderId="17" fillId="2" fontId="20" numFmtId="0" xfId="0" applyAlignment="1" applyBorder="1" applyFill="1" applyFont="1">
      <alignment horizontal="center" readingOrder="0" shrinkToFit="0" vertical="center" wrapText="1"/>
    </xf>
    <xf borderId="25" fillId="4" fontId="11" numFmtId="0" xfId="0" applyAlignment="1" applyBorder="1" applyFill="1" applyFont="1">
      <alignment readingOrder="0"/>
    </xf>
    <xf borderId="14" fillId="0" fontId="20" numFmtId="0" xfId="0" applyAlignment="1" applyBorder="1" applyFont="1">
      <alignment horizontal="left" readingOrder="0" shrinkToFit="0" vertical="center" wrapText="1"/>
    </xf>
    <xf quotePrefix="1" borderId="50" fillId="0" fontId="20" numFmtId="0" xfId="0" applyAlignment="1" applyBorder="1" applyFont="1">
      <alignment horizontal="left" readingOrder="0" shrinkToFit="0" vertical="center" wrapText="1"/>
    </xf>
    <xf borderId="19" fillId="0" fontId="20" numFmtId="166" xfId="0" applyAlignment="1" applyBorder="1" applyFont="1" applyNumberFormat="1">
      <alignment horizontal="left" readingOrder="0" shrinkToFit="0" vertical="center" wrapText="1"/>
    </xf>
    <xf borderId="14" fillId="0" fontId="20" numFmtId="166" xfId="0" applyAlignment="1" applyBorder="1" applyFont="1" applyNumberFormat="1">
      <alignment horizontal="left" readingOrder="0" shrinkToFit="0" vertical="center" wrapText="1"/>
    </xf>
    <xf borderId="51" fillId="3" fontId="112" numFmtId="0" xfId="0" applyAlignment="1" applyBorder="1" applyFill="1" applyFont="1">
      <alignment horizontal="center" readingOrder="0" vertical="center"/>
    </xf>
    <xf borderId="52" fillId="0" fontId="8" numFmtId="0" xfId="0" applyBorder="1" applyFont="1"/>
    <xf borderId="53" fillId="0" fontId="8" numFmtId="0" xfId="0" applyBorder="1" applyFont="1"/>
    <xf borderId="11" fillId="21" fontId="113" numFmtId="0" xfId="0" applyAlignment="1" applyBorder="1" applyFill="1" applyFont="1">
      <alignment horizontal="left" readingOrder="0" vertical="center"/>
    </xf>
    <xf borderId="12" fillId="9" fontId="11" numFmtId="0" xfId="0" applyAlignment="1" applyBorder="1" applyFill="1" applyFont="1">
      <alignment horizontal="left" readingOrder="0" shrinkToFit="0" vertical="center" wrapText="1"/>
    </xf>
    <xf borderId="12" fillId="25" fontId="113" numFmtId="0" xfId="0" applyAlignment="1" applyBorder="1" applyFill="1" applyFont="1">
      <alignment horizontal="right" readingOrder="0" vertical="center"/>
    </xf>
    <xf borderId="35" fillId="0" fontId="21" numFmtId="0" xfId="0" applyAlignment="1" applyBorder="1" applyFont="1">
      <alignment horizontal="left" readingOrder="0" shrinkToFit="0" vertical="center" wrapText="1"/>
    </xf>
    <xf borderId="12" fillId="19" fontId="21" numFmtId="0" xfId="0" applyAlignment="1" applyBorder="1" applyFill="1" applyFont="1">
      <alignment horizontal="left" readingOrder="0" shrinkToFit="0" vertical="center" wrapText="1"/>
    </xf>
    <xf borderId="12" fillId="0" fontId="113" numFmtId="0" xfId="0" applyAlignment="1" applyBorder="1" applyFont="1">
      <alignment horizontal="center" readingOrder="0" vertical="center"/>
    </xf>
    <xf borderId="35" fillId="18" fontId="23" numFmtId="0" xfId="0" applyAlignment="1" applyBorder="1" applyFill="1" applyFont="1">
      <alignment horizontal="center" readingOrder="0" shrinkToFit="0" vertical="center" wrapText="1"/>
    </xf>
    <xf borderId="12" fillId="0" fontId="113" numFmtId="0" xfId="0" applyAlignment="1" applyBorder="1" applyFont="1">
      <alignment horizontal="left" readingOrder="0" vertical="center"/>
    </xf>
    <xf borderId="31" fillId="0" fontId="14" numFmtId="169" xfId="0" applyAlignment="1" applyBorder="1" applyFont="1" applyNumberFormat="1">
      <alignment horizontal="center" readingOrder="0" shrinkToFit="0" vertical="center" wrapText="1"/>
    </xf>
    <xf borderId="35" fillId="0" fontId="20" numFmtId="0" xfId="0" applyAlignment="1" applyBorder="1" applyFont="1">
      <alignment horizontal="left" readingOrder="0" shrinkToFit="0" vertical="center" wrapText="1"/>
    </xf>
    <xf borderId="15" fillId="4" fontId="113" numFmtId="3" xfId="0" applyAlignment="1" applyBorder="1" applyFill="1" applyFont="1" applyNumberFormat="1">
      <alignment horizontal="right" readingOrder="0" vertical="center"/>
    </xf>
    <xf borderId="12" fillId="2" fontId="21" numFmtId="4" xfId="0" applyAlignment="1" applyBorder="1" applyFill="1" applyFont="1" applyNumberFormat="1">
      <alignment horizontal="center" shrinkToFit="0" vertical="center" wrapText="1"/>
    </xf>
    <xf borderId="50" fillId="0" fontId="20" numFmtId="165" xfId="0" applyAlignment="1" applyBorder="1" applyFont="1" applyNumberFormat="1">
      <alignment horizontal="left" readingOrder="0" shrinkToFit="0" vertical="center" wrapText="1"/>
    </xf>
    <xf borderId="12" fillId="13" fontId="29" numFmtId="169" xfId="0" applyAlignment="1" applyBorder="1" applyFill="1" applyFont="1" applyNumberFormat="1">
      <alignment horizontal="center" readingOrder="0" vertical="center"/>
    </xf>
    <xf borderId="34" fillId="0" fontId="20" numFmtId="166" xfId="0" applyAlignment="1" applyBorder="1" applyFont="1" applyNumberFormat="1">
      <alignment horizontal="left" readingOrder="0" shrinkToFit="0" vertical="center" wrapText="1"/>
    </xf>
    <xf borderId="40" fillId="21" fontId="113" numFmtId="0" xfId="0" applyAlignment="1" applyBorder="1" applyFill="1" applyFont="1">
      <alignment horizontal="left" readingOrder="0" vertical="center"/>
    </xf>
    <xf borderId="41" fillId="25" fontId="113" numFmtId="0" xfId="0" applyAlignment="1" applyBorder="1" applyFill="1" applyFont="1">
      <alignment horizontal="right" readingOrder="0" vertical="center"/>
    </xf>
    <xf borderId="41" fillId="0" fontId="113" numFmtId="0" xfId="0" applyAlignment="1" applyBorder="1" applyFont="1">
      <alignment horizontal="center" readingOrder="0" vertical="center"/>
    </xf>
    <xf borderId="41" fillId="0" fontId="113" numFmtId="0" xfId="0" applyAlignment="1" applyBorder="1" applyFont="1">
      <alignment horizontal="left" readingOrder="0" vertical="center"/>
    </xf>
    <xf borderId="42" fillId="4" fontId="113" numFmtId="3" xfId="0" applyAlignment="1" applyBorder="1" applyFill="1" applyFont="1" applyNumberFormat="1">
      <alignment horizontal="right" readingOrder="0" vertical="center"/>
    </xf>
    <xf borderId="0" fillId="0" fontId="113" numFmtId="0" xfId="0" applyAlignment="1" applyFont="1">
      <alignment horizontal="left" readingOrder="0" vertical="center"/>
    </xf>
    <xf borderId="0" fillId="0" fontId="113" numFmtId="0" xfId="0" applyAlignment="1" applyFont="1">
      <alignment horizontal="right" readingOrder="0" vertical="center"/>
    </xf>
    <xf borderId="0" fillId="0" fontId="113" numFmtId="0" xfId="0" applyAlignment="1" applyFont="1">
      <alignment horizontal="center" readingOrder="0" vertical="center"/>
    </xf>
    <xf borderId="0" fillId="0" fontId="113" numFmtId="3" xfId="0" applyAlignment="1" applyFont="1" applyNumberFormat="1">
      <alignment horizontal="right" readingOrder="0" vertical="center"/>
    </xf>
    <xf borderId="0" fillId="0" fontId="114" numFmtId="0" xfId="0" applyAlignment="1" applyFont="1">
      <alignment horizontal="left" readingOrder="0" vertical="center"/>
    </xf>
    <xf borderId="12" fillId="0" fontId="29" numFmtId="0" xfId="0" applyAlignment="1" applyBorder="1" applyFont="1">
      <alignment horizontal="center" readingOrder="0" shrinkToFit="0" vertical="center" wrapText="1"/>
    </xf>
    <xf borderId="19" fillId="0" fontId="20" numFmtId="165" xfId="0" applyAlignment="1" applyBorder="1" applyFont="1" applyNumberFormat="1">
      <alignment horizontal="left" readingOrder="0" shrinkToFit="0" vertical="center" wrapText="1"/>
    </xf>
    <xf quotePrefix="1" borderId="19" fillId="0" fontId="20" numFmtId="0" xfId="0" applyAlignment="1" applyBorder="1" applyFont="1">
      <alignment horizontal="left" readingOrder="0" shrinkToFit="0" vertical="center" wrapText="1"/>
    </xf>
    <xf borderId="0" fillId="26" fontId="114" numFmtId="0" xfId="0" applyAlignment="1" applyFill="1" applyFont="1">
      <alignment horizontal="right" readingOrder="0" vertical="center"/>
    </xf>
    <xf borderId="0" fillId="0" fontId="114" numFmtId="0" xfId="0" applyAlignment="1" applyFont="1">
      <alignment horizontal="center" readingOrder="0" vertical="center"/>
    </xf>
    <xf borderId="33" fillId="2" fontId="11" numFmtId="168" xfId="0" applyAlignment="1" applyBorder="1" applyFill="1" applyFont="1" applyNumberFormat="1">
      <alignment horizontal="right" readingOrder="0" shrinkToFit="0" vertical="center" wrapText="1"/>
    </xf>
    <xf borderId="12" fillId="0" fontId="20" numFmtId="0" xfId="0" applyAlignment="1" applyBorder="1" applyFont="1">
      <alignment horizontal="center" readingOrder="0" shrinkToFit="0" vertical="center" wrapText="1"/>
    </xf>
    <xf borderId="24" fillId="0" fontId="73" numFmtId="0" xfId="0" applyAlignment="1" applyBorder="1" applyFont="1">
      <alignment horizontal="left" readingOrder="0" shrinkToFit="0" vertical="center" wrapText="1"/>
    </xf>
    <xf borderId="12" fillId="0" fontId="20" numFmtId="4" xfId="0" applyAlignment="1" applyBorder="1" applyFont="1" applyNumberFormat="1">
      <alignment horizontal="center" readingOrder="0" shrinkToFit="0" vertical="center" wrapText="1"/>
    </xf>
    <xf borderId="25" fillId="0" fontId="115" numFmtId="0" xfId="0" applyAlignment="1" applyBorder="1" applyFont="1">
      <alignment readingOrder="0" vertical="center"/>
    </xf>
    <xf borderId="22" fillId="0" fontId="21" numFmtId="166" xfId="0" applyAlignment="1" applyBorder="1" applyFont="1" applyNumberFormat="1">
      <alignment horizontal="right" readingOrder="0" shrinkToFit="0" vertical="center" wrapText="1"/>
    </xf>
    <xf borderId="29" fillId="0" fontId="21" numFmtId="0" xfId="0" applyAlignment="1" applyBorder="1" applyFont="1">
      <alignment horizontal="center" readingOrder="0" shrinkToFit="0" vertical="center" wrapText="1"/>
    </xf>
    <xf borderId="0" fillId="0" fontId="114" numFmtId="3" xfId="0" applyAlignment="1" applyFont="1" applyNumberFormat="1">
      <alignment horizontal="right" readingOrder="0" vertical="center"/>
    </xf>
    <xf borderId="21" fillId="0" fontId="21" numFmtId="168" xfId="0" applyAlignment="1" applyBorder="1" applyFont="1" applyNumberFormat="1">
      <alignment horizontal="right" readingOrder="0" shrinkToFit="0" vertical="center" wrapText="1"/>
    </xf>
    <xf borderId="0" fillId="26" fontId="114" numFmtId="0" xfId="0" applyAlignment="1" applyFill="1" applyFont="1">
      <alignment horizontal="center" readingOrder="0" vertical="center"/>
    </xf>
    <xf borderId="31" fillId="0" fontId="14" numFmtId="169" xfId="0" applyAlignment="1" applyBorder="1" applyFont="1" applyNumberFormat="1">
      <alignment horizontal="center" readingOrder="0" vertical="center"/>
    </xf>
    <xf borderId="0" fillId="0" fontId="114" numFmtId="4" xfId="0" applyAlignment="1" applyFont="1" applyNumberFormat="1">
      <alignment horizontal="right" readingOrder="0" vertical="center"/>
    </xf>
    <xf borderId="0" fillId="0" fontId="114" numFmtId="185" xfId="0" applyAlignment="1" applyFont="1" applyNumberFormat="1">
      <alignment horizontal="left" readingOrder="0" vertical="center"/>
    </xf>
    <xf borderId="0" fillId="25" fontId="114" numFmtId="3" xfId="0" applyAlignment="1" applyFill="1" applyFont="1" applyNumberFormat="1">
      <alignment horizontal="center" readingOrder="0" vertical="center"/>
    </xf>
    <xf borderId="0" fillId="0" fontId="114" numFmtId="3" xfId="0" applyAlignment="1" applyFont="1" applyNumberFormat="1">
      <alignment horizontal="left" readingOrder="0" vertical="center"/>
    </xf>
    <xf borderId="0" fillId="0" fontId="114" numFmtId="0" xfId="0" applyAlignment="1" applyFont="1">
      <alignment horizontal="right" readingOrder="0" vertical="center"/>
    </xf>
    <xf borderId="12" fillId="6" fontId="23" numFmtId="0" xfId="0" applyAlignment="1" applyBorder="1" applyFill="1" applyFont="1">
      <alignment horizontal="center" readingOrder="0" shrinkToFit="0" vertical="center" wrapText="1"/>
    </xf>
    <xf borderId="12" fillId="27" fontId="20" numFmtId="0" xfId="0" applyAlignment="1" applyBorder="1" applyFill="1" applyFont="1">
      <alignment horizontal="left" readingOrder="0" shrinkToFit="0" vertical="center" wrapText="1"/>
    </xf>
    <xf borderId="24" fillId="0" fontId="20" numFmtId="0" xfId="0" applyAlignment="1" applyBorder="1" applyFont="1">
      <alignment horizontal="left" shrinkToFit="0" vertical="center" wrapText="1"/>
    </xf>
    <xf borderId="16" fillId="0" fontId="65" numFmtId="169" xfId="0" applyAlignment="1" applyBorder="1" applyFont="1" applyNumberFormat="1">
      <alignment horizontal="center" readingOrder="0"/>
    </xf>
    <xf borderId="14" fillId="0" fontId="20" numFmtId="170" xfId="0" applyAlignment="1" applyBorder="1" applyFont="1" applyNumberFormat="1">
      <alignment horizontal="center" readingOrder="0" shrinkToFit="0" vertical="center" wrapText="1"/>
    </xf>
    <xf borderId="12" fillId="21" fontId="5" numFmtId="168" xfId="0" applyAlignment="1" applyBorder="1" applyFill="1" applyFont="1" applyNumberFormat="1">
      <alignment horizontal="center" readingOrder="0" vertical="center"/>
    </xf>
    <xf borderId="13" fillId="13" fontId="5" numFmtId="168" xfId="0" applyAlignment="1" applyBorder="1" applyFill="1" applyFont="1" applyNumberFormat="1">
      <alignment horizontal="center" readingOrder="0" vertical="center"/>
    </xf>
    <xf borderId="25" fillId="0" fontId="11" numFmtId="169" xfId="0" applyAlignment="1" applyBorder="1" applyFont="1" applyNumberFormat="1">
      <alignment horizontal="left" readingOrder="0" shrinkToFit="0" vertical="center" wrapText="1"/>
    </xf>
    <xf borderId="25" fillId="0" fontId="18" numFmtId="169" xfId="0" applyAlignment="1" applyBorder="1" applyFont="1" applyNumberFormat="1">
      <alignment horizontal="left" readingOrder="0" shrinkToFit="0" vertical="center" wrapText="1"/>
    </xf>
    <xf borderId="25" fillId="0" fontId="11" numFmtId="0" xfId="0" applyAlignment="1" applyBorder="1" applyFont="1">
      <alignment horizontal="left" readingOrder="0" shrinkToFit="0" vertical="center" wrapText="1"/>
    </xf>
    <xf borderId="12" fillId="0" fontId="20" numFmtId="170" xfId="0" applyAlignment="1" applyBorder="1" applyFont="1" applyNumberFormat="1">
      <alignment horizontal="center" readingOrder="0" shrinkToFit="0" vertical="center" wrapText="1"/>
    </xf>
    <xf borderId="25" fillId="0" fontId="20" numFmtId="4" xfId="0" applyAlignment="1" applyBorder="1" applyFont="1" applyNumberFormat="1">
      <alignment horizontal="center" shrinkToFit="0" vertical="center" wrapText="1"/>
    </xf>
    <xf borderId="12" fillId="0" fontId="20" numFmtId="166" xfId="0" applyAlignment="1" applyBorder="1" applyFont="1" applyNumberFormat="1">
      <alignment horizontal="center" readingOrder="0" shrinkToFit="0" vertical="center" wrapText="1"/>
    </xf>
    <xf borderId="25" fillId="0" fontId="5" numFmtId="168" xfId="0" applyAlignment="1" applyBorder="1" applyFont="1" applyNumberFormat="1">
      <alignment horizontal="center" readingOrder="0" vertical="center"/>
    </xf>
    <xf borderId="25" fillId="13" fontId="5" numFmtId="168" xfId="0" applyAlignment="1" applyBorder="1" applyFill="1" applyFont="1" applyNumberFormat="1">
      <alignment horizontal="center" readingOrder="0" vertical="center"/>
    </xf>
    <xf borderId="29" fillId="13" fontId="11" numFmtId="0" xfId="0" applyAlignment="1" applyBorder="1" applyFill="1" applyFont="1">
      <alignment horizontal="center" shrinkToFit="0" vertical="center" wrapText="1"/>
    </xf>
    <xf borderId="37" fillId="0" fontId="5" numFmtId="168" xfId="0" applyAlignment="1" applyBorder="1" applyFont="1" applyNumberFormat="1">
      <alignment horizontal="center" vertical="center"/>
    </xf>
    <xf borderId="27" fillId="0" fontId="5" numFmtId="170" xfId="0" applyAlignment="1" applyBorder="1" applyFont="1" applyNumberFormat="1">
      <alignment horizontal="center" vertical="center"/>
    </xf>
    <xf borderId="21" fillId="0" fontId="21" numFmtId="0" xfId="0" applyAlignment="1" applyBorder="1" applyFont="1">
      <alignment horizontal="center" readingOrder="0" shrinkToFit="0" vertical="center" wrapText="1"/>
    </xf>
    <xf borderId="0" fillId="0" fontId="5" numFmtId="170" xfId="0" applyFont="1" applyNumberFormat="1"/>
    <xf borderId="20" fillId="0" fontId="11" numFmtId="0" xfId="0" applyAlignment="1" applyBorder="1" applyFont="1">
      <alignment readingOrder="0"/>
    </xf>
    <xf borderId="20" fillId="0" fontId="5" numFmtId="0" xfId="0" applyAlignment="1" applyBorder="1" applyFont="1">
      <alignment horizontal="center" readingOrder="0"/>
    </xf>
    <xf borderId="35" fillId="0" fontId="21" numFmtId="0" xfId="0" applyAlignment="1" applyBorder="1" applyFont="1">
      <alignment horizontal="center" readingOrder="0" shrinkToFit="0" vertical="center" wrapText="1"/>
    </xf>
    <xf borderId="35" fillId="2" fontId="21" numFmtId="0" xfId="0" applyAlignment="1" applyBorder="1" applyFill="1" applyFont="1">
      <alignment horizontal="center" readingOrder="0" shrinkToFit="0" vertical="center" wrapText="1"/>
    </xf>
    <xf borderId="50" fillId="2" fontId="21" numFmtId="165" xfId="0" applyAlignment="1" applyBorder="1" applyFill="1" applyFont="1" applyNumberFormat="1">
      <alignment horizontal="left" readingOrder="0" shrinkToFit="0" vertical="center" wrapText="1"/>
    </xf>
    <xf borderId="18" fillId="0" fontId="14" numFmtId="169" xfId="0" applyAlignment="1" applyBorder="1" applyFont="1" applyNumberFormat="1">
      <alignment horizontal="center" readingOrder="0" vertical="center"/>
    </xf>
    <xf borderId="49" fillId="2" fontId="21" numFmtId="166" xfId="0" applyAlignment="1" applyBorder="1" applyFill="1" applyFont="1" applyNumberFormat="1">
      <alignment horizontal="right" readingOrder="0" shrinkToFit="0" vertical="center" wrapText="1"/>
    </xf>
    <xf borderId="13" fillId="2" fontId="21" numFmtId="167" xfId="0" applyAlignment="1" applyBorder="1" applyFill="1" applyFont="1" applyNumberFormat="1">
      <alignment horizontal="left" readingOrder="0" shrinkToFit="0" vertical="center" wrapText="1"/>
    </xf>
    <xf borderId="15" fillId="13" fontId="11" numFmtId="0" xfId="0" applyAlignment="1" applyBorder="1" applyFill="1" applyFont="1">
      <alignment horizontal="center" shrinkToFit="0" vertical="center" wrapText="1"/>
    </xf>
    <xf borderId="11" fillId="0" fontId="5" numFmtId="168" xfId="0" applyAlignment="1" applyBorder="1" applyFont="1" applyNumberFormat="1">
      <alignment horizontal="center" vertical="center"/>
    </xf>
    <xf borderId="17" fillId="0" fontId="5" numFmtId="170" xfId="0" applyAlignment="1" applyBorder="1" applyFont="1" applyNumberFormat="1">
      <alignment horizontal="center" vertical="center"/>
    </xf>
    <xf borderId="13" fillId="2" fontId="21" numFmtId="0" xfId="0" applyAlignment="1" applyBorder="1" applyFill="1" applyFont="1">
      <alignment horizontal="center" readingOrder="0" shrinkToFit="0" vertical="center" wrapText="1"/>
    </xf>
    <xf borderId="42" fillId="0" fontId="20" numFmtId="0" xfId="0" applyAlignment="1" applyBorder="1" applyFont="1">
      <alignment horizontal="center" readingOrder="0" shrinkToFit="0" vertical="center" wrapText="1"/>
    </xf>
    <xf borderId="35" fillId="0" fontId="37" numFmtId="0" xfId="0" applyBorder="1" applyFont="1"/>
    <xf borderId="24" fillId="2" fontId="21" numFmtId="0" xfId="0" applyAlignment="1" applyBorder="1" applyFill="1" applyFont="1">
      <alignment horizontal="left" readingOrder="0" shrinkToFit="0" vertical="center" wrapText="1"/>
    </xf>
    <xf borderId="11" fillId="0" fontId="21" numFmtId="0" xfId="0" applyAlignment="1" applyBorder="1" applyFont="1">
      <alignment horizontal="center" readingOrder="0" shrinkToFit="0" vertical="center" wrapText="1"/>
    </xf>
    <xf borderId="14" fillId="0" fontId="37" numFmtId="169" xfId="0" applyBorder="1" applyFont="1" applyNumberFormat="1"/>
    <xf borderId="14" fillId="0" fontId="38" numFmtId="169" xfId="0" applyBorder="1" applyFont="1" applyNumberFormat="1"/>
    <xf borderId="14" fillId="0" fontId="37" numFmtId="0" xfId="0" applyBorder="1" applyFont="1"/>
    <xf borderId="50" fillId="0" fontId="37" numFmtId="0" xfId="0" applyBorder="1" applyFont="1"/>
    <xf borderId="14" fillId="0" fontId="39" numFmtId="172" xfId="0" applyAlignment="1" applyBorder="1" applyFont="1" applyNumberFormat="1">
      <alignment horizontal="center" readingOrder="0" vertical="center"/>
    </xf>
    <xf borderId="13" fillId="0" fontId="21" numFmtId="0" xfId="0" applyAlignment="1" applyBorder="1" applyFont="1">
      <alignment horizontal="center" readingOrder="0" shrinkToFit="0" vertical="center" wrapText="1"/>
    </xf>
    <xf borderId="18" fillId="0" fontId="30" numFmtId="167" xfId="0" applyAlignment="1" applyBorder="1" applyFont="1" applyNumberFormat="1">
      <alignment horizontal="left" readingOrder="0" shrinkToFit="0" vertical="center" wrapText="1"/>
    </xf>
    <xf borderId="24" fillId="0" fontId="37" numFmtId="0" xfId="0" applyBorder="1" applyFont="1"/>
    <xf borderId="17" fillId="0" fontId="21" numFmtId="167" xfId="0" applyAlignment="1" applyBorder="1" applyFont="1" applyNumberFormat="1">
      <alignment horizontal="left" readingOrder="0" shrinkToFit="0" vertical="center" wrapText="1"/>
    </xf>
    <xf borderId="35" fillId="0" fontId="24" numFmtId="0" xfId="0" applyAlignment="1" applyBorder="1" applyFont="1">
      <alignment horizontal="left" readingOrder="0" shrinkToFit="0" vertical="center" wrapText="1"/>
    </xf>
    <xf borderId="35" fillId="0" fontId="11" numFmtId="169" xfId="0" applyAlignment="1" applyBorder="1" applyFont="1" applyNumberFormat="1">
      <alignment horizontal="left" readingOrder="0" shrinkToFit="0" vertical="center" wrapText="1"/>
    </xf>
    <xf borderId="0" fillId="4" fontId="54" numFmtId="0" xfId="0" applyAlignment="1" applyFill="1" applyFont="1">
      <alignment readingOrder="0" vertical="center"/>
    </xf>
    <xf borderId="35" fillId="0" fontId="18" numFmtId="169" xfId="0" applyAlignment="1" applyBorder="1" applyFont="1" applyNumberFormat="1">
      <alignment horizontal="left" readingOrder="0" shrinkToFit="0" vertical="center" wrapText="1"/>
    </xf>
    <xf borderId="50" fillId="0" fontId="11" numFmtId="165" xfId="0" applyAlignment="1" applyBorder="1" applyFont="1" applyNumberFormat="1">
      <alignment horizontal="left" readingOrder="0" shrinkToFit="0" vertical="center" wrapText="1"/>
    </xf>
    <xf borderId="19" fillId="0" fontId="28" numFmtId="166" xfId="0" applyAlignment="1" applyBorder="1" applyFont="1" applyNumberFormat="1">
      <alignment horizontal="left" readingOrder="0" shrinkToFit="0" vertical="center" wrapText="1"/>
    </xf>
    <xf borderId="34" fillId="0" fontId="11" numFmtId="166" xfId="0" applyAlignment="1" applyBorder="1" applyFont="1" applyNumberFormat="1">
      <alignment horizontal="left" readingOrder="0" shrinkToFit="0" vertical="center" wrapText="1"/>
    </xf>
    <xf borderId="34" fillId="0" fontId="14" numFmtId="169" xfId="0" applyAlignment="1" applyBorder="1" applyFont="1" applyNumberFormat="1">
      <alignment horizontal="center" readingOrder="0" shrinkToFit="0" vertical="center" wrapText="1"/>
    </xf>
    <xf borderId="12" fillId="0" fontId="18" numFmtId="169" xfId="0" applyAlignment="1" applyBorder="1" applyFont="1" applyNumberFormat="1">
      <alignment horizontal="center" readingOrder="0" shrinkToFit="0" vertical="center" wrapText="1"/>
    </xf>
    <xf borderId="25" fillId="2" fontId="20" numFmtId="4" xfId="0" applyAlignment="1" applyBorder="1" applyFill="1" applyFont="1" applyNumberFormat="1">
      <alignment horizontal="center" readingOrder="0" shrinkToFit="0" vertical="center" wrapText="1"/>
    </xf>
    <xf borderId="12" fillId="0" fontId="116" numFmtId="0" xfId="0" applyAlignment="1" applyBorder="1" applyFont="1">
      <alignment horizontal="center" readingOrder="0" shrinkToFit="0" vertical="center" wrapText="1"/>
    </xf>
    <xf borderId="12" fillId="0" fontId="20" numFmtId="164" xfId="0" applyAlignment="1" applyBorder="1" applyFont="1" applyNumberFormat="1">
      <alignment horizontal="left" readingOrder="0" shrinkToFit="0" vertical="center" wrapText="1"/>
    </xf>
    <xf borderId="11" fillId="0" fontId="21" numFmtId="168" xfId="0" applyAlignment="1" applyBorder="1" applyFont="1" applyNumberFormat="1">
      <alignment horizontal="right" readingOrder="0" shrinkToFit="0" vertical="center" wrapText="1"/>
    </xf>
    <xf borderId="15" fillId="0" fontId="11" numFmtId="165" xfId="0" applyAlignment="1" applyBorder="1" applyFont="1" applyNumberFormat="1">
      <alignment horizontal="left" readingOrder="0"/>
    </xf>
    <xf borderId="19" fillId="13" fontId="36" numFmtId="166" xfId="0" applyAlignment="1" applyBorder="1" applyFill="1" applyFont="1" applyNumberFormat="1">
      <alignment readingOrder="0" shrinkToFit="0" wrapText="0"/>
    </xf>
    <xf borderId="20" fillId="0" fontId="5" numFmtId="166" xfId="0" applyBorder="1" applyFont="1" applyNumberFormat="1"/>
    <xf borderId="23" fillId="0" fontId="21" numFmtId="0" xfId="0" applyAlignment="1" applyBorder="1" applyFont="1">
      <alignment horizontal="left" shrinkToFit="0" vertical="center" wrapText="1"/>
    </xf>
    <xf borderId="12" fillId="0" fontId="5" numFmtId="169" xfId="0" applyAlignment="1" applyBorder="1" applyFont="1" applyNumberFormat="1">
      <alignment horizontal="center" vertical="center"/>
    </xf>
    <xf borderId="19" fillId="28" fontId="20" numFmtId="168" xfId="0" applyAlignment="1" applyBorder="1" applyFill="1" applyFont="1" applyNumberFormat="1">
      <alignment horizontal="right" readingOrder="0" shrinkToFit="0" vertical="center" wrapText="1"/>
    </xf>
    <xf borderId="12" fillId="0" fontId="43" numFmtId="169" xfId="0" applyAlignment="1" applyBorder="1" applyFont="1" applyNumberFormat="1">
      <alignment horizontal="center" readingOrder="0"/>
    </xf>
    <xf borderId="0" fillId="5" fontId="54" numFmtId="0" xfId="0" applyAlignment="1" applyFill="1" applyFont="1">
      <alignment readingOrder="0" vertical="center"/>
    </xf>
    <xf borderId="20" fillId="0" fontId="14" numFmtId="0" xfId="0" applyAlignment="1" applyBorder="1" applyFont="1">
      <alignment readingOrder="0"/>
    </xf>
    <xf borderId="29" fillId="2" fontId="20" numFmtId="0" xfId="0" applyAlignment="1" applyBorder="1" applyFill="1" applyFont="1">
      <alignment horizontal="center" readingOrder="0" shrinkToFit="0" vertical="center" wrapText="1"/>
    </xf>
    <xf borderId="40" fillId="0" fontId="20" numFmtId="0" xfId="0" applyAlignment="1" applyBorder="1" applyFont="1">
      <alignment horizontal="center" readingOrder="0" shrinkToFit="0" vertical="center" wrapText="1"/>
    </xf>
    <xf borderId="35" fillId="2" fontId="23" numFmtId="0" xfId="0" applyAlignment="1" applyBorder="1" applyFill="1" applyFont="1">
      <alignment horizontal="center" shrinkToFit="0" vertical="center" wrapText="1"/>
    </xf>
    <xf borderId="24" fillId="0" fontId="5" numFmtId="0" xfId="0" applyAlignment="1" applyBorder="1" applyFont="1">
      <alignment readingOrder="0"/>
    </xf>
    <xf borderId="0" fillId="2" fontId="20" numFmtId="0" xfId="0" applyAlignment="1" applyFill="1" applyFont="1">
      <alignment horizontal="left" readingOrder="0" shrinkToFit="0" vertical="center" wrapText="1"/>
    </xf>
    <xf borderId="12" fillId="0" fontId="30" numFmtId="0" xfId="0" applyAlignment="1" applyBorder="1" applyFont="1">
      <alignment horizontal="left" shrinkToFit="0" vertical="center" wrapText="1"/>
    </xf>
    <xf borderId="12" fillId="0" fontId="26" numFmtId="186" xfId="0" applyAlignment="1" applyBorder="1" applyFont="1" applyNumberFormat="1">
      <alignment horizontal="center" readingOrder="0" shrinkToFit="0" vertical="center" wrapText="1"/>
    </xf>
    <xf borderId="19" fillId="0" fontId="28" numFmtId="166" xfId="0" applyBorder="1" applyFont="1" applyNumberFormat="1"/>
    <xf borderId="20" fillId="0" fontId="11" numFmtId="166" xfId="0" applyAlignment="1" applyBorder="1" applyFont="1" applyNumberFormat="1">
      <alignment horizontal="left" readingOrder="0" shrinkToFit="0" vertical="center" wrapText="1"/>
    </xf>
    <xf borderId="24" fillId="2" fontId="58" numFmtId="0" xfId="0" applyAlignment="1" applyBorder="1" applyFill="1" applyFont="1">
      <alignment horizontal="left" readingOrder="0" shrinkToFit="0" vertical="center" wrapText="1"/>
    </xf>
    <xf borderId="35" fillId="0" fontId="23" numFmtId="0" xfId="0" applyAlignment="1" applyBorder="1" applyFont="1">
      <alignment horizontal="center" shrinkToFit="0" vertical="center" wrapText="1"/>
    </xf>
    <xf borderId="25" fillId="19" fontId="21" numFmtId="0" xfId="0" applyAlignment="1" applyBorder="1" applyFill="1" applyFont="1">
      <alignment horizontal="left" readingOrder="0" shrinkToFit="0" vertical="center" wrapText="1"/>
    </xf>
    <xf borderId="12" fillId="0" fontId="22" numFmtId="0" xfId="0" applyAlignment="1" applyBorder="1" applyFont="1">
      <alignment horizontal="center" shrinkToFit="0" vertical="center" wrapText="1"/>
    </xf>
    <xf borderId="12" fillId="0" fontId="11" numFmtId="169" xfId="0" applyAlignment="1" applyBorder="1" applyFont="1" applyNumberFormat="1">
      <alignment horizontal="left" shrinkToFit="0" vertical="center" wrapText="1"/>
    </xf>
    <xf borderId="12" fillId="7" fontId="23" numFmtId="0" xfId="0" applyAlignment="1" applyBorder="1" applyFill="1" applyFont="1">
      <alignment horizontal="center" readingOrder="0" shrinkToFit="0" vertical="center" wrapText="1"/>
    </xf>
    <xf borderId="38" fillId="2" fontId="21" numFmtId="166" xfId="0" applyAlignment="1" applyBorder="1" applyFill="1" applyFont="1" applyNumberFormat="1">
      <alignment horizontal="right" readingOrder="0" shrinkToFit="0" vertical="center" wrapText="1"/>
    </xf>
    <xf borderId="12" fillId="0" fontId="18" numFmtId="169" xfId="0" applyAlignment="1" applyBorder="1" applyFont="1" applyNumberFormat="1">
      <alignment horizontal="left" shrinkToFit="0" vertical="center" wrapText="1"/>
    </xf>
    <xf borderId="15" fillId="13" fontId="117" numFmtId="165" xfId="0" applyAlignment="1" applyBorder="1" applyFill="1" applyFont="1" applyNumberFormat="1">
      <alignment horizontal="left" readingOrder="0"/>
    </xf>
    <xf borderId="15" fillId="0" fontId="11" numFmtId="165" xfId="0" applyAlignment="1" applyBorder="1" applyFont="1" applyNumberFormat="1">
      <alignment horizontal="left" shrinkToFit="0" vertical="center" wrapText="1"/>
    </xf>
    <xf borderId="19" fillId="0" fontId="37" numFmtId="0" xfId="0" applyBorder="1" applyFont="1"/>
    <xf borderId="20" fillId="0" fontId="37" numFmtId="0" xfId="0" applyAlignment="1" applyBorder="1" applyFont="1">
      <alignment readingOrder="0"/>
    </xf>
    <xf borderId="19" fillId="0" fontId="5" numFmtId="166" xfId="0" applyBorder="1" applyFont="1" applyNumberFormat="1"/>
    <xf borderId="12" fillId="0" fontId="44" numFmtId="169" xfId="0" applyAlignment="1" applyBorder="1" applyFont="1" applyNumberFormat="1">
      <alignment horizontal="center"/>
    </xf>
    <xf borderId="12" fillId="0" fontId="5" numFmtId="166" xfId="0" applyBorder="1" applyFont="1" applyNumberFormat="1"/>
    <xf borderId="16" fillId="0" fontId="26" numFmtId="169" xfId="0" applyAlignment="1" applyBorder="1" applyFont="1" applyNumberFormat="1">
      <alignment horizontal="center" readingOrder="0" shrinkToFit="0" vertical="center" wrapText="1"/>
    </xf>
    <xf borderId="16" fillId="0" fontId="21" numFmtId="0" xfId="0" applyAlignment="1" applyBorder="1" applyFont="1">
      <alignment horizontal="left" readingOrder="0" shrinkToFit="0" vertical="center" wrapText="1"/>
    </xf>
    <xf borderId="16" fillId="0" fontId="23" numFmtId="0" xfId="0" applyAlignment="1" applyBorder="1" applyFont="1">
      <alignment horizontal="center" readingOrder="0" shrinkToFit="0" vertical="center" wrapText="1"/>
    </xf>
    <xf borderId="16" fillId="0" fontId="20" numFmtId="0" xfId="0" applyAlignment="1" applyBorder="1" applyFont="1">
      <alignment horizontal="center" readingOrder="0" shrinkToFit="0" vertical="center" wrapText="1"/>
    </xf>
    <xf borderId="16" fillId="0" fontId="20" numFmtId="0" xfId="0" applyAlignment="1" applyBorder="1" applyFont="1">
      <alignment horizontal="left" readingOrder="0" shrinkToFit="0" vertical="center" wrapText="1"/>
    </xf>
    <xf borderId="17" fillId="0" fontId="20" numFmtId="165" xfId="0" applyAlignment="1" applyBorder="1" applyFont="1" applyNumberFormat="1">
      <alignment horizontal="left" readingOrder="0" shrinkToFit="0" vertical="center" wrapText="1"/>
    </xf>
    <xf borderId="16" fillId="0" fontId="20" numFmtId="169" xfId="0" applyAlignment="1" applyBorder="1" applyFont="1" applyNumberFormat="1">
      <alignment horizontal="center" readingOrder="0" shrinkToFit="0" vertical="center" wrapText="1"/>
    </xf>
    <xf borderId="17" fillId="0" fontId="27" numFmtId="169" xfId="0" applyAlignment="1" applyBorder="1" applyFont="1" applyNumberFormat="1">
      <alignment horizontal="center" readingOrder="0" shrinkToFit="0" vertical="center" wrapText="1"/>
    </xf>
    <xf borderId="17" fillId="0" fontId="20" numFmtId="171" xfId="0" applyAlignment="1" applyBorder="1" applyFont="1" applyNumberFormat="1">
      <alignment horizontal="left" shrinkToFit="0" vertical="center" wrapText="1"/>
    </xf>
    <xf borderId="12" fillId="0" fontId="20" numFmtId="165" xfId="0" applyAlignment="1" applyBorder="1" applyFont="1" applyNumberFormat="1">
      <alignment horizontal="left" readingOrder="0" shrinkToFit="0" vertical="center" wrapText="1"/>
    </xf>
    <xf borderId="9" fillId="3" fontId="118" numFmtId="0" xfId="0" applyAlignment="1" applyBorder="1" applyFill="1" applyFont="1">
      <alignment horizontal="center" readingOrder="0" shrinkToFit="0" vertical="center" wrapText="1"/>
    </xf>
    <xf borderId="9" fillId="3" fontId="119" numFmtId="0" xfId="0" applyAlignment="1" applyBorder="1" applyFill="1" applyFont="1">
      <alignment horizontal="center" readingOrder="0" shrinkToFit="0" vertical="center" wrapText="1"/>
    </xf>
    <xf borderId="1" fillId="3" fontId="119" numFmtId="0" xfId="0" applyAlignment="1" applyBorder="1" applyFill="1" applyFont="1">
      <alignment horizontal="center" readingOrder="0" shrinkToFit="0" vertical="center" wrapText="1"/>
    </xf>
    <xf borderId="12" fillId="7" fontId="20" numFmtId="0" xfId="0" applyAlignment="1" applyBorder="1" applyFill="1" applyFont="1">
      <alignment horizontal="left" readingOrder="0" shrinkToFit="0" vertical="center" wrapText="1"/>
    </xf>
    <xf borderId="17" fillId="0" fontId="20" numFmtId="0" xfId="0" applyAlignment="1" applyBorder="1" applyFont="1">
      <alignment horizontal="left" shrinkToFit="0" vertical="center" wrapText="1"/>
    </xf>
    <xf borderId="19" fillId="0" fontId="20" numFmtId="168" xfId="0" applyAlignment="1" applyBorder="1" applyFont="1" applyNumberFormat="1">
      <alignment horizontal="center" readingOrder="0" shrinkToFit="0" vertical="center" wrapText="1"/>
    </xf>
    <xf borderId="16" fillId="13" fontId="120" numFmtId="166" xfId="0" applyAlignment="1" applyBorder="1" applyFill="1" applyFont="1" applyNumberFormat="1">
      <alignment readingOrder="0" shrinkToFit="0" wrapText="1"/>
    </xf>
    <xf borderId="16" fillId="13" fontId="52" numFmtId="169" xfId="0" applyAlignment="1" applyBorder="1" applyFill="1" applyFont="1" applyNumberFormat="1">
      <alignment horizontal="center" readingOrder="0"/>
    </xf>
    <xf borderId="21" fillId="0" fontId="20" numFmtId="168" xfId="0" applyAlignment="1" applyBorder="1" applyFont="1" applyNumberFormat="1">
      <alignment horizontal="center" readingOrder="0" shrinkToFit="0" vertical="center" wrapText="1"/>
    </xf>
    <xf borderId="16" fillId="13" fontId="121" numFmtId="169" xfId="0" applyAlignment="1" applyBorder="1" applyFill="1" applyFont="1" applyNumberFormat="1">
      <alignment horizontal="center" readingOrder="0"/>
    </xf>
    <xf borderId="16" fillId="13" fontId="122" numFmtId="169" xfId="0" applyAlignment="1" applyBorder="1" applyFill="1" applyFont="1" applyNumberFormat="1">
      <alignment horizontal="center" readingOrder="0"/>
    </xf>
    <xf borderId="17" fillId="9" fontId="20" numFmtId="0" xfId="0" applyAlignment="1" applyBorder="1" applyFill="1" applyFont="1">
      <alignment horizontal="center" readingOrder="0" shrinkToFit="0" vertical="center" wrapText="1"/>
    </xf>
    <xf borderId="11" fillId="0" fontId="20" numFmtId="168" xfId="0" applyAlignment="1" applyBorder="1" applyFont="1" applyNumberFormat="1">
      <alignment horizontal="center" readingOrder="0" shrinkToFit="0" vertical="center" wrapText="1"/>
    </xf>
    <xf borderId="17" fillId="9" fontId="27" numFmtId="0" xfId="0" applyAlignment="1" applyBorder="1" applyFill="1" applyFont="1">
      <alignment horizontal="center" readingOrder="0" shrinkToFit="0" vertical="center" wrapText="1"/>
    </xf>
    <xf borderId="17" fillId="0" fontId="20" numFmtId="170" xfId="0" applyAlignment="1" applyBorder="1" applyFont="1" applyNumberFormat="1">
      <alignment horizontal="center" readingOrder="0" shrinkToFit="0" vertical="center" wrapText="1"/>
    </xf>
    <xf borderId="16" fillId="0" fontId="20" numFmtId="168" xfId="0" applyAlignment="1" applyBorder="1" applyFont="1" applyNumberFormat="1">
      <alignment horizontal="center" readingOrder="0" shrinkToFit="0" vertical="center" wrapText="1"/>
    </xf>
    <xf borderId="17" fillId="0" fontId="20" numFmtId="0" xfId="0" applyAlignment="1" applyBorder="1" applyFont="1">
      <alignment horizontal="left" readingOrder="0" shrinkToFit="0" vertical="center" wrapText="1"/>
    </xf>
    <xf borderId="16" fillId="0" fontId="21" numFmtId="0" xfId="0" applyAlignment="1" applyBorder="1" applyFont="1">
      <alignment readingOrder="0" vertical="center"/>
    </xf>
    <xf borderId="16" fillId="0" fontId="5" numFmtId="0" xfId="0" applyAlignment="1" applyBorder="1" applyFont="1">
      <alignment vertical="center"/>
    </xf>
    <xf borderId="17" fillId="0" fontId="85" numFmtId="165" xfId="0" applyAlignment="1" applyBorder="1" applyFont="1" applyNumberFormat="1">
      <alignment readingOrder="0" vertical="center"/>
    </xf>
    <xf borderId="16" fillId="0" fontId="5" numFmtId="166" xfId="0" applyAlignment="1" applyBorder="1" applyFont="1" applyNumberFormat="1">
      <alignment vertical="center"/>
    </xf>
    <xf borderId="16" fillId="0" fontId="5" numFmtId="169" xfId="0" applyAlignment="1" applyBorder="1" applyFont="1" applyNumberFormat="1">
      <alignment vertical="center"/>
    </xf>
    <xf borderId="16" fillId="0" fontId="29" numFmtId="169" xfId="0" applyAlignment="1" applyBorder="1" applyFont="1" applyNumberFormat="1">
      <alignment readingOrder="0" vertical="center"/>
    </xf>
    <xf borderId="17" fillId="9" fontId="14" numFmtId="0" xfId="0" applyAlignment="1" applyBorder="1" applyFill="1" applyFont="1">
      <alignment readingOrder="0" vertical="center"/>
    </xf>
    <xf borderId="16" fillId="0" fontId="30" numFmtId="0" xfId="0" applyAlignment="1" applyBorder="1" applyFont="1">
      <alignment readingOrder="0" vertical="center"/>
    </xf>
    <xf borderId="27" fillId="2" fontId="20" numFmtId="0" xfId="0" applyAlignment="1" applyBorder="1" applyFill="1" applyFont="1">
      <alignment horizontal="center" readingOrder="0" shrinkToFit="0" vertical="center" wrapText="1"/>
    </xf>
    <xf borderId="16" fillId="0" fontId="5" numFmtId="0" xfId="0" applyAlignment="1" applyBorder="1" applyFont="1">
      <alignment readingOrder="0" vertical="center"/>
    </xf>
    <xf borderId="16" fillId="0" fontId="20" numFmtId="0" xfId="0" applyAlignment="1" applyBorder="1" applyFont="1">
      <alignment horizontal="center" shrinkToFit="0" vertical="center" wrapText="1"/>
    </xf>
    <xf borderId="17" fillId="0" fontId="5" numFmtId="165" xfId="0" applyAlignment="1" applyBorder="1" applyFont="1" applyNumberFormat="1">
      <alignment vertical="center"/>
    </xf>
    <xf borderId="17" fillId="0" fontId="5" numFmtId="169" xfId="0" applyAlignment="1" applyBorder="1" applyFont="1" applyNumberFormat="1">
      <alignment vertical="center"/>
    </xf>
    <xf borderId="13" fillId="0" fontId="20" numFmtId="0" xfId="0" applyAlignment="1" applyBorder="1" applyFont="1">
      <alignment horizontal="center" shrinkToFit="0" vertical="center" wrapText="1"/>
    </xf>
    <xf borderId="14" fillId="0" fontId="20" numFmtId="0" xfId="0" applyAlignment="1" applyBorder="1" applyFont="1">
      <alignment horizontal="center" shrinkToFit="0" vertical="center" wrapText="1"/>
    </xf>
    <xf borderId="14" fillId="0" fontId="20" numFmtId="170" xfId="0" applyAlignment="1" applyBorder="1" applyFont="1" applyNumberFormat="1">
      <alignment horizontal="center" shrinkToFit="0" vertical="center" wrapText="1"/>
    </xf>
    <xf borderId="21" fillId="2" fontId="20" numFmtId="0" xfId="0" applyAlignment="1" applyBorder="1" applyFill="1" applyFont="1">
      <alignment horizontal="center" readingOrder="0" shrinkToFit="0" vertical="center" wrapText="1"/>
    </xf>
    <xf borderId="14" fillId="0" fontId="37" numFmtId="0" xfId="0" applyAlignment="1" applyBorder="1" applyFont="1">
      <alignment horizontal="center" vertical="center"/>
    </xf>
    <xf borderId="12" fillId="0" fontId="123" numFmtId="0" xfId="0" applyAlignment="1" applyBorder="1" applyFont="1">
      <alignment horizontal="center" readingOrder="0"/>
    </xf>
    <xf borderId="12" fillId="0" fontId="123" numFmtId="0" xfId="0" applyAlignment="1" applyBorder="1" applyFont="1">
      <alignment readingOrder="0"/>
    </xf>
    <xf borderId="15" fillId="0" fontId="20" numFmtId="164" xfId="0" applyAlignment="1" applyBorder="1" applyFont="1" applyNumberFormat="1">
      <alignment horizontal="center" readingOrder="0" shrinkToFit="0" vertical="center" wrapText="1"/>
    </xf>
    <xf borderId="29" fillId="13" fontId="117" numFmtId="165" xfId="0" applyAlignment="1" applyBorder="1" applyFill="1" applyFont="1" applyNumberFormat="1">
      <alignment horizontal="left" readingOrder="0"/>
    </xf>
    <xf borderId="19" fillId="0" fontId="28" numFmtId="165" xfId="0" applyAlignment="1" applyBorder="1" applyFont="1" applyNumberFormat="1">
      <alignment horizontal="left" readingOrder="0" shrinkToFit="0" vertical="center" wrapText="1"/>
    </xf>
    <xf borderId="20" fillId="13" fontId="30" numFmtId="166" xfId="0" applyAlignment="1" applyBorder="1" applyFill="1" applyFont="1" applyNumberFormat="1">
      <alignment horizontal="left" readingOrder="0" shrinkToFit="0" vertical="center" wrapText="1"/>
    </xf>
    <xf borderId="12" fillId="13" fontId="19" numFmtId="169" xfId="0" applyAlignment="1" applyBorder="1" applyFill="1" applyFont="1" applyNumberFormat="1">
      <alignment horizontal="center" readingOrder="0"/>
    </xf>
    <xf borderId="12" fillId="13" fontId="18" numFmtId="169" xfId="0" applyAlignment="1" applyBorder="1" applyFill="1" applyFont="1" applyNumberFormat="1">
      <alignment horizontal="center" readingOrder="0"/>
    </xf>
    <xf borderId="20" fillId="13" fontId="18" numFmtId="169" xfId="0" applyAlignment="1" applyBorder="1" applyFill="1" applyFont="1" applyNumberFormat="1">
      <alignment horizontal="center" readingOrder="0"/>
    </xf>
    <xf borderId="19" fillId="2" fontId="20" numFmtId="168" xfId="0" applyAlignment="1" applyBorder="1" applyFill="1" applyFont="1" applyNumberFormat="1">
      <alignment horizontal="center" readingOrder="0" shrinkToFit="0" vertical="center" wrapText="1"/>
    </xf>
    <xf borderId="25" fillId="0" fontId="23" numFmtId="4" xfId="0" applyAlignment="1" applyBorder="1" applyFont="1" applyNumberFormat="1">
      <alignment horizontal="center" readingOrder="0" shrinkToFit="0" vertical="center" wrapText="1"/>
    </xf>
    <xf borderId="21" fillId="2" fontId="20" numFmtId="168" xfId="0" applyAlignment="1" applyBorder="1" applyFill="1" applyFont="1" applyNumberFormat="1">
      <alignment horizontal="center" readingOrder="0" shrinkToFit="0" vertical="center" wrapText="1"/>
    </xf>
    <xf borderId="16" fillId="2" fontId="20" numFmtId="168" xfId="0" applyAlignment="1" applyBorder="1" applyFill="1" applyFont="1" applyNumberFormat="1">
      <alignment horizontal="center" readingOrder="0" shrinkToFit="0" vertical="center" wrapText="1"/>
    </xf>
    <xf borderId="11" fillId="2" fontId="20" numFmtId="168" xfId="0" applyAlignment="1" applyBorder="1" applyFill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wrapText="1"/>
    </xf>
    <xf borderId="0" fillId="0" fontId="124" numFmtId="0" xfId="0" applyFont="1"/>
    <xf borderId="0" fillId="0" fontId="5" numFmtId="0" xfId="0" applyFont="1"/>
    <xf borderId="0" fillId="0" fontId="20" numFmtId="0" xfId="0" applyAlignment="1" applyFont="1">
      <alignment horizontal="center" shrinkToFit="0" wrapText="1"/>
    </xf>
    <xf borderId="0" fillId="0" fontId="5" numFmtId="165" xfId="0" applyFont="1" applyNumberFormat="1"/>
    <xf borderId="0" fillId="0" fontId="5" numFmtId="169" xfId="0" applyFont="1" applyNumberFormat="1"/>
    <xf borderId="0" fillId="0" fontId="20" numFmtId="166" xfId="0" applyAlignment="1" applyFont="1" applyNumberFormat="1">
      <alignment horizontal="right" shrinkToFit="0" wrapText="1"/>
    </xf>
    <xf borderId="0" fillId="0" fontId="20" numFmtId="167" xfId="0" applyAlignment="1" applyFont="1" applyNumberFormat="1">
      <alignment shrinkToFit="0" wrapText="1"/>
    </xf>
    <xf borderId="0" fillId="0" fontId="5" numFmtId="168" xfId="0" applyFont="1" applyNumberFormat="1"/>
    <xf borderId="0" fillId="2" fontId="20" numFmtId="165" xfId="0" applyAlignment="1" applyFill="1" applyFont="1" applyNumberFormat="1">
      <alignment horizontal="left" readingOrder="0" shrinkToFit="0" vertical="center" wrapText="1"/>
    </xf>
    <xf borderId="0" fillId="0" fontId="20" numFmtId="170" xfId="0" applyAlignment="1" applyFont="1" applyNumberFormat="1">
      <alignment horizontal="center" shrinkToFit="0" wrapText="1"/>
    </xf>
    <xf borderId="0" fillId="13" fontId="5" numFmtId="168" xfId="0" applyFill="1" applyFont="1" applyNumberFormat="1"/>
    <xf borderId="0" fillId="13" fontId="20" numFmtId="0" xfId="0" applyAlignment="1" applyFill="1" applyFont="1">
      <alignment horizontal="center" shrinkToFit="0" wrapText="1"/>
    </xf>
    <xf borderId="4" fillId="0" fontId="20" numFmtId="168" xfId="0" applyAlignment="1" applyBorder="1" applyFont="1" applyNumberFormat="1">
      <alignment horizontal="right" readingOrder="0" shrinkToFit="0" vertical="center" wrapText="1"/>
    </xf>
    <xf borderId="12" fillId="4" fontId="20" numFmtId="0" xfId="0" applyAlignment="1" applyBorder="1" applyFill="1" applyFont="1">
      <alignment horizontal="left" readingOrder="0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20" fillId="13" fontId="72" numFmtId="166" xfId="0" applyAlignment="1" applyBorder="1" applyFill="1" applyFont="1" applyNumberFormat="1">
      <alignment readingOrder="0" shrinkToFit="0" wrapText="1"/>
    </xf>
    <xf borderId="12" fillId="9" fontId="21" numFmtId="0" xfId="0" applyAlignment="1" applyBorder="1" applyFill="1" applyFont="1">
      <alignment horizontal="left" readingOrder="0" shrinkToFit="0" vertical="center" wrapText="1"/>
    </xf>
    <xf borderId="20" fillId="13" fontId="125" numFmtId="169" xfId="0" applyAlignment="1" applyBorder="1" applyFill="1" applyFont="1" applyNumberFormat="1">
      <alignment horizontal="center" readingOrder="0"/>
    </xf>
    <xf borderId="12" fillId="8" fontId="21" numFmtId="0" xfId="0" applyAlignment="1" applyBorder="1" applyFill="1" applyFont="1">
      <alignment horizontal="left" readingOrder="0" shrinkToFit="0" vertical="center" wrapText="1"/>
    </xf>
    <xf borderId="12" fillId="0" fontId="70" numFmtId="0" xfId="0" applyAlignment="1" applyBorder="1" applyFont="1">
      <alignment horizontal="center" shrinkToFit="0" vertical="center" wrapText="1"/>
    </xf>
    <xf borderId="19" fillId="0" fontId="28" numFmtId="0" xfId="0" applyBorder="1" applyFont="1"/>
    <xf borderId="21" fillId="22" fontId="5" numFmtId="168" xfId="0" applyAlignment="1" applyBorder="1" applyFill="1" applyFont="1" applyNumberFormat="1">
      <alignment horizontal="center" readingOrder="0" vertical="center"/>
    </xf>
    <xf borderId="19" fillId="0" fontId="5" numFmtId="168" xfId="0" applyAlignment="1" applyBorder="1" applyFont="1" applyNumberFormat="1">
      <alignment horizontal="center" vertical="center"/>
    </xf>
    <xf borderId="14" fillId="0" fontId="5" numFmtId="170" xfId="0" applyAlignment="1" applyBorder="1" applyFont="1" applyNumberFormat="1">
      <alignment horizontal="center" vertical="center"/>
    </xf>
    <xf borderId="12" fillId="8" fontId="20" numFmtId="0" xfId="0" applyAlignment="1" applyBorder="1" applyFill="1" applyFont="1">
      <alignment horizontal="left" readingOrder="0" shrinkToFit="0" vertical="center" wrapText="1"/>
    </xf>
    <xf borderId="12" fillId="9" fontId="20" numFmtId="0" xfId="0" applyAlignment="1" applyBorder="1" applyFill="1" applyFont="1">
      <alignment horizontal="left" readingOrder="0" shrinkToFit="0" vertical="center" wrapText="1"/>
    </xf>
    <xf borderId="15" fillId="0" fontId="5" numFmtId="165" xfId="0" applyAlignment="1" applyBorder="1" applyFont="1" applyNumberFormat="1">
      <alignment horizontal="left"/>
    </xf>
    <xf borderId="0" fillId="0" fontId="28" numFmtId="166" xfId="0" applyFont="1" applyNumberFormat="1"/>
    <xf borderId="12" fillId="0" fontId="39" numFmtId="172" xfId="0" applyAlignment="1" applyBorder="1" applyFont="1" applyNumberFormat="1">
      <alignment horizontal="center" readingOrder="0" vertical="center"/>
    </xf>
    <xf borderId="12" fillId="9" fontId="20" numFmtId="0" xfId="0" applyAlignment="1" applyBorder="1" applyFill="1" applyFont="1">
      <alignment horizontal="left" readingOrder="0" shrinkToFit="0" vertical="center" wrapText="1"/>
    </xf>
    <xf borderId="19" fillId="0" fontId="21" numFmtId="168" xfId="0" applyAlignment="1" applyBorder="1" applyFont="1" applyNumberFormat="1">
      <alignment horizontal="center" readingOrder="0" shrinkToFit="0" vertical="center" wrapText="1"/>
    </xf>
    <xf borderId="16" fillId="0" fontId="21" numFmtId="168" xfId="0" applyAlignment="1" applyBorder="1" applyFont="1" applyNumberFormat="1">
      <alignment horizontal="center" readingOrder="0" shrinkToFit="0" vertical="center" wrapText="1"/>
    </xf>
    <xf borderId="29" fillId="0" fontId="37" numFmtId="0" xfId="0" applyAlignment="1" applyBorder="1" applyFont="1">
      <alignment horizontal="center" vertical="center"/>
    </xf>
    <xf borderId="19" fillId="2" fontId="21" numFmtId="168" xfId="0" applyAlignment="1" applyBorder="1" applyFill="1" applyFont="1" applyNumberFormat="1">
      <alignment horizontal="center" readingOrder="0" shrinkToFit="0" vertical="center" wrapText="1"/>
    </xf>
    <xf borderId="21" fillId="2" fontId="21" numFmtId="168" xfId="0" applyAlignment="1" applyBorder="1" applyFill="1" applyFont="1" applyNumberFormat="1">
      <alignment horizontal="center" readingOrder="0" shrinkToFit="0" vertical="center" wrapText="1"/>
    </xf>
    <xf borderId="12" fillId="0" fontId="11" numFmtId="175" xfId="0" applyAlignment="1" applyBorder="1" applyFont="1" applyNumberFormat="1">
      <alignment horizontal="center" readingOrder="0" shrinkToFit="0" vertical="center" wrapText="1"/>
    </xf>
    <xf borderId="12" fillId="0" fontId="14" numFmtId="166" xfId="0" applyAlignment="1" applyBorder="1" applyFont="1" applyNumberFormat="1">
      <alignment horizontal="left" readingOrder="0" shrinkToFit="0" vertical="center" wrapText="1"/>
    </xf>
    <xf borderId="12" fillId="0" fontId="78" numFmtId="169" xfId="0" applyAlignment="1" applyBorder="1" applyFont="1" applyNumberFormat="1">
      <alignment horizontal="center" readingOrder="0" shrinkToFit="0" vertical="center" wrapText="1"/>
    </xf>
    <xf borderId="0" fillId="0" fontId="65" numFmtId="169" xfId="0" applyFont="1" applyNumberFormat="1"/>
    <xf borderId="0" fillId="0" fontId="5" numFmtId="0" xfId="0" applyAlignment="1" applyFont="1">
      <alignment readingOrder="0"/>
    </xf>
    <xf borderId="15" fillId="0" fontId="5" numFmtId="165" xfId="0" applyAlignment="1" applyBorder="1" applyFont="1" applyNumberFormat="1">
      <alignment horizontal="left" readingOrder="0"/>
    </xf>
    <xf borderId="12" fillId="0" fontId="14" numFmtId="169" xfId="0" applyAlignment="1" applyBorder="1" applyFont="1" applyNumberFormat="1">
      <alignment horizontal="center" readingOrder="0" vertical="center"/>
    </xf>
    <xf borderId="19" fillId="13" fontId="11" numFmtId="168" xfId="0" applyAlignment="1" applyBorder="1" applyFill="1" applyFont="1" applyNumberFormat="1">
      <alignment horizontal="center" readingOrder="0" vertical="center"/>
    </xf>
    <xf borderId="12" fillId="0" fontId="5" numFmtId="170" xfId="0" applyAlignment="1" applyBorder="1" applyFont="1" applyNumberFormat="1">
      <alignment horizontal="center" vertical="center"/>
    </xf>
    <xf borderId="12" fillId="9" fontId="20" numFmtId="0" xfId="0" applyAlignment="1" applyBorder="1" applyFill="1" applyFont="1">
      <alignment horizontal="left" shrinkToFit="0" vertical="center" wrapText="1"/>
    </xf>
    <xf borderId="19" fillId="13" fontId="5" numFmtId="168" xfId="0" applyAlignment="1" applyBorder="1" applyFill="1" applyFont="1" applyNumberFormat="1">
      <alignment horizontal="center" readingOrder="0" vertical="center"/>
    </xf>
    <xf borderId="12" fillId="0" fontId="11" numFmtId="0" xfId="0" applyAlignment="1" applyBorder="1" applyFont="1">
      <alignment horizontal="center" shrinkToFit="0" vertical="center" wrapText="1"/>
    </xf>
    <xf borderId="12" fillId="0" fontId="11" numFmtId="170" xfId="0" applyAlignment="1" applyBorder="1" applyFont="1" applyNumberFormat="1">
      <alignment horizontal="center" shrinkToFit="0" vertical="center" wrapText="1"/>
    </xf>
    <xf borderId="12" fillId="13" fontId="11" numFmtId="0" xfId="0" applyAlignment="1" applyBorder="1" applyFill="1" applyFont="1">
      <alignment horizontal="center" shrinkToFit="0" vertical="center" wrapText="1"/>
    </xf>
    <xf borderId="12" fillId="2" fontId="70" numFmtId="0" xfId="0" applyAlignment="1" applyBorder="1" applyFill="1" applyFont="1">
      <alignment horizontal="center" shrinkToFit="0" vertical="center" wrapText="1"/>
    </xf>
    <xf borderId="12" fillId="4" fontId="73" numFmtId="0" xfId="0" applyAlignment="1" applyBorder="1" applyFill="1" applyFont="1">
      <alignment horizontal="left" readingOrder="0" shrinkToFit="0" vertical="center" wrapText="1"/>
    </xf>
    <xf borderId="15" fillId="0" fontId="30" numFmtId="165" xfId="0" applyAlignment="1" applyBorder="1" applyFont="1" applyNumberFormat="1">
      <alignment horizontal="left" shrinkToFit="0" vertical="center" wrapText="1"/>
    </xf>
    <xf borderId="12" fillId="0" fontId="11" numFmtId="166" xfId="0" applyAlignment="1" applyBorder="1" applyFont="1" applyNumberFormat="1">
      <alignment horizontal="left" readingOrder="0" shrinkToFit="0" vertical="center" wrapText="1"/>
    </xf>
    <xf borderId="16" fillId="0" fontId="29" numFmtId="169" xfId="0" applyAlignment="1" applyBorder="1" applyFont="1" applyNumberFormat="1">
      <alignment horizontal="center" readingOrder="0" shrinkToFit="0" vertical="center" wrapText="1"/>
    </xf>
    <xf borderId="25" fillId="0" fontId="73" numFmtId="0" xfId="0" applyAlignment="1" applyBorder="1" applyFont="1">
      <alignment horizontal="left" readingOrder="0" shrinkToFit="0" vertical="center" wrapText="1"/>
    </xf>
    <xf borderId="16" fillId="0" fontId="45" numFmtId="0" xfId="0" applyAlignment="1" applyBorder="1" applyFont="1">
      <alignment horizontal="left" readingOrder="0" shrinkToFit="0" vertical="center" wrapText="1"/>
    </xf>
    <xf borderId="16" fillId="0" fontId="46" numFmtId="0" xfId="0" applyAlignment="1" applyBorder="1" applyFont="1">
      <alignment horizontal="center" readingOrder="0" shrinkToFit="0" vertical="center" wrapText="1"/>
    </xf>
    <xf borderId="16" fillId="0" fontId="11" numFmtId="0" xfId="0" applyAlignment="1" applyBorder="1" applyFont="1">
      <alignment horizontal="center" readingOrder="0" shrinkToFit="0" vertical="center" wrapText="1"/>
    </xf>
    <xf borderId="16" fillId="0" fontId="11" numFmtId="169" xfId="0" applyAlignment="1" applyBorder="1" applyFont="1" applyNumberFormat="1">
      <alignment horizontal="left" readingOrder="0" shrinkToFit="0" vertical="center" wrapText="1"/>
    </xf>
    <xf borderId="16" fillId="0" fontId="18" numFmtId="169" xfId="0" applyAlignment="1" applyBorder="1" applyFont="1" applyNumberFormat="1">
      <alignment horizontal="left" readingOrder="0" shrinkToFit="0" vertical="center" wrapText="1"/>
    </xf>
    <xf quotePrefix="1" borderId="16" fillId="0" fontId="11" numFmtId="0" xfId="0" applyAlignment="1" applyBorder="1" applyFont="1">
      <alignment horizontal="left" readingOrder="0" shrinkToFit="0" vertical="center" wrapText="1"/>
    </xf>
    <xf borderId="17" fillId="0" fontId="11" numFmtId="165" xfId="0" applyAlignment="1" applyBorder="1" applyFont="1" applyNumberFormat="1">
      <alignment horizontal="left" readingOrder="0" shrinkToFit="0" vertical="center" wrapText="1"/>
    </xf>
    <xf borderId="16" fillId="0" fontId="11" numFmtId="166" xfId="0" applyAlignment="1" applyBorder="1" applyFont="1" applyNumberFormat="1">
      <alignment horizontal="left" readingOrder="0" shrinkToFit="0" vertical="center" wrapText="1"/>
    </xf>
    <xf borderId="16" fillId="0" fontId="14" numFmtId="169" xfId="0" applyAlignment="1" applyBorder="1" applyFont="1" applyNumberFormat="1">
      <alignment horizontal="center" readingOrder="0" shrinkToFit="0" vertical="center" wrapText="1"/>
    </xf>
    <xf borderId="16" fillId="0" fontId="19" numFmtId="164" xfId="0" applyAlignment="1" applyBorder="1" applyFont="1" applyNumberFormat="1">
      <alignment horizontal="center" readingOrder="0" shrinkToFit="0" vertical="center" wrapText="1"/>
    </xf>
    <xf borderId="17" fillId="0" fontId="11" numFmtId="164" xfId="0" applyAlignment="1" applyBorder="1" applyFont="1" applyNumberFormat="1">
      <alignment horizontal="center" readingOrder="0" shrinkToFit="0" vertical="center" wrapText="1"/>
    </xf>
    <xf borderId="12" fillId="0" fontId="77" numFmtId="169" xfId="0" applyAlignment="1" applyBorder="1" applyFont="1" applyNumberFormat="1">
      <alignment horizontal="center" readingOrder="0" shrinkToFit="0" vertical="center" wrapText="1"/>
    </xf>
    <xf borderId="25" fillId="0" fontId="20" numFmtId="0" xfId="0" applyAlignment="1" applyBorder="1" applyFont="1">
      <alignment horizontal="left" readingOrder="0" shrinkToFit="0" vertical="center" wrapText="1"/>
    </xf>
    <xf borderId="19" fillId="0" fontId="47" numFmtId="166" xfId="0" applyAlignment="1" applyBorder="1" applyFont="1" applyNumberFormat="1">
      <alignment horizontal="left" readingOrder="0" shrinkToFit="0" wrapText="1"/>
    </xf>
    <xf borderId="12" fillId="13" fontId="11" numFmtId="0" xfId="0" applyAlignment="1" applyBorder="1" applyFill="1" applyFont="1">
      <alignment horizontal="center" readingOrder="0" shrinkToFit="0" vertical="center" wrapText="1"/>
    </xf>
    <xf borderId="12" fillId="6" fontId="22" numFmtId="0" xfId="0" applyAlignment="1" applyBorder="1" applyFill="1" applyFont="1">
      <alignment horizontal="center" readingOrder="0" shrinkToFit="0" vertical="center" wrapText="1"/>
    </xf>
    <xf borderId="16" fillId="0" fontId="19" numFmtId="169" xfId="0" applyAlignment="1" applyBorder="1" applyFont="1" applyNumberFormat="1">
      <alignment horizontal="center" readingOrder="0" shrinkToFit="0" vertical="center" wrapText="1"/>
    </xf>
    <xf borderId="12" fillId="2" fontId="21" numFmtId="168" xfId="0" applyAlignment="1" applyBorder="1" applyFill="1" applyFont="1" applyNumberFormat="1">
      <alignment horizontal="center" readingOrder="0" shrinkToFit="0" vertical="center" wrapText="1"/>
    </xf>
    <xf borderId="18" fillId="9" fontId="11" numFmtId="0" xfId="0" applyAlignment="1" applyBorder="1" applyFill="1" applyFont="1">
      <alignment horizontal="center" readingOrder="0" shrinkToFit="0" vertical="center" wrapText="1"/>
    </xf>
    <xf borderId="13" fillId="0" fontId="11" numFmtId="0" xfId="0" applyAlignment="1" applyBorder="1" applyFont="1">
      <alignment horizontal="left" shrinkToFit="0" vertical="center" wrapText="1"/>
    </xf>
    <xf borderId="16" fillId="0" fontId="115" numFmtId="0" xfId="0" applyAlignment="1" applyBorder="1" applyFont="1">
      <alignment horizontal="left" readingOrder="0" shrinkToFit="0" vertical="center" wrapText="1"/>
    </xf>
    <xf borderId="12" fillId="0" fontId="20" numFmtId="168" xfId="0" applyAlignment="1" applyBorder="1" applyFont="1" applyNumberFormat="1">
      <alignment horizontal="center" readingOrder="0" shrinkToFit="0" vertical="center" wrapText="1"/>
    </xf>
    <xf borderId="16" fillId="2" fontId="46" numFmtId="0" xfId="0" applyAlignment="1" applyBorder="1" applyFill="1" applyFont="1">
      <alignment horizontal="center" shrinkToFit="0" vertical="center" wrapText="1"/>
    </xf>
    <xf borderId="16" fillId="2" fontId="30" numFmtId="0" xfId="0" applyAlignment="1" applyBorder="1" applyFill="1" applyFont="1">
      <alignment horizontal="center" readingOrder="0" shrinkToFit="0" vertical="center" wrapText="1"/>
    </xf>
    <xf borderId="16" fillId="2" fontId="30" numFmtId="169" xfId="0" applyAlignment="1" applyBorder="1" applyFill="1" applyFont="1" applyNumberFormat="1">
      <alignment horizontal="left" shrinkToFit="0" vertical="center" wrapText="1"/>
    </xf>
    <xf borderId="16" fillId="2" fontId="18" numFmtId="169" xfId="0" applyAlignment="1" applyBorder="1" applyFill="1" applyFont="1" applyNumberFormat="1">
      <alignment horizontal="left" shrinkToFit="0" vertical="center" wrapText="1"/>
    </xf>
    <xf borderId="16" fillId="2" fontId="30" numFmtId="0" xfId="0" applyAlignment="1" applyBorder="1" applyFill="1" applyFont="1">
      <alignment horizontal="left" shrinkToFit="0" vertical="center" wrapText="1"/>
    </xf>
    <xf borderId="17" fillId="2" fontId="30" numFmtId="165" xfId="0" applyAlignment="1" applyBorder="1" applyFill="1" applyFont="1" applyNumberFormat="1">
      <alignment horizontal="left" readingOrder="0" shrinkToFit="0" vertical="center" wrapText="1"/>
    </xf>
    <xf borderId="16" fillId="5" fontId="82" numFmtId="169" xfId="0" applyAlignment="1" applyBorder="1" applyFill="1" applyFont="1" applyNumberFormat="1">
      <alignment horizontal="center" readingOrder="0" shrinkToFit="0" vertical="center" wrapText="1"/>
    </xf>
    <xf borderId="18" fillId="0" fontId="18" numFmtId="169" xfId="0" applyAlignment="1" applyBorder="1" applyFont="1" applyNumberFormat="1">
      <alignment horizontal="center" readingOrder="0" shrinkToFit="0" vertical="center" wrapText="1"/>
    </xf>
    <xf borderId="16" fillId="2" fontId="30" numFmtId="168" xfId="0" applyAlignment="1" applyBorder="1" applyFill="1" applyFont="1" applyNumberFormat="1">
      <alignment horizontal="center" readingOrder="0" shrinkToFit="0" vertical="center" wrapText="1"/>
    </xf>
    <xf borderId="17" fillId="2" fontId="30" numFmtId="0" xfId="0" applyAlignment="1" applyBorder="1" applyFill="1" applyFont="1">
      <alignment horizontal="left" shrinkToFit="0" vertical="center" wrapText="1"/>
    </xf>
    <xf borderId="16" fillId="0" fontId="11" numFmtId="0" xfId="0" applyAlignment="1" applyBorder="1" applyFont="1">
      <alignment readingOrder="0"/>
    </xf>
    <xf borderId="16" fillId="0" fontId="5" numFmtId="0" xfId="0" applyBorder="1" applyFont="1"/>
    <xf borderId="16" fillId="0" fontId="5" numFmtId="169" xfId="0" applyAlignment="1" applyBorder="1" applyFont="1" applyNumberFormat="1">
      <alignment readingOrder="0"/>
    </xf>
    <xf borderId="16" fillId="0" fontId="65" numFmtId="169" xfId="0" applyAlignment="1" applyBorder="1" applyFont="1" applyNumberFormat="1">
      <alignment readingOrder="0"/>
    </xf>
    <xf quotePrefix="1" borderId="17" fillId="0" fontId="5" numFmtId="0" xfId="0" applyAlignment="1" applyBorder="1" applyFont="1">
      <alignment readingOrder="0"/>
    </xf>
    <xf borderId="16" fillId="0" fontId="28" numFmtId="0" xfId="0" applyAlignment="1" applyBorder="1" applyFont="1">
      <alignment readingOrder="0"/>
    </xf>
    <xf borderId="16" fillId="0" fontId="14" numFmtId="169" xfId="0" applyAlignment="1" applyBorder="1" applyFont="1" applyNumberFormat="1">
      <alignment horizontal="center" readingOrder="0" vertical="center"/>
    </xf>
    <xf borderId="16" fillId="0" fontId="63" numFmtId="169" xfId="0" applyBorder="1" applyFont="1" applyNumberFormat="1"/>
    <xf borderId="16" fillId="0" fontId="71" numFmtId="169" xfId="0" applyAlignment="1" applyBorder="1" applyFont="1" applyNumberFormat="1">
      <alignment horizontal="center" readingOrder="0" vertical="center"/>
    </xf>
    <xf borderId="18" fillId="0" fontId="5" numFmtId="0" xfId="0" applyAlignment="1" applyBorder="1" applyFont="1">
      <alignment readingOrder="0"/>
    </xf>
    <xf borderId="19" fillId="0" fontId="14" numFmtId="168" xfId="0" applyAlignment="1" applyBorder="1" applyFont="1" applyNumberFormat="1">
      <alignment horizontal="center" readingOrder="0" vertical="center"/>
    </xf>
    <xf borderId="16" fillId="13" fontId="5" numFmtId="168" xfId="0" applyAlignment="1" applyBorder="1" applyFill="1" applyFont="1" applyNumberFormat="1">
      <alignment horizontal="center" readingOrder="0" vertical="center"/>
    </xf>
    <xf borderId="17" fillId="13" fontId="11" numFmtId="0" xfId="0" applyAlignment="1" applyBorder="1" applyFill="1" applyFont="1">
      <alignment horizontal="center" readingOrder="0" shrinkToFit="0" vertical="center" wrapText="1"/>
    </xf>
    <xf borderId="16" fillId="0" fontId="5" numFmtId="168" xfId="0" applyAlignment="1" applyBorder="1" applyFont="1" applyNumberFormat="1">
      <alignment horizontal="center" vertical="center"/>
    </xf>
    <xf borderId="16" fillId="0" fontId="24" numFmtId="0" xfId="0" applyAlignment="1" applyBorder="1" applyFont="1">
      <alignment horizontal="left" readingOrder="0" shrinkToFit="0" vertical="center" wrapText="1"/>
    </xf>
    <xf borderId="16" fillId="10" fontId="22" numFmtId="0" xfId="0" applyAlignment="1" applyBorder="1" applyFill="1" applyFont="1">
      <alignment horizontal="center" readingOrder="0" shrinkToFit="0" vertical="center" wrapText="1"/>
    </xf>
    <xf borderId="16" fillId="0" fontId="126" numFmtId="0" xfId="0" applyAlignment="1" applyBorder="1" applyFont="1">
      <alignment horizontal="center" readingOrder="0" shrinkToFit="0" vertical="center" wrapText="1"/>
    </xf>
    <xf borderId="25" fillId="7" fontId="20" numFmtId="0" xfId="0" applyAlignment="1" applyBorder="1" applyFill="1" applyFont="1">
      <alignment horizontal="left" readingOrder="0" shrinkToFit="0" vertical="center" wrapText="1"/>
    </xf>
    <xf borderId="16" fillId="0" fontId="45" numFmtId="0" xfId="0" applyAlignment="1" applyBorder="1" applyFont="1">
      <alignment horizontal="left" readingOrder="0" shrinkToFit="0" vertical="center" wrapText="1"/>
    </xf>
    <xf borderId="16" fillId="0" fontId="11" numFmtId="169" xfId="0" applyAlignment="1" applyBorder="1" applyFont="1" applyNumberFormat="1">
      <alignment horizontal="left" readingOrder="0" shrinkToFit="0" vertical="center" wrapText="1"/>
    </xf>
    <xf borderId="12" fillId="2" fontId="20" numFmtId="168" xfId="0" applyAlignment="1" applyBorder="1" applyFill="1" applyFont="1" applyNumberFormat="1">
      <alignment horizontal="center" readingOrder="0" shrinkToFit="0" vertical="center" wrapText="1"/>
    </xf>
    <xf borderId="16" fillId="0" fontId="18" numFmtId="169" xfId="0" applyAlignment="1" applyBorder="1" applyFont="1" applyNumberFormat="1">
      <alignment horizontal="left" readingOrder="0" shrinkToFit="0" vertical="center" wrapText="1"/>
    </xf>
    <xf borderId="16" fillId="0" fontId="11" numFmtId="0" xfId="0" applyAlignment="1" applyBorder="1" applyFont="1">
      <alignment horizontal="left" readingOrder="0" shrinkToFit="0" vertical="center" wrapText="1"/>
    </xf>
    <xf borderId="16" fillId="0" fontId="86" numFmtId="169" xfId="0" applyAlignment="1" applyBorder="1" applyFont="1" applyNumberFormat="1">
      <alignment horizontal="center" readingOrder="0" shrinkToFit="0" vertical="center" wrapText="1"/>
    </xf>
    <xf borderId="17" fillId="2" fontId="11" numFmtId="168" xfId="0" applyAlignment="1" applyBorder="1" applyFill="1" applyFont="1" applyNumberFormat="1">
      <alignment horizontal="center" readingOrder="0" shrinkToFit="0" vertical="center" wrapText="1"/>
    </xf>
    <xf borderId="16" fillId="0" fontId="11" numFmtId="166" xfId="0" applyAlignment="1" applyBorder="1" applyFont="1" applyNumberFormat="1">
      <alignment horizontal="center" readingOrder="0" shrinkToFit="0" vertical="center" wrapText="1"/>
    </xf>
    <xf borderId="17" fillId="0" fontId="18" numFmtId="169" xfId="0" applyAlignment="1" applyBorder="1" applyFont="1" applyNumberFormat="1">
      <alignment horizontal="center" readingOrder="0" shrinkToFit="0" vertical="center" wrapText="1"/>
    </xf>
    <xf borderId="19" fillId="0" fontId="11" numFmtId="187" xfId="0" applyAlignment="1" applyBorder="1" applyFont="1" applyNumberFormat="1">
      <alignment horizontal="center" readingOrder="0" shrinkToFit="0" vertical="center" wrapText="1"/>
    </xf>
    <xf quotePrefix="1" borderId="17" fillId="0" fontId="11" numFmtId="0" xfId="0" applyAlignment="1" applyBorder="1" applyFont="1">
      <alignment horizontal="left" readingOrder="0" shrinkToFit="0" vertical="center" wrapText="1"/>
    </xf>
    <xf borderId="16" fillId="0" fontId="38" numFmtId="169" xfId="0" applyBorder="1" applyFont="1" applyNumberFormat="1"/>
    <xf borderId="17" fillId="0" fontId="37" numFmtId="0" xfId="0" applyBorder="1" applyFont="1"/>
    <xf borderId="16" fillId="0" fontId="37" numFmtId="0" xfId="0" applyAlignment="1" applyBorder="1" applyFont="1">
      <alignment readingOrder="0"/>
    </xf>
    <xf borderId="16" fillId="0" fontId="39" numFmtId="172" xfId="0" applyAlignment="1" applyBorder="1" applyFont="1" applyNumberFormat="1">
      <alignment horizontal="center" readingOrder="0" vertical="center"/>
    </xf>
    <xf borderId="16" fillId="0" fontId="40" numFmtId="0" xfId="0" applyBorder="1" applyFont="1"/>
    <xf borderId="16" fillId="0" fontId="41" numFmtId="172" xfId="0" applyAlignment="1" applyBorder="1" applyFont="1" applyNumberFormat="1">
      <alignment horizontal="center" readingOrder="0" vertical="center"/>
    </xf>
    <xf borderId="16" fillId="0" fontId="37" numFmtId="0" xfId="0" applyAlignment="1" applyBorder="1" applyFont="1">
      <alignment horizontal="center" vertical="center"/>
    </xf>
    <xf borderId="17" fillId="0" fontId="37" numFmtId="0" xfId="0" applyAlignment="1" applyBorder="1" applyFont="1">
      <alignment horizontal="center" vertical="center"/>
    </xf>
    <xf borderId="16" fillId="8" fontId="11" numFmtId="0" xfId="0" applyAlignment="1" applyBorder="1" applyFill="1" applyFont="1">
      <alignment horizontal="left" readingOrder="0" shrinkToFit="0" vertical="center" wrapText="1"/>
    </xf>
    <xf borderId="22" fillId="0" fontId="127" numFmtId="0" xfId="0" applyAlignment="1" applyBorder="1" applyFont="1">
      <alignment horizontal="center" readingOrder="0" shrinkToFit="0" vertical="center" wrapText="1"/>
    </xf>
    <xf borderId="16" fillId="0" fontId="8" numFmtId="0" xfId="0" applyBorder="1" applyFont="1"/>
    <xf borderId="16" fillId="0" fontId="128" numFmtId="188" xfId="0" applyAlignment="1" applyBorder="1" applyFont="1" applyNumberFormat="1">
      <alignment horizontal="center" readingOrder="0" vertical="center"/>
    </xf>
    <xf borderId="25" fillId="0" fontId="129" numFmtId="0" xfId="0" applyAlignment="1" applyBorder="1" applyFont="1">
      <alignment horizontal="center" readingOrder="0" shrinkToFit="0" vertical="center" wrapText="1"/>
    </xf>
    <xf borderId="16" fillId="0" fontId="123" numFmtId="0" xfId="0" applyAlignment="1" applyBorder="1" applyFont="1">
      <alignment readingOrder="0"/>
    </xf>
    <xf borderId="28" fillId="0" fontId="127" numFmtId="0" xfId="0" applyAlignment="1" applyBorder="1" applyFont="1">
      <alignment horizontal="center" readingOrder="0" shrinkToFit="0" vertical="center" wrapText="1"/>
    </xf>
    <xf borderId="16" fillId="0" fontId="28" numFmtId="0" xfId="0" applyAlignment="1" applyBorder="1" applyFont="1">
      <alignment horizontal="left" readingOrder="0" shrinkToFit="0" vertical="center" wrapText="1"/>
    </xf>
    <xf borderId="39" fillId="0" fontId="8" numFmtId="0" xfId="0" applyBorder="1" applyFont="1"/>
    <xf borderId="14" fillId="0" fontId="129" numFmtId="168" xfId="0" applyAlignment="1" applyBorder="1" applyFont="1" applyNumberFormat="1">
      <alignment horizontal="center" readingOrder="0" shrinkToFit="0" vertical="center" wrapText="1"/>
    </xf>
    <xf borderId="14" fillId="0" fontId="8" numFmtId="0" xfId="0" applyBorder="1" applyFont="1"/>
    <xf borderId="13" fillId="0" fontId="8" numFmtId="0" xfId="0" applyBorder="1" applyFont="1"/>
    <xf borderId="12" fillId="0" fontId="129" numFmtId="168" xfId="0" applyAlignment="1" applyBorder="1" applyFont="1" applyNumberFormat="1">
      <alignment horizontal="right" readingOrder="0" shrinkToFit="0" vertical="center" wrapText="1"/>
    </xf>
    <xf borderId="28" fillId="0" fontId="129" numFmtId="170" xfId="0" applyAlignment="1" applyBorder="1" applyFont="1" applyNumberFormat="1">
      <alignment horizontal="center" readingOrder="0" shrinkToFit="0" vertical="center" wrapText="1"/>
    </xf>
    <xf borderId="12" fillId="2" fontId="129" numFmtId="168" xfId="0" applyAlignment="1" applyBorder="1" applyFill="1" applyFont="1" applyNumberFormat="1">
      <alignment horizontal="right" readingOrder="0" shrinkToFit="0" vertical="center" wrapText="1"/>
    </xf>
    <xf borderId="13" fillId="2" fontId="129" numFmtId="0" xfId="0" applyAlignment="1" applyBorder="1" applyFill="1" applyFont="1">
      <alignment horizontal="center" readingOrder="0" shrinkToFit="0" vertical="center" wrapText="1"/>
    </xf>
    <xf borderId="21" fillId="2" fontId="129" numFmtId="168" xfId="0" applyAlignment="1" applyBorder="1" applyFill="1" applyFont="1" applyNumberFormat="1">
      <alignment horizontal="right" readingOrder="0" shrinkToFit="0" vertical="center" wrapText="1"/>
    </xf>
    <xf borderId="13" fillId="0" fontId="129" numFmtId="0" xfId="0" applyAlignment="1" applyBorder="1" applyFont="1">
      <alignment horizontal="center" readingOrder="0" shrinkToFit="0" vertical="center" wrapText="1"/>
    </xf>
    <xf borderId="27" fillId="0" fontId="129" numFmtId="0" xfId="0" applyAlignment="1" applyBorder="1" applyFont="1">
      <alignment horizontal="center" readingOrder="0" shrinkToFit="0" vertical="center" wrapText="1"/>
    </xf>
    <xf borderId="37" fillId="2" fontId="129" numFmtId="168" xfId="0" applyAlignment="1" applyBorder="1" applyFill="1" applyFont="1" applyNumberFormat="1">
      <alignment horizontal="right" readingOrder="0" shrinkToFit="0" vertical="center" wrapText="1"/>
    </xf>
    <xf borderId="33" fillId="0" fontId="129" numFmtId="0" xfId="0" applyAlignment="1" applyBorder="1" applyFont="1">
      <alignment horizontal="left" readingOrder="0" shrinkToFit="0" vertical="center" wrapText="1"/>
    </xf>
    <xf borderId="0" fillId="0" fontId="129" numFmtId="171" xfId="0" applyAlignment="1" applyFont="1" applyNumberFormat="1">
      <alignment horizontal="left" shrinkToFit="0" vertical="center" wrapText="1"/>
    </xf>
    <xf borderId="17" fillId="0" fontId="11" numFmtId="0" xfId="0" applyAlignment="1" applyBorder="1" applyFont="1">
      <alignment horizontal="left" shrinkToFit="0" vertical="center" wrapText="1"/>
    </xf>
    <xf borderId="12" fillId="18" fontId="21" numFmtId="0" xfId="0" applyAlignment="1" applyBorder="1" applyFill="1" applyFont="1">
      <alignment horizontal="left" readingOrder="0" shrinkToFit="0" vertical="center" wrapText="1"/>
    </xf>
    <xf borderId="0" fillId="0" fontId="20" numFmtId="168" xfId="0" applyAlignment="1" applyFont="1" applyNumberFormat="1">
      <alignment horizontal="right" readingOrder="0" shrinkToFit="0" vertical="center" wrapText="1"/>
    </xf>
    <xf borderId="0" fillId="0" fontId="20" numFmtId="170" xfId="0" applyAlignment="1" applyFont="1" applyNumberFormat="1">
      <alignment horizontal="center" readingOrder="0" shrinkToFit="0" vertical="center" wrapText="1"/>
    </xf>
    <xf borderId="16" fillId="0" fontId="37" numFmtId="169" xfId="0" applyBorder="1" applyFont="1" applyNumberFormat="1"/>
    <xf borderId="0" fillId="2" fontId="20" numFmtId="0" xfId="0" applyAlignment="1" applyFill="1" applyFont="1">
      <alignment horizontal="center" readingOrder="0" shrinkToFit="0" vertical="center" wrapText="1"/>
    </xf>
    <xf borderId="0" fillId="0" fontId="20" numFmtId="168" xfId="0" applyAlignment="1" applyFont="1" applyNumberFormat="1">
      <alignment horizontal="center" readingOrder="0" shrinkToFit="0" vertical="center" wrapText="1"/>
    </xf>
    <xf borderId="17" fillId="0" fontId="5" numFmtId="165" xfId="0" applyAlignment="1" applyBorder="1" applyFont="1" applyNumberFormat="1">
      <alignment horizontal="left"/>
    </xf>
    <xf borderId="12" fillId="9" fontId="18" numFmtId="0" xfId="0" applyAlignment="1" applyBorder="1" applyFill="1" applyFont="1">
      <alignment horizontal="center" readingOrder="0" shrinkToFit="0" vertical="center" wrapText="1"/>
    </xf>
    <xf borderId="17" fillId="0" fontId="11" numFmtId="165" xfId="0" applyAlignment="1" applyBorder="1" applyFont="1" applyNumberFormat="1">
      <alignment horizontal="left" shrinkToFit="0" vertical="center" wrapText="1"/>
    </xf>
    <xf borderId="12" fillId="29" fontId="19" numFmtId="169" xfId="0" applyAlignment="1" applyBorder="1" applyFill="1" applyFont="1" applyNumberFormat="1">
      <alignment horizontal="center" readingOrder="0" shrinkToFit="0" vertical="center" wrapText="1"/>
    </xf>
    <xf borderId="12" fillId="29" fontId="107" numFmtId="169" xfId="0" applyAlignment="1" applyBorder="1" applyFill="1" applyFont="1" applyNumberFormat="1">
      <alignment horizontal="center" readingOrder="0" shrinkToFit="0" vertical="center" wrapText="1"/>
    </xf>
    <xf borderId="12" fillId="9" fontId="11" numFmtId="0" xfId="0" applyAlignment="1" applyBorder="1" applyFill="1" applyFont="1">
      <alignment horizontal="center" readingOrder="0" shrinkToFit="0" vertical="center" wrapText="1"/>
    </xf>
    <xf borderId="16" fillId="12" fontId="47" numFmtId="166" xfId="0" applyAlignment="1" applyBorder="1" applyFill="1" applyFont="1" applyNumberFormat="1">
      <alignment readingOrder="0" shrinkToFit="0" wrapText="1"/>
    </xf>
    <xf borderId="17" fillId="0" fontId="5" numFmtId="165" xfId="0" applyAlignment="1" applyBorder="1" applyFont="1" applyNumberFormat="1">
      <alignment horizontal="left" vertical="center"/>
    </xf>
    <xf borderId="12" fillId="0" fontId="44" numFmtId="169" xfId="0" applyAlignment="1" applyBorder="1" applyFont="1" applyNumberFormat="1">
      <alignment horizontal="center" readingOrder="0"/>
    </xf>
    <xf quotePrefix="1" borderId="12" fillId="0" fontId="5" numFmtId="0" xfId="0" applyAlignment="1" applyBorder="1" applyFont="1">
      <alignment readingOrder="0"/>
    </xf>
    <xf borderId="12" fillId="0" fontId="28" numFmtId="0" xfId="0" applyBorder="1" applyFont="1"/>
    <xf borderId="25" fillId="9" fontId="20" numFmtId="0" xfId="0" applyAlignment="1" applyBorder="1" applyFill="1" applyFont="1">
      <alignment horizontal="left" readingOrder="0" shrinkToFit="0" vertical="center" wrapText="1"/>
    </xf>
    <xf borderId="14" fillId="13" fontId="11" numFmtId="0" xfId="0" applyAlignment="1" applyBorder="1" applyFill="1" applyFont="1">
      <alignment horizontal="center" shrinkToFit="0" vertical="center" wrapText="1"/>
    </xf>
    <xf borderId="12" fillId="0" fontId="11" numFmtId="165" xfId="0" applyAlignment="1" applyBorder="1" applyFont="1" applyNumberFormat="1">
      <alignment horizontal="left" readingOrder="0" shrinkToFit="0" vertical="center" wrapText="1"/>
    </xf>
    <xf borderId="25" fillId="9" fontId="20" numFmtId="0" xfId="0" applyAlignment="1" applyBorder="1" applyFill="1" applyFont="1">
      <alignment horizontal="left" readingOrder="0" shrinkToFit="0" vertical="center" wrapText="1"/>
    </xf>
    <xf borderId="12" fillId="0" fontId="28" numFmtId="0" xfId="0" applyAlignment="1" applyBorder="1" applyFont="1">
      <alignment horizontal="left" readingOrder="0" shrinkToFit="0" vertical="center" wrapText="1"/>
    </xf>
    <xf borderId="12" fillId="0" fontId="11" numFmtId="166" xfId="0" applyAlignment="1" applyBorder="1" applyFont="1" applyNumberFormat="1">
      <alignment horizontal="center" readingOrder="0" shrinkToFit="0" vertical="center" wrapText="1"/>
    </xf>
    <xf borderId="25" fillId="8" fontId="20" numFmtId="0" xfId="0" applyAlignment="1" applyBorder="1" applyFill="1" applyFont="1">
      <alignment horizontal="left" readingOrder="0" shrinkToFit="0" vertical="center" wrapText="1"/>
    </xf>
    <xf borderId="12" fillId="0" fontId="36" numFmtId="166" xfId="0" applyAlignment="1" applyBorder="1" applyFont="1" applyNumberFormat="1">
      <alignment readingOrder="0" shrinkToFit="0" wrapText="1"/>
    </xf>
    <xf borderId="12" fillId="19" fontId="22" numFmtId="0" xfId="0" applyAlignment="1" applyBorder="1" applyFill="1" applyFont="1">
      <alignment horizontal="center" readingOrder="0" shrinkToFit="0" vertical="center" wrapText="1"/>
    </xf>
    <xf borderId="12" fillId="19" fontId="11" numFmtId="0" xfId="0" applyAlignment="1" applyBorder="1" applyFill="1" applyFont="1">
      <alignment horizontal="center" readingOrder="0" shrinkToFit="0" vertical="center" wrapText="1"/>
    </xf>
    <xf borderId="12" fillId="19" fontId="11" numFmtId="169" xfId="0" applyAlignment="1" applyBorder="1" applyFill="1" applyFont="1" applyNumberFormat="1">
      <alignment horizontal="left" readingOrder="0" shrinkToFit="0" vertical="center" wrapText="1"/>
    </xf>
    <xf borderId="12" fillId="19" fontId="18" numFmtId="169" xfId="0" applyAlignment="1" applyBorder="1" applyFill="1" applyFont="1" applyNumberFormat="1">
      <alignment horizontal="left" readingOrder="0" shrinkToFit="0" vertical="center" wrapText="1"/>
    </xf>
    <xf borderId="12" fillId="19" fontId="11" numFmtId="0" xfId="0" applyAlignment="1" applyBorder="1" applyFill="1" applyFont="1">
      <alignment horizontal="left" readingOrder="0" shrinkToFit="0" vertical="center" wrapText="1"/>
    </xf>
    <xf borderId="12" fillId="19" fontId="11" numFmtId="165" xfId="0" applyAlignment="1" applyBorder="1" applyFill="1" applyFont="1" applyNumberFormat="1">
      <alignment horizontal="left" readingOrder="0" shrinkToFit="0" vertical="center" wrapText="1"/>
    </xf>
    <xf borderId="12" fillId="12" fontId="69" numFmtId="166" xfId="0" applyAlignment="1" applyBorder="1" applyFill="1" applyFont="1" applyNumberFormat="1">
      <alignment readingOrder="0"/>
    </xf>
    <xf borderId="12" fillId="19" fontId="11" numFmtId="166" xfId="0" applyAlignment="1" applyBorder="1" applyFill="1" applyFont="1" applyNumberFormat="1">
      <alignment horizontal="left" readingOrder="0" shrinkToFit="0" vertical="center" wrapText="1"/>
    </xf>
    <xf borderId="12" fillId="19" fontId="14" numFmtId="169" xfId="0" applyAlignment="1" applyBorder="1" applyFill="1" applyFont="1" applyNumberFormat="1">
      <alignment horizontal="center" readingOrder="0" shrinkToFit="0" vertical="center" wrapText="1"/>
    </xf>
    <xf borderId="12" fillId="19" fontId="19" numFmtId="169" xfId="0" applyAlignment="1" applyBorder="1" applyFill="1" applyFont="1" applyNumberFormat="1">
      <alignment horizontal="center" readingOrder="0" shrinkToFit="0" vertical="center" wrapText="1"/>
    </xf>
    <xf borderId="12" fillId="19" fontId="29" numFmtId="169" xfId="0" applyAlignment="1" applyBorder="1" applyFill="1" applyFont="1" applyNumberFormat="1">
      <alignment horizontal="center" readingOrder="0" shrinkToFit="0" vertical="center" wrapText="1"/>
    </xf>
    <xf borderId="12" fillId="19" fontId="18" numFmtId="169" xfId="0" applyAlignment="1" applyBorder="1" applyFill="1" applyFont="1" applyNumberFormat="1">
      <alignment horizontal="center" readingOrder="0" shrinkToFit="0" vertical="center" wrapText="1"/>
    </xf>
    <xf borderId="20" fillId="19" fontId="18" numFmtId="169" xfId="0" applyAlignment="1" applyBorder="1" applyFill="1" applyFont="1" applyNumberFormat="1">
      <alignment horizontal="center" readingOrder="0" shrinkToFit="0" vertical="center" wrapText="1"/>
    </xf>
    <xf borderId="12" fillId="19" fontId="11" numFmtId="168" xfId="0" applyAlignment="1" applyBorder="1" applyFill="1" applyFont="1" applyNumberFormat="1">
      <alignment horizontal="center" readingOrder="0" shrinkToFit="0" vertical="center" wrapText="1"/>
    </xf>
    <xf borderId="28" fillId="19" fontId="11" numFmtId="0" xfId="0" applyAlignment="1" applyBorder="1" applyFill="1" applyFont="1">
      <alignment horizontal="center" readingOrder="0" shrinkToFit="0" vertical="center" wrapText="1"/>
    </xf>
    <xf borderId="14" fillId="19" fontId="11" numFmtId="0" xfId="0" applyAlignment="1" applyBorder="1" applyFill="1" applyFont="1">
      <alignment horizontal="center" readingOrder="0" shrinkToFit="0" vertical="center" wrapText="1"/>
    </xf>
    <xf borderId="12" fillId="19" fontId="11" numFmtId="170" xfId="0" applyAlignment="1" applyBorder="1" applyFill="1" applyFont="1" applyNumberFormat="1">
      <alignment horizontal="center" readingOrder="0" shrinkToFit="0" vertical="center" wrapText="1"/>
    </xf>
    <xf borderId="12" fillId="0" fontId="93" numFmtId="172" xfId="0" applyAlignment="1" applyBorder="1" applyFont="1" applyNumberFormat="1">
      <alignment horizontal="center" readingOrder="0" vertical="center"/>
    </xf>
    <xf borderId="20" fillId="0" fontId="39" numFmtId="0" xfId="0" applyAlignment="1" applyBorder="1" applyFont="1">
      <alignment horizontal="center" readingOrder="0"/>
    </xf>
    <xf borderId="17" fillId="0" fontId="77" numFmtId="167" xfId="0" applyAlignment="1" applyBorder="1" applyFont="1" applyNumberFormat="1">
      <alignment horizontal="left" readingOrder="0" shrinkToFit="0" vertical="center" wrapText="1"/>
    </xf>
    <xf borderId="12" fillId="0" fontId="37" numFmtId="172" xfId="0" applyAlignment="1" applyBorder="1" applyFont="1" applyNumberFormat="1">
      <alignment horizontal="center" readingOrder="0" vertical="center"/>
    </xf>
    <xf borderId="12" fillId="0" fontId="37" numFmtId="165" xfId="0" applyAlignment="1" applyBorder="1" applyFont="1" applyNumberFormat="1">
      <alignment horizontal="left" readingOrder="0"/>
    </xf>
    <xf borderId="12" fillId="0" fontId="5" numFmtId="165" xfId="0" applyAlignment="1" applyBorder="1" applyFont="1" applyNumberFormat="1">
      <alignment horizontal="left" vertical="center"/>
    </xf>
    <xf borderId="12" fillId="21" fontId="11" numFmtId="183" xfId="0" applyAlignment="1" applyBorder="1" applyFill="1" applyFont="1" applyNumberFormat="1">
      <alignment horizontal="center" shrinkToFit="0" wrapText="1"/>
    </xf>
    <xf borderId="12" fillId="0" fontId="14" numFmtId="169" xfId="0" applyAlignment="1" applyBorder="1" applyFont="1" applyNumberFormat="1">
      <alignment horizontal="center" vertical="center"/>
    </xf>
    <xf quotePrefix="1" borderId="12" fillId="0" fontId="37" numFmtId="0" xfId="0" applyAlignment="1" applyBorder="1" applyFont="1">
      <alignment readingOrder="0"/>
    </xf>
    <xf borderId="12" fillId="18" fontId="22" numFmtId="0" xfId="0" applyAlignment="1" applyBorder="1" applyFill="1" applyFont="1">
      <alignment horizontal="center" readingOrder="0" shrinkToFit="0" vertical="center" wrapText="1"/>
    </xf>
    <xf borderId="12" fillId="12" fontId="36" numFmtId="165" xfId="0" applyAlignment="1" applyBorder="1" applyFill="1" applyFont="1" applyNumberFormat="1">
      <alignment readingOrder="0"/>
    </xf>
    <xf borderId="12" fillId="2" fontId="11" numFmtId="165" xfId="0" applyAlignment="1" applyBorder="1" applyFill="1" applyFont="1" applyNumberFormat="1">
      <alignment horizontal="left" readingOrder="0" shrinkToFit="0" vertical="center" wrapText="1"/>
    </xf>
    <xf borderId="12" fillId="0" fontId="5" numFmtId="166" xfId="0" applyAlignment="1" applyBorder="1" applyFont="1" applyNumberFormat="1">
      <alignment vertical="center"/>
    </xf>
    <xf borderId="12" fillId="0" fontId="14" numFmtId="0" xfId="0" applyAlignment="1" applyBorder="1" applyFont="1">
      <alignment readingOrder="0" vertical="center"/>
    </xf>
    <xf borderId="12" fillId="0" fontId="5" numFmtId="0" xfId="0" applyAlignment="1" applyBorder="1" applyFont="1">
      <alignment readingOrder="0" vertical="center"/>
    </xf>
    <xf borderId="12" fillId="0" fontId="5" numFmtId="165" xfId="0" applyAlignment="1" applyBorder="1" applyFont="1" applyNumberFormat="1">
      <alignment horizontal="left" readingOrder="0" vertical="center"/>
    </xf>
    <xf borderId="25" fillId="4" fontId="20" numFmtId="0" xfId="0" applyAlignment="1" applyBorder="1" applyFill="1" applyFont="1">
      <alignment horizontal="left" readingOrder="0" shrinkToFit="0" vertical="center" wrapText="1"/>
    </xf>
    <xf borderId="25" fillId="9" fontId="20" numFmtId="0" xfId="0" applyAlignment="1" applyBorder="1" applyFill="1" applyFont="1">
      <alignment horizontal="left" shrinkToFit="0" vertical="center" wrapText="1"/>
    </xf>
    <xf borderId="25" fillId="9" fontId="21" numFmtId="0" xfId="0" applyAlignment="1" applyBorder="1" applyFill="1" applyFont="1">
      <alignment horizontal="left" readingOrder="0" shrinkToFit="0" vertical="center" wrapText="1"/>
    </xf>
    <xf borderId="12" fillId="0" fontId="11" numFmtId="165" xfId="0" applyAlignment="1" applyBorder="1" applyFont="1" applyNumberFormat="1">
      <alignment horizontal="left" readingOrder="0" vertical="center"/>
    </xf>
    <xf borderId="12" fillId="0" fontId="28" numFmtId="166" xfId="0" applyAlignment="1" applyBorder="1" applyFont="1" applyNumberFormat="1">
      <alignment readingOrder="0" vertical="center"/>
    </xf>
    <xf borderId="12" fillId="0" fontId="11" numFmtId="168" xfId="0" applyAlignment="1" applyBorder="1" applyFont="1" applyNumberFormat="1">
      <alignment horizontal="center" vertical="center"/>
    </xf>
    <xf borderId="12" fillId="0" fontId="11" numFmtId="170" xfId="0" applyAlignment="1" applyBorder="1" applyFont="1" applyNumberFormat="1">
      <alignment horizontal="center" vertical="center"/>
    </xf>
    <xf borderId="25" fillId="0" fontId="130" numFmtId="0" xfId="0" applyAlignment="1" applyBorder="1" applyFont="1">
      <alignment horizontal="center" readingOrder="0" shrinkToFit="0" vertical="center" wrapText="1"/>
    </xf>
    <xf borderId="12" fillId="0" fontId="30" numFmtId="167" xfId="0" applyAlignment="1" applyBorder="1" applyFont="1" applyNumberFormat="1">
      <alignment horizontal="left" readingOrder="0" shrinkToFit="0" vertical="center" wrapText="1"/>
    </xf>
    <xf borderId="12" fillId="0" fontId="40" numFmtId="172" xfId="0" applyAlignment="1" applyBorder="1" applyFont="1" applyNumberFormat="1">
      <alignment readingOrder="0"/>
    </xf>
    <xf borderId="12" fillId="0" fontId="18" numFmtId="0" xfId="0" applyAlignment="1" applyBorder="1" applyFont="1">
      <alignment horizontal="center" readingOrder="0" shrinkToFit="0" vertical="center" wrapText="1"/>
    </xf>
    <xf borderId="12" fillId="2" fontId="30" numFmtId="0" xfId="0" applyAlignment="1" applyBorder="1" applyFill="1" applyFont="1">
      <alignment horizontal="center" readingOrder="0" shrinkToFit="0" vertical="center" wrapText="1"/>
    </xf>
    <xf borderId="12" fillId="2" fontId="30" numFmtId="0" xfId="0" applyAlignment="1" applyBorder="1" applyFill="1" applyFont="1">
      <alignment horizontal="left" readingOrder="0" shrinkToFit="0" vertical="center" wrapText="1"/>
    </xf>
    <xf borderId="12" fillId="2" fontId="30" numFmtId="165" xfId="0" applyAlignment="1" applyBorder="1" applyFill="1" applyFont="1" applyNumberFormat="1">
      <alignment horizontal="left" readingOrder="0" shrinkToFit="0" vertical="center" wrapText="1"/>
    </xf>
    <xf borderId="12" fillId="0" fontId="47" numFmtId="166" xfId="0" applyAlignment="1" applyBorder="1" applyFont="1" applyNumberFormat="1">
      <alignment horizontal="left" readingOrder="0" shrinkToFit="0" vertical="center" wrapText="1"/>
    </xf>
    <xf borderId="12" fillId="2" fontId="30" numFmtId="166" xfId="0" applyAlignment="1" applyBorder="1" applyFill="1" applyFont="1" applyNumberFormat="1">
      <alignment horizontal="left" readingOrder="0" shrinkToFit="0" vertical="center" wrapText="1"/>
    </xf>
    <xf borderId="12" fillId="2" fontId="131" numFmtId="169" xfId="0" applyAlignment="1" applyBorder="1" applyFill="1" applyFont="1" applyNumberFormat="1">
      <alignment horizontal="center" readingOrder="0" shrinkToFit="0" vertical="center" wrapText="1"/>
    </xf>
    <xf borderId="12" fillId="2" fontId="30" numFmtId="168" xfId="0" applyAlignment="1" applyBorder="1" applyFill="1" applyFont="1" applyNumberFormat="1">
      <alignment horizontal="center" readingOrder="0" shrinkToFit="0" vertical="center" wrapText="1"/>
    </xf>
    <xf borderId="19" fillId="2" fontId="30" numFmtId="168" xfId="0" applyAlignment="1" applyBorder="1" applyFill="1" applyFont="1" applyNumberFormat="1">
      <alignment horizontal="center" readingOrder="0" shrinkToFit="0" vertical="center" wrapText="1"/>
    </xf>
    <xf borderId="12" fillId="2" fontId="30" numFmtId="0" xfId="0" applyAlignment="1" applyBorder="1" applyFill="1" applyFont="1">
      <alignment horizontal="left" shrinkToFit="0" vertical="center" wrapText="1"/>
    </xf>
    <xf borderId="12" fillId="20" fontId="132" numFmtId="0" xfId="0" applyAlignment="1" applyBorder="1" applyFill="1" applyFont="1">
      <alignment horizontal="left" readingOrder="0" shrinkToFit="0" vertical="center" wrapText="1"/>
    </xf>
    <xf borderId="12" fillId="20" fontId="22" numFmtId="0" xfId="0" applyAlignment="1" applyBorder="1" applyFill="1" applyFont="1">
      <alignment horizontal="center" readingOrder="0" shrinkToFit="0" vertical="center" wrapText="1"/>
    </xf>
    <xf borderId="12" fillId="20" fontId="11" numFmtId="169" xfId="0" applyAlignment="1" applyBorder="1" applyFill="1" applyFont="1" applyNumberFormat="1">
      <alignment horizontal="left" readingOrder="0" shrinkToFit="0" vertical="center" wrapText="1"/>
    </xf>
    <xf borderId="12" fillId="20" fontId="18" numFmtId="169" xfId="0" applyAlignment="1" applyBorder="1" applyFill="1" applyFont="1" applyNumberFormat="1">
      <alignment horizontal="left" readingOrder="0" shrinkToFit="0" vertical="center" wrapText="1"/>
    </xf>
    <xf borderId="12" fillId="20" fontId="11" numFmtId="165" xfId="0" applyAlignment="1" applyBorder="1" applyFill="1" applyFont="1" applyNumberFormat="1">
      <alignment horizontal="left" readingOrder="0" shrinkToFit="0" vertical="center" wrapText="1"/>
    </xf>
    <xf borderId="25" fillId="8" fontId="21" numFmtId="0" xfId="0" applyAlignment="1" applyBorder="1" applyFill="1" applyFont="1">
      <alignment horizontal="left" readingOrder="0" shrinkToFit="0" vertical="center" wrapText="1"/>
    </xf>
    <xf borderId="12" fillId="20" fontId="28" numFmtId="166" xfId="0" applyAlignment="1" applyBorder="1" applyFill="1" applyFont="1" applyNumberFormat="1">
      <alignment horizontal="left" readingOrder="0" shrinkToFit="0" vertical="center" wrapText="1"/>
    </xf>
    <xf borderId="12" fillId="20" fontId="11" numFmtId="166" xfId="0" applyAlignment="1" applyBorder="1" applyFill="1" applyFont="1" applyNumberFormat="1">
      <alignment horizontal="left" readingOrder="0" shrinkToFit="0" vertical="center" wrapText="1"/>
    </xf>
    <xf borderId="12" fillId="20" fontId="14" numFmtId="0" xfId="0" applyAlignment="1" applyBorder="1" applyFill="1" applyFont="1">
      <alignment horizontal="center" readingOrder="0" shrinkToFit="0" vertical="center" wrapText="1"/>
    </xf>
    <xf borderId="12" fillId="20" fontId="19" numFmtId="0" xfId="0" applyAlignment="1" applyBorder="1" applyFill="1" applyFont="1">
      <alignment horizontal="center" readingOrder="0" shrinkToFit="0" vertical="center" wrapText="1"/>
    </xf>
    <xf borderId="12" fillId="20" fontId="29" numFmtId="169" xfId="0" applyAlignment="1" applyBorder="1" applyFill="1" applyFont="1" applyNumberFormat="1">
      <alignment horizontal="center" readingOrder="0" shrinkToFit="0" vertical="center" wrapText="1"/>
    </xf>
    <xf borderId="12" fillId="20" fontId="18" numFmtId="169" xfId="0" applyAlignment="1" applyBorder="1" applyFill="1" applyFont="1" applyNumberFormat="1">
      <alignment horizontal="center" readingOrder="0" shrinkToFit="0" vertical="center" wrapText="1"/>
    </xf>
    <xf borderId="12" fillId="20" fontId="11" numFmtId="168" xfId="0" applyAlignment="1" applyBorder="1" applyFill="1" applyFont="1" applyNumberFormat="1">
      <alignment horizontal="center" readingOrder="0" shrinkToFit="0" vertical="center" wrapText="1"/>
    </xf>
    <xf borderId="15" fillId="2" fontId="21" numFmtId="170" xfId="0" applyAlignment="1" applyBorder="1" applyFill="1" applyFont="1" applyNumberFormat="1">
      <alignment horizontal="center" readingOrder="0" shrinkToFit="0" vertical="center" wrapText="1"/>
    </xf>
    <xf borderId="25" fillId="2" fontId="23" numFmtId="0" xfId="0" applyAlignment="1" applyBorder="1" applyFill="1" applyFont="1">
      <alignment horizontal="center" shrinkToFit="0" vertical="center" wrapText="1"/>
    </xf>
    <xf borderId="25" fillId="2" fontId="20" numFmtId="0" xfId="0" applyAlignment="1" applyBorder="1" applyFill="1" applyFont="1">
      <alignment horizontal="center" shrinkToFit="0" vertical="center" wrapText="1"/>
    </xf>
    <xf quotePrefix="1" borderId="29" fillId="2" fontId="20" numFmtId="0" xfId="0" applyAlignment="1" applyBorder="1" applyFill="1" applyFont="1">
      <alignment horizontal="left" readingOrder="0" shrinkToFit="0" vertical="center" wrapText="1"/>
    </xf>
    <xf borderId="33" fillId="2" fontId="20" numFmtId="0" xfId="0" applyAlignment="1" applyBorder="1" applyFill="1" applyFont="1">
      <alignment horizontal="left" shrinkToFit="0" vertical="center" wrapText="1"/>
    </xf>
    <xf borderId="12" fillId="2" fontId="45" numFmtId="0" xfId="0" applyAlignment="1" applyBorder="1" applyFill="1" applyFont="1">
      <alignment horizontal="left" readingOrder="0" shrinkToFit="0" vertical="center" wrapText="1"/>
    </xf>
    <xf borderId="12" fillId="2" fontId="133" numFmtId="0" xfId="0" applyAlignment="1" applyBorder="1" applyFill="1" applyFont="1">
      <alignment horizontal="center" readingOrder="0" shrinkToFit="0" vertical="center" wrapText="1"/>
    </xf>
    <xf borderId="12" fillId="2" fontId="30" numFmtId="169" xfId="0" applyAlignment="1" applyBorder="1" applyFill="1" applyFont="1" applyNumberFormat="1">
      <alignment horizontal="left" readingOrder="0" shrinkToFit="0" vertical="center" wrapText="1"/>
    </xf>
    <xf borderId="12" fillId="4" fontId="30" numFmtId="168" xfId="0" applyAlignment="1" applyBorder="1" applyFill="1" applyFont="1" applyNumberFormat="1">
      <alignment horizontal="center" readingOrder="0" shrinkToFit="0" vertical="center" wrapText="1"/>
    </xf>
    <xf borderId="12" fillId="0" fontId="81" numFmtId="166" xfId="0" applyAlignment="1" applyBorder="1" applyFont="1" applyNumberFormat="1">
      <alignment horizontal="left" readingOrder="0" shrinkToFit="0" wrapText="1"/>
    </xf>
    <xf borderId="12" fillId="0" fontId="11" numFmtId="0" xfId="0" applyAlignment="1" applyBorder="1" applyFont="1">
      <alignment horizontal="center" readingOrder="0" shrinkToFit="0" wrapText="1"/>
    </xf>
    <xf borderId="25" fillId="0" fontId="21" numFmtId="0" xfId="0" applyAlignment="1" applyBorder="1" applyFont="1">
      <alignment horizontal="left" shrinkToFit="0" vertical="center" wrapText="1"/>
    </xf>
    <xf borderId="12" fillId="0" fontId="45" numFmtId="0" xfId="0" applyAlignment="1" applyBorder="1" applyFont="1">
      <alignment horizontal="center" readingOrder="0" shrinkToFit="0" vertical="center" wrapText="1"/>
    </xf>
    <xf borderId="12" fillId="0" fontId="22" numFmtId="0" xfId="0" applyAlignment="1" applyBorder="1" applyFont="1">
      <alignment horizontal="left" readingOrder="0" shrinkToFit="0" vertical="center" wrapText="1"/>
    </xf>
    <xf quotePrefix="1" borderId="12" fillId="0" fontId="11" numFmtId="0" xfId="0" applyAlignment="1" applyBorder="1" applyFont="1">
      <alignment horizontal="left" readingOrder="0" shrinkToFit="0" vertical="center" wrapText="1"/>
    </xf>
    <xf borderId="12" fillId="0" fontId="24" numFmtId="0" xfId="0" applyAlignment="1" applyBorder="1" applyFont="1">
      <alignment horizontal="center" readingOrder="0" shrinkToFit="0" vertical="center" wrapText="1"/>
    </xf>
    <xf borderId="12" fillId="4" fontId="11" numFmtId="0" xfId="0" applyAlignment="1" applyBorder="1" applyFill="1" applyFont="1">
      <alignment horizontal="center" readingOrder="0" shrinkToFit="0" vertical="center" wrapText="1"/>
    </xf>
    <xf borderId="12" fillId="0" fontId="28" numFmtId="165" xfId="0" applyAlignment="1" applyBorder="1" applyFont="1" applyNumberFormat="1">
      <alignment horizontal="left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quotePrefix="1" borderId="12" fillId="0" fontId="28" numFmtId="0" xfId="0" applyAlignment="1" applyBorder="1" applyFont="1">
      <alignment horizontal="left" readingOrder="0" shrinkToFit="0" vertical="center" wrapText="1"/>
    </xf>
    <xf borderId="12" fillId="0" fontId="30" numFmtId="166" xfId="0" applyAlignment="1" applyBorder="1" applyFont="1" applyNumberFormat="1">
      <alignment horizontal="right" readingOrder="0" shrinkToFit="0" vertical="center" wrapText="1"/>
    </xf>
    <xf borderId="12" fillId="0" fontId="30" numFmtId="168" xfId="0" applyAlignment="1" applyBorder="1" applyFont="1" applyNumberFormat="1">
      <alignment horizontal="center" readingOrder="0" shrinkToFit="0" vertical="center" wrapText="1"/>
    </xf>
    <xf borderId="12" fillId="0" fontId="14" numFmtId="0" xfId="0" applyAlignment="1" applyBorder="1" applyFont="1">
      <alignment readingOrder="0"/>
    </xf>
    <xf borderId="12" fillId="7" fontId="11" numFmtId="0" xfId="0" applyAlignment="1" applyBorder="1" applyFill="1" applyFont="1">
      <alignment horizontal="center" readingOrder="0" shrinkToFit="0" vertical="center" wrapText="1"/>
    </xf>
    <xf borderId="12" fillId="2" fontId="11" numFmtId="183" xfId="0" applyAlignment="1" applyBorder="1" applyFill="1" applyFont="1" applyNumberFormat="1">
      <alignment horizontal="center" readingOrder="0" shrinkToFit="0" vertical="center" wrapText="1"/>
    </xf>
    <xf borderId="12" fillId="0" fontId="11" numFmtId="189" xfId="0" applyAlignment="1" applyBorder="1" applyFont="1" applyNumberFormat="1">
      <alignment horizontal="center" readingOrder="0" shrinkToFit="0" vertical="center" wrapText="1"/>
    </xf>
    <xf borderId="12" fillId="0" fontId="28" numFmtId="166" xfId="0" applyAlignment="1" applyBorder="1" applyFont="1" applyNumberFormat="1">
      <alignment horizontal="center" readingOrder="0" shrinkToFit="0" vertical="center" wrapText="1"/>
    </xf>
    <xf borderId="12" fillId="0" fontId="24" numFmtId="0" xfId="0" applyAlignment="1" applyBorder="1" applyFont="1">
      <alignment readingOrder="0" vertical="center"/>
    </xf>
    <xf borderId="12" fillId="13" fontId="36" numFmtId="166" xfId="0" applyAlignment="1" applyBorder="1" applyFill="1" applyFont="1" applyNumberFormat="1">
      <alignment readingOrder="0" shrinkToFit="0" wrapText="0"/>
    </xf>
    <xf borderId="12" fillId="0" fontId="134" numFmtId="0" xfId="0" applyAlignment="1" applyBorder="1" applyFont="1">
      <alignment horizontal="center" readingOrder="0" shrinkToFit="0" vertical="center" wrapText="1"/>
    </xf>
    <xf borderId="12" fillId="0" fontId="11" numFmtId="164" xfId="0" applyAlignment="1" applyBorder="1" applyFont="1" applyNumberFormat="1">
      <alignment horizontal="left" readingOrder="0" shrinkToFit="0" vertical="center" wrapText="1"/>
    </xf>
    <xf borderId="12" fillId="0" fontId="29" numFmtId="186" xfId="0" applyAlignment="1" applyBorder="1" applyFont="1" applyNumberFormat="1">
      <alignment horizontal="center" readingOrder="0" shrinkToFit="0" vertical="center" wrapText="1"/>
    </xf>
    <xf borderId="12" fillId="2" fontId="11" numFmtId="167" xfId="0" applyAlignment="1" applyBorder="1" applyFill="1" applyFont="1" applyNumberFormat="1">
      <alignment horizontal="left" readingOrder="0" shrinkToFit="0" vertical="center" wrapText="1"/>
    </xf>
    <xf borderId="12" fillId="0" fontId="132" numFmtId="0" xfId="0" applyAlignment="1" applyBorder="1" applyFont="1">
      <alignment readingOrder="0"/>
    </xf>
    <xf borderId="12" fillId="12" fontId="36" numFmtId="166" xfId="0" applyAlignment="1" applyBorder="1" applyFill="1" applyFont="1" applyNumberFormat="1">
      <alignment readingOrder="0"/>
    </xf>
    <xf borderId="12" fillId="0" fontId="5" numFmtId="169" xfId="0" applyAlignment="1" applyBorder="1" applyFont="1" applyNumberFormat="1">
      <alignment readingOrder="0" vertical="center"/>
    </xf>
    <xf borderId="12" fillId="0" fontId="65" numFmtId="169" xfId="0" applyAlignment="1" applyBorder="1" applyFont="1" applyNumberFormat="1">
      <alignment readingOrder="0" vertical="center"/>
    </xf>
    <xf borderId="12" fillId="0" fontId="5" numFmtId="49" xfId="0" applyAlignment="1" applyBorder="1" applyFont="1" applyNumberFormat="1">
      <alignment readingOrder="0" vertical="center"/>
    </xf>
    <xf borderId="12" fillId="0" fontId="28" numFmtId="0" xfId="0" applyAlignment="1" applyBorder="1" applyFont="1">
      <alignment vertical="center"/>
    </xf>
    <xf borderId="12" fillId="0" fontId="11" numFmtId="168" xfId="0" applyAlignment="1" applyBorder="1" applyFont="1" applyNumberFormat="1">
      <alignment horizontal="center" readingOrder="0" vertical="center"/>
    </xf>
    <xf borderId="12" fillId="13" fontId="72" numFmtId="165" xfId="0" applyAlignment="1" applyBorder="1" applyFill="1" applyFont="1" applyNumberFormat="1">
      <alignment horizontal="left" readingOrder="0"/>
    </xf>
    <xf borderId="12" fillId="2" fontId="11" numFmtId="190" xfId="0" applyAlignment="1" applyBorder="1" applyFill="1" applyFont="1" applyNumberFormat="1">
      <alignment horizontal="center" readingOrder="0" shrinkToFit="0" vertical="center" wrapText="1"/>
    </xf>
    <xf borderId="12" fillId="0" fontId="45" numFmtId="169" xfId="0" applyAlignment="1" applyBorder="1" applyFont="1" applyNumberFormat="1">
      <alignment horizontal="center" readingOrder="0" shrinkToFit="0" vertical="center" wrapText="1"/>
    </xf>
    <xf borderId="12" fillId="0" fontId="11" numFmtId="164" xfId="0" applyAlignment="1" applyBorder="1" applyFont="1" applyNumberFormat="1">
      <alignment horizontal="center" readingOrder="0" shrinkToFit="0" vertical="center" wrapText="1"/>
    </xf>
    <xf borderId="12" fillId="0" fontId="11" numFmtId="169" xfId="0" applyAlignment="1" applyBorder="1" applyFont="1" applyNumberFormat="1">
      <alignment readingOrder="0"/>
    </xf>
    <xf borderId="12" fillId="0" fontId="18" numFmtId="169" xfId="0" applyAlignment="1" applyBorder="1" applyFont="1" applyNumberFormat="1">
      <alignment readingOrder="0"/>
    </xf>
    <xf borderId="12" fillId="0" fontId="5" numFmtId="165" xfId="0" applyAlignment="1" applyBorder="1" applyFont="1" applyNumberFormat="1">
      <alignment horizontal="left"/>
    </xf>
    <xf borderId="12" fillId="0" fontId="77" numFmtId="167" xfId="0" applyAlignment="1" applyBorder="1" applyFont="1" applyNumberFormat="1">
      <alignment horizontal="left" readingOrder="0" shrinkToFit="0" vertical="center" wrapText="1"/>
    </xf>
    <xf borderId="12" fillId="0" fontId="5" numFmtId="170" xfId="0" applyAlignment="1" applyBorder="1" applyFont="1" applyNumberFormat="1">
      <alignment horizontal="center" readingOrder="0" vertical="center"/>
    </xf>
    <xf borderId="12" fillId="0" fontId="135" numFmtId="0" xfId="0" applyAlignment="1" applyBorder="1" applyFont="1">
      <alignment readingOrder="0"/>
    </xf>
    <xf borderId="12" fillId="2" fontId="11" numFmtId="164" xfId="0" applyAlignment="1" applyBorder="1" applyFill="1" applyFont="1" applyNumberFormat="1">
      <alignment horizontal="center" readingOrder="0" shrinkToFit="0" vertical="center" wrapText="1"/>
    </xf>
    <xf borderId="12" fillId="13" fontId="30" numFmtId="166" xfId="0" applyAlignment="1" applyBorder="1" applyFill="1" applyFont="1" applyNumberFormat="1">
      <alignment readingOrder="0" shrinkToFit="0" wrapText="1"/>
    </xf>
    <xf borderId="12" fillId="13" fontId="92" numFmtId="169" xfId="0" applyAlignment="1" applyBorder="1" applyFill="1" applyFont="1" applyNumberFormat="1">
      <alignment horizontal="center" readingOrder="0" vertical="center"/>
    </xf>
    <xf borderId="12" fillId="0" fontId="18" numFmtId="169" xfId="0" applyAlignment="1" applyBorder="1" applyFont="1" applyNumberFormat="1">
      <alignment horizontal="center" readingOrder="0"/>
    </xf>
    <xf borderId="0" fillId="9" fontId="18" numFmtId="0" xfId="0" applyAlignment="1" applyFill="1" applyFont="1">
      <alignment horizontal="center" readingOrder="0" shrinkToFit="0" vertical="center" wrapText="1"/>
    </xf>
    <xf borderId="0" fillId="13" fontId="11" numFmtId="168" xfId="0" applyAlignment="1" applyFill="1" applyFont="1" applyNumberFormat="1">
      <alignment horizontal="center" readingOrder="0" vertical="center"/>
    </xf>
    <xf borderId="0" fillId="0" fontId="37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4">
    <dxf>
      <font>
        <b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owarach Khunradsadorn" id="{a9687e60-42f3-4ffc-b7c1-e33670080e6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226" dT="2024-05-08T08:15:10.00" personId="{a9687e60-42f3-4ffc-b7c1-e33670080e67}" id="{92d01cdc-6c33-4e32-9ec0-0a53ee6ff6b1}" done="0">
    <x18tc:text xml:space="preserve">Inc. on upgrade system to 40kw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search/?api=1&amp;query=7.998160432616847,98.30560002475977" TargetMode="External"/><Relationship Id="rId10" Type="http://schemas.openxmlformats.org/officeDocument/2006/relationships/hyperlink" Target="https://www.google.com/maps/place/8%C2%B000'23.6%22N+98%C2%B019'19.2%22E/@8.0064412,98.3215858,185m/data=!3m1!1e3!4m4!3m3!8m2!3d8.0065556!4d98.322?entry=ttu" TargetMode="External"/><Relationship Id="rId13" Type="http://schemas.openxmlformats.org/officeDocument/2006/relationships/hyperlink" Target="https://www.google.com/maps/search/?api=1&amp;query=7.867935526442087,98.3723622187972" TargetMode="External"/><Relationship Id="rId12" Type="http://schemas.openxmlformats.org/officeDocument/2006/relationships/hyperlink" Target="https://www.google.com/maps/place/7%C2%B059'12.0%22N+98%C2%B025'16.2%22E/@7.9866596,98.4211516,17z/data=!3m1!4b1!4m4!3m3!8m2!3d7.9866596!4d98.4211516?entry=ttu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google.com/maps/search/?api=1&amp;query=7.876480883715979,98.39688163250685" TargetMode="External"/><Relationship Id="rId9" Type="http://schemas.openxmlformats.org/officeDocument/2006/relationships/hyperlink" Target="https://www.google.com/maps/place/David+Residence/@8.1067987,98.3061893,17z/data=!3m1!4b1!4m9!3m8!1s0x305046277c48892f:0xdd48d41dfd2bd383!5m2!4m1!1i2!8m2!3d8.1067987!4d98.3087642!16s%2Fg%2F1pzt_bnf7?entry=ttu" TargetMode="External"/><Relationship Id="rId15" Type="http://schemas.openxmlformats.org/officeDocument/2006/relationships/hyperlink" Target="https://www.google.com/maps/search/?api=1&amp;query=7.9912119689425145,98.2990949973464" TargetMode="External"/><Relationship Id="rId14" Type="http://schemas.openxmlformats.org/officeDocument/2006/relationships/hyperlink" Target="https://www.google.com/maps/place/8%C2%B000'42.1%22N+98%C2%B018'58.0%22E/@8.0115589,98.3160165,168m/data=!3m1!1e3!4m4!3m3!8m2!3d8.0116828!4d98.3161056?entry=ttu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google.com/maps/place/7%C2%B051'45.2%22N+98%C2%B023'29.5%22E/@7.8625611,98.3915232,17z/data=!3m1!4b1!4m4!3m3!8m2!3d7.8625611!4d98.3915232?entry=ttu" TargetMode="External"/><Relationship Id="rId5" Type="http://schemas.openxmlformats.org/officeDocument/2006/relationships/hyperlink" Target="mailto:michel@phuketasialand.com" TargetMode="External"/><Relationship Id="rId6" Type="http://schemas.openxmlformats.org/officeDocument/2006/relationships/hyperlink" Target="https://www.google.com/maps/search/?api=1&amp;query=7.877893026058343,98.37888434529305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www.google.com/maps/search/?api=1&amp;query=8.0307,98.3117" TargetMode="External"/><Relationship Id="rId8" Type="http://schemas.openxmlformats.org/officeDocument/2006/relationships/hyperlink" Target="mailto:christophersdavies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?api=1&amp;query=7.876480883715979,98.39688163250685" TargetMode="External"/><Relationship Id="rId2" Type="http://schemas.openxmlformats.org/officeDocument/2006/relationships/hyperlink" Target="https://www.google.com/maps/place/David+Residence/@8.106804,98.3061893,17z/data=!3m1!4b1!4m9!3m8!1s0x305046277c48892f:0xdd48d41dfd2bd383!5m2!4m1!1i2!8m2!3d8.1067987!4d98.3087642!16s%2Fg%2F1pzt_bnf7?authuser=0&amp;entry=ttu" TargetMode="External"/><Relationship Id="rId3" Type="http://schemas.openxmlformats.org/officeDocument/2006/relationships/hyperlink" Target="https://www.google.com/maps/search/?api=1&amp;query=7.998160432616847,98.30560002475977" TargetMode="External"/><Relationship Id="rId4" Type="http://schemas.openxmlformats.org/officeDocument/2006/relationships/hyperlink" Target="https://www.google.com/maps/place/7%C2%B059'12.0%22N+98%C2%B025'16.2%22E/@7.9866596,98.4211516,17z/data=!3m1!4b1!4m4!3m3!8m2!3d7.9866596!4d98.4211516?entry=ttu" TargetMode="External"/><Relationship Id="rId5" Type="http://schemas.openxmlformats.org/officeDocument/2006/relationships/hyperlink" Target="https://www.google.com/maps/search/?api=1&amp;query=8.0307,98.3117" TargetMode="External"/><Relationship Id="rId6" Type="http://schemas.openxmlformats.org/officeDocument/2006/relationships/hyperlink" Target="https://www.google.com/maps/place/8%C2%B000'42.1%22N+98%C2%B018'58.0%22E/@8.0115589,98.3160165,168m/data=!3m1!1e3!4m4!3m3!8m2!3d8.0116828!4d98.3161056?entry=ttu" TargetMode="External"/><Relationship Id="rId7" Type="http://schemas.openxmlformats.org/officeDocument/2006/relationships/hyperlink" Target="https://www.google.com/maps/search/?api=1&amp;query=7.9912119689425145,98.2990949973464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place/7%C2%B059'12.0%22N+98%C2%B025'16.2%22E/@7.9866596,98.4211516,17z/data=!3m1!4b1!4m4!3m3!8m2!3d7.9866596!4d98.4211516?entry=ttu" TargetMode="External"/><Relationship Id="rId10" Type="http://schemas.openxmlformats.org/officeDocument/2006/relationships/hyperlink" Target="https://www.google.com/maps/search/?api=1&amp;query=7.998160432616847,98.30560002475977" TargetMode="External"/><Relationship Id="rId13" Type="http://schemas.openxmlformats.org/officeDocument/2006/relationships/hyperlink" Target="https://www.google.com/maps/place/8%C2%B000'42.1%22N+98%C2%B018'58.0%22E/@8.0115589,98.3160165,168m/data=!3m1!1e3!4m4!3m3!8m2!3d8.0116828!4d98.3161056?entry=ttu" TargetMode="External"/><Relationship Id="rId12" Type="http://schemas.openxmlformats.org/officeDocument/2006/relationships/hyperlink" Target="https://www.google.com/maps/search/?api=1&amp;query=7.867935526442087,98.3723622187972" TargetMode="External"/><Relationship Id="rId1" Type="http://schemas.openxmlformats.org/officeDocument/2006/relationships/hyperlink" Target="https://www.google.com/maps/search/?api=1&amp;query=7.876480883715979,98.39688163250685" TargetMode="External"/><Relationship Id="rId2" Type="http://schemas.openxmlformats.org/officeDocument/2006/relationships/hyperlink" Target="mailto:michel@phuketasialand.com" TargetMode="External"/><Relationship Id="rId3" Type="http://schemas.openxmlformats.org/officeDocument/2006/relationships/hyperlink" Target="mailto:michel@phuketasialand.com" TargetMode="External"/><Relationship Id="rId4" Type="http://schemas.openxmlformats.org/officeDocument/2006/relationships/hyperlink" Target="https://www.google.com/maps/search/?api=1&amp;query=7.877893026058343,98.37888434529305" TargetMode="External"/><Relationship Id="rId9" Type="http://schemas.openxmlformats.org/officeDocument/2006/relationships/hyperlink" Target="https://www.google.com/maps/place/8%C2%B000'23.6%22N+98%C2%B019'19.2%22E/@8.0064412,98.3215858,185m/data=!3m1!1e3!4m4!3m3!8m2!3d8.0065556!4d98.322?entry=ttu" TargetMode="External"/><Relationship Id="rId15" Type="http://schemas.openxmlformats.org/officeDocument/2006/relationships/hyperlink" Target="https://www.google.com/maps/place/7%C2%B051'45.2%22N+98%C2%B023'29.5%22E/@7.8625611,98.3915232,17z/data=!3m1!4b1!4m4!3m3!8m2!3d7.8625611!4d98.3915232?entry=ttu" TargetMode="External"/><Relationship Id="rId14" Type="http://schemas.openxmlformats.org/officeDocument/2006/relationships/hyperlink" Target="https://www.google.com/maps/search/?api=1&amp;query=7.9912119689425145,98.2990949973464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www.google.com/maps/search/?api=1&amp;query=8.0307,98.3117" TargetMode="External"/><Relationship Id="rId6" Type="http://schemas.openxmlformats.org/officeDocument/2006/relationships/hyperlink" Target="http://k.at/" TargetMode="External"/><Relationship Id="rId7" Type="http://schemas.openxmlformats.org/officeDocument/2006/relationships/hyperlink" Target="mailto:brent@cowey.org.uk" TargetMode="External"/><Relationship Id="rId8" Type="http://schemas.openxmlformats.org/officeDocument/2006/relationships/hyperlink" Target="https://www.google.com/maps/place/David+Residence/@8.1067987,98.3061893,17z/data=!3m1!4b1!4m9!3m8!1s0x305046277c48892f:0xdd48d41dfd2bd383!5m2!4m1!1i2!8m2!3d8.1067987!4d98.3087642!16s%2Fg%2F1pzt_bnf7?entry=ttu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9.xml"/><Relationship Id="rId10" Type="http://schemas.openxmlformats.org/officeDocument/2006/relationships/hyperlink" Target="https://www.google.com/maps/search/?api=1&amp;query=7.9912119689425145,98.2990949973464" TargetMode="External"/><Relationship Id="rId1" Type="http://schemas.openxmlformats.org/officeDocument/2006/relationships/hyperlink" Target="https://www.google.com/maps/place/7%C2%B059'12.0%22N+98%C2%B025'16.2%22E/@7.9866596,98.4211516,17z/data=!3m1!4b1!4m4!3m3!8m2!3d7.9866596!4d98.4211516?entry=ttu" TargetMode="External"/><Relationship Id="rId2" Type="http://schemas.openxmlformats.org/officeDocument/2006/relationships/hyperlink" Target="https://www.google.com/maps/search/?api=1&amp;query=8.0307,98.3117" TargetMode="External"/><Relationship Id="rId3" Type="http://schemas.openxmlformats.org/officeDocument/2006/relationships/hyperlink" Target="https://www.google.com/maps/search/?api=1&amp;query=7.867935526442087,98.3723622187972" TargetMode="External"/><Relationship Id="rId4" Type="http://schemas.openxmlformats.org/officeDocument/2006/relationships/hyperlink" Target="https://www.google.com/maps/place/8%C2%B000'42.1%22N+98%C2%B018'58.0%22E/@8.0115589,98.3160165,168m/data=!3m1!1e3!4m4!3m3!8m2!3d8.0116828!4d98.3161056?entry=ttu" TargetMode="External"/><Relationship Id="rId9" Type="http://schemas.openxmlformats.org/officeDocument/2006/relationships/hyperlink" Target="https://www.google.com/maps/search/?api=1&amp;query=7.998160432616847,98.30560002475977" TargetMode="External"/><Relationship Id="rId5" Type="http://schemas.openxmlformats.org/officeDocument/2006/relationships/hyperlink" Target="https://www.google.com/maps/place/7%C2%B051'45.2%22N+98%C2%B023'29.5%22E/@7.8625611,98.3915232,17z/data=!3m1!4b1!4m4!3m3!8m2!3d7.8625611!4d98.3915232?entry=ttu" TargetMode="External"/><Relationship Id="rId6" Type="http://schemas.openxmlformats.org/officeDocument/2006/relationships/hyperlink" Target="https://www.google.com/maps/search/?api=1&amp;query=7.876480883715979,98.39688163250685" TargetMode="External"/><Relationship Id="rId7" Type="http://schemas.openxmlformats.org/officeDocument/2006/relationships/hyperlink" Target="https://www.google.com/maps/search/?api=1&amp;query=7.877893026058343,98.37888434529305" TargetMode="External"/><Relationship Id="rId8" Type="http://schemas.openxmlformats.org/officeDocument/2006/relationships/hyperlink" Target="https://www.google.com/maps/place/David+Residence/@8.1067987,98.3061893,17z/data=!3m1!4b1!4m9!3m8!1s0x305046277c48892f:0xdd48d41dfd2bd383!5m2!4m1!1i2!8m2!3d8.1067987!4d98.3087642!16s%2Fg%2F1pzt_bnf7?entry=t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xSplit="10.0" ySplit="3.0" topLeftCell="K4" activePane="bottomRight" state="frozen"/>
      <selection activeCell="K1" sqref="K1" pane="topRight"/>
      <selection activeCell="A4" sqref="A4" pane="bottomLeft"/>
      <selection activeCell="K4" sqref="K4" pane="bottomRight"/>
    </sheetView>
  </sheetViews>
  <sheetFormatPr customHeight="1" defaultColWidth="14.43" defaultRowHeight="15.0"/>
  <cols>
    <col customWidth="1" min="1" max="1" width="14.57"/>
    <col customWidth="1" min="2" max="2" width="40.43"/>
    <col customWidth="1" min="3" max="3" width="12.29"/>
    <col customWidth="1" min="4" max="4" width="8.86"/>
    <col customWidth="1" min="5" max="5" width="8.43"/>
    <col customWidth="1" hidden="1" min="6" max="6" width="8.14"/>
    <col customWidth="1" min="7" max="7" width="20.29"/>
    <col customWidth="1" min="8" max="8" width="14.14"/>
    <col customWidth="1" min="9" max="9" width="15.57"/>
    <col customWidth="1" min="10" max="10" width="15.14"/>
    <col customWidth="1" min="11" max="11" width="15.71"/>
    <col customWidth="1" min="12" max="12" width="21.43"/>
    <col customWidth="1" min="13" max="13" width="21.86"/>
    <col customWidth="1" min="14" max="14" width="17.29"/>
    <col customWidth="1" min="15" max="15" width="23.71"/>
    <col customWidth="1" min="16" max="18" width="16.57"/>
    <col customWidth="1" min="19" max="19" width="17.57"/>
    <col customWidth="1" hidden="1" min="20" max="20" width="9.57"/>
    <col customWidth="1" min="21" max="21" width="7.29"/>
    <col customWidth="1" min="22" max="22" width="8.14"/>
    <col customWidth="1" min="23" max="23" width="11.29"/>
    <col customWidth="1" min="24" max="24" width="7.29"/>
    <col customWidth="1" min="25" max="25" width="11.29"/>
    <col customWidth="1" min="26" max="26" width="7.29"/>
    <col customWidth="1" min="27" max="27" width="11.29"/>
    <col customWidth="1" min="28" max="28" width="7.29"/>
    <col customWidth="1" min="29" max="29" width="11.29"/>
    <col customWidth="1" min="30" max="30" width="7.29"/>
    <col customWidth="1" min="31" max="31" width="11.29"/>
    <col customWidth="1" min="32" max="32" width="7.29"/>
    <col customWidth="1" min="33" max="33" width="11.29"/>
    <col customWidth="1" min="34" max="34" width="4.57"/>
    <col customWidth="1" min="35" max="35" width="10.86"/>
    <col customWidth="1" min="36" max="36" width="4.57"/>
    <col customWidth="1" min="37" max="37" width="11.0"/>
    <col customWidth="1" min="38" max="38" width="4.57"/>
    <col customWidth="1" min="39" max="39" width="11.14"/>
    <col customWidth="1" min="40" max="40" width="4.57"/>
    <col customWidth="1" min="41" max="41" width="11.0"/>
    <col customWidth="1" min="42" max="42" width="4.57"/>
    <col customWidth="1" min="43" max="43" width="9.57"/>
    <col customWidth="1" min="44" max="44" width="4.57"/>
    <col customWidth="1" min="45" max="45" width="9.57"/>
    <col customWidth="1" min="46" max="46" width="4.57"/>
    <col customWidth="1" min="47" max="47" width="43.0"/>
    <col customWidth="1" hidden="1" min="48" max="48" width="69.57"/>
  </cols>
  <sheetData>
    <row r="1" ht="52.5" customHeight="1">
      <c r="B1" s="7"/>
      <c r="C1" s="7"/>
      <c r="D1" s="7"/>
      <c r="E1" s="7"/>
      <c r="F1" s="7"/>
      <c r="G1" s="7"/>
      <c r="H1" s="7"/>
      <c r="I1" s="7"/>
      <c r="J1" s="7"/>
      <c r="K1" s="1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22"/>
      <c r="AV1" s="22"/>
    </row>
    <row r="2" ht="7.5" customHeight="1">
      <c r="A2" s="25" t="s">
        <v>0</v>
      </c>
      <c r="B2" s="25"/>
      <c r="C2" s="25"/>
      <c r="D2" s="25"/>
      <c r="E2" s="25"/>
      <c r="F2" s="25"/>
      <c r="G2" s="25"/>
      <c r="H2" s="28"/>
      <c r="I2" s="28"/>
      <c r="J2" s="28"/>
      <c r="K2" s="30"/>
      <c r="L2" s="28"/>
      <c r="M2" s="28"/>
      <c r="N2" s="31"/>
      <c r="O2" s="25"/>
      <c r="P2" s="33"/>
      <c r="Q2" s="37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</row>
    <row r="3" ht="45.75" customHeight="1">
      <c r="A3" s="38" t="s">
        <v>3</v>
      </c>
      <c r="B3" s="40" t="s">
        <v>4</v>
      </c>
      <c r="C3" s="40" t="s">
        <v>29</v>
      </c>
      <c r="D3" s="40" t="s">
        <v>5</v>
      </c>
      <c r="E3" s="40" t="s">
        <v>7</v>
      </c>
      <c r="F3" s="40" t="s">
        <v>8</v>
      </c>
      <c r="G3" s="40" t="s">
        <v>9</v>
      </c>
      <c r="H3" s="47" t="s">
        <v>31</v>
      </c>
      <c r="I3" s="48" t="s">
        <v>34</v>
      </c>
      <c r="J3" s="48" t="s">
        <v>36</v>
      </c>
      <c r="K3" s="49" t="s">
        <v>37</v>
      </c>
      <c r="L3" s="50" t="s">
        <v>10</v>
      </c>
      <c r="M3" s="51" t="s">
        <v>11</v>
      </c>
      <c r="N3" s="53" t="s">
        <v>12</v>
      </c>
      <c r="O3" s="53" t="s">
        <v>13</v>
      </c>
      <c r="P3" s="54" t="s">
        <v>43</v>
      </c>
      <c r="Q3" s="55" t="s">
        <v>14</v>
      </c>
      <c r="R3" s="56" t="s">
        <v>44</v>
      </c>
      <c r="S3" s="57" t="s">
        <v>17</v>
      </c>
      <c r="T3" s="57" t="s">
        <v>19</v>
      </c>
      <c r="U3" s="42" t="s">
        <v>15</v>
      </c>
      <c r="V3" s="43"/>
      <c r="W3" s="45" t="s">
        <v>18</v>
      </c>
      <c r="X3" s="21"/>
      <c r="Y3" s="45" t="s">
        <v>24</v>
      </c>
      <c r="Z3" s="21"/>
      <c r="AA3" s="45" t="s">
        <v>26</v>
      </c>
      <c r="AB3" s="21"/>
      <c r="AC3" s="45" t="s">
        <v>27</v>
      </c>
      <c r="AD3" s="21"/>
      <c r="AE3" s="45" t="s">
        <v>30</v>
      </c>
      <c r="AF3" s="21"/>
      <c r="AG3" s="45" t="s">
        <v>32</v>
      </c>
      <c r="AH3" s="21"/>
      <c r="AI3" s="45" t="s">
        <v>33</v>
      </c>
      <c r="AJ3" s="21"/>
      <c r="AK3" s="45" t="s">
        <v>35</v>
      </c>
      <c r="AL3" s="21"/>
      <c r="AM3" s="52" t="s">
        <v>38</v>
      </c>
      <c r="AN3" s="52"/>
      <c r="AO3" s="52" t="s">
        <v>40</v>
      </c>
      <c r="AP3" s="52"/>
      <c r="AQ3" s="52" t="s">
        <v>41</v>
      </c>
      <c r="AR3" s="52"/>
      <c r="AS3" s="52" t="s">
        <v>42</v>
      </c>
      <c r="AT3" s="52"/>
      <c r="AU3" s="52" t="s">
        <v>39</v>
      </c>
      <c r="AV3" s="53" t="s">
        <v>12</v>
      </c>
    </row>
    <row r="4" ht="22.5" hidden="1" customHeight="1">
      <c r="A4" s="58">
        <f t="shared" ref="A4:A10" si="1">SUBTOTAL(3,$B$4:B4)</f>
        <v>0</v>
      </c>
      <c r="B4" s="72" t="s">
        <v>45</v>
      </c>
      <c r="C4" s="67"/>
      <c r="D4" s="67" t="s">
        <v>48</v>
      </c>
      <c r="E4" s="67"/>
      <c r="F4" s="67"/>
      <c r="G4" s="79" t="s">
        <v>55</v>
      </c>
      <c r="H4" s="82" t="b">
        <v>1</v>
      </c>
      <c r="I4" s="85">
        <v>46210.0</v>
      </c>
      <c r="J4" s="82" t="b">
        <v>0</v>
      </c>
      <c r="K4" s="89"/>
      <c r="L4" s="62" t="s">
        <v>52</v>
      </c>
      <c r="M4" s="91" t="s">
        <v>56</v>
      </c>
      <c r="N4" s="94" t="s">
        <v>54</v>
      </c>
      <c r="O4" s="95"/>
      <c r="P4" s="97"/>
      <c r="Q4" s="100">
        <v>45365.0</v>
      </c>
      <c r="R4" s="102">
        <v>46094.0</v>
      </c>
      <c r="S4" s="104">
        <v>46287.0</v>
      </c>
      <c r="T4" s="105"/>
      <c r="U4" s="73">
        <f t="shared" ref="U4:U123" si="2">COUNTIFS(W4:AU4,"True")</f>
        <v>6</v>
      </c>
      <c r="V4" s="75">
        <v>6.0</v>
      </c>
      <c r="W4" s="114">
        <v>44562.0</v>
      </c>
      <c r="X4" s="83" t="b">
        <v>1</v>
      </c>
      <c r="Y4" s="115">
        <v>45085.0</v>
      </c>
      <c r="Z4" s="83" t="b">
        <v>1</v>
      </c>
      <c r="AA4" s="114">
        <v>45379.0</v>
      </c>
      <c r="AB4" s="68" t="b">
        <v>1</v>
      </c>
      <c r="AC4" s="119">
        <v>45563.0</v>
      </c>
      <c r="AD4" s="68" t="b">
        <v>1</v>
      </c>
      <c r="AE4" s="121">
        <v>45744.0</v>
      </c>
      <c r="AF4" s="68" t="b">
        <v>1</v>
      </c>
      <c r="AG4" s="119">
        <v>45922.0</v>
      </c>
      <c r="AH4" s="68" t="b">
        <v>1</v>
      </c>
      <c r="AI4" s="119"/>
      <c r="AJ4" s="68" t="b">
        <v>0</v>
      </c>
      <c r="AK4" s="119"/>
      <c r="AL4" s="68" t="b">
        <v>0</v>
      </c>
      <c r="AM4" s="68"/>
      <c r="AN4" s="68" t="b">
        <v>0</v>
      </c>
      <c r="AO4" s="68"/>
      <c r="AP4" s="68" t="b">
        <v>0</v>
      </c>
      <c r="AQ4" s="68"/>
      <c r="AR4" s="68" t="b">
        <v>0</v>
      </c>
      <c r="AS4" s="68"/>
      <c r="AT4" s="68" t="b">
        <v>0</v>
      </c>
      <c r="AU4" s="108" t="s">
        <v>58</v>
      </c>
      <c r="AV4" s="110"/>
    </row>
    <row r="5" ht="33.0" hidden="1" customHeight="1">
      <c r="A5" s="58">
        <f t="shared" si="1"/>
        <v>0</v>
      </c>
      <c r="B5" s="72" t="s">
        <v>59</v>
      </c>
      <c r="C5" s="126">
        <v>12.48</v>
      </c>
      <c r="D5" s="127" t="s">
        <v>47</v>
      </c>
      <c r="E5" s="126"/>
      <c r="F5" s="126" t="s">
        <v>49</v>
      </c>
      <c r="G5" s="79" t="s">
        <v>55</v>
      </c>
      <c r="H5" s="82" t="b">
        <v>1</v>
      </c>
      <c r="I5" s="85">
        <v>46185.0</v>
      </c>
      <c r="J5" s="82" t="b">
        <v>0</v>
      </c>
      <c r="K5" s="89"/>
      <c r="L5" s="62" t="s">
        <v>67</v>
      </c>
      <c r="M5" s="91" t="s">
        <v>68</v>
      </c>
      <c r="N5" s="94" t="s">
        <v>72</v>
      </c>
      <c r="O5" s="95"/>
      <c r="P5" s="97"/>
      <c r="Q5" s="100"/>
      <c r="R5" s="102">
        <v>45786.0</v>
      </c>
      <c r="S5" s="104">
        <v>45796.0</v>
      </c>
      <c r="T5" s="135" t="s">
        <v>69</v>
      </c>
      <c r="U5" s="73">
        <f t="shared" si="2"/>
        <v>4</v>
      </c>
      <c r="V5" s="75">
        <v>4.0</v>
      </c>
      <c r="W5" s="114">
        <v>45246.0</v>
      </c>
      <c r="X5" s="68" t="b">
        <v>1</v>
      </c>
      <c r="Y5" s="115">
        <v>45422.0</v>
      </c>
      <c r="Z5" s="83" t="b">
        <v>1</v>
      </c>
      <c r="AA5" s="115">
        <v>45618.0</v>
      </c>
      <c r="AB5" s="83" t="b">
        <v>1</v>
      </c>
      <c r="AC5" s="119">
        <v>45796.0</v>
      </c>
      <c r="AD5" s="68" t="b">
        <v>1</v>
      </c>
      <c r="AE5" s="119"/>
      <c r="AF5" s="68"/>
      <c r="AG5" s="119"/>
      <c r="AH5" s="68"/>
      <c r="AI5" s="119"/>
      <c r="AJ5" s="68"/>
      <c r="AK5" s="119"/>
      <c r="AL5" s="68"/>
      <c r="AM5" s="68"/>
      <c r="AN5" s="68"/>
      <c r="AO5" s="68"/>
      <c r="AP5" s="68"/>
      <c r="AQ5" s="68"/>
      <c r="AR5" s="68"/>
      <c r="AS5" s="68"/>
      <c r="AT5" s="68"/>
      <c r="AU5" s="108"/>
      <c r="AV5" s="120"/>
    </row>
    <row r="6" ht="22.5" hidden="1" customHeight="1">
      <c r="A6" s="58">
        <f t="shared" si="1"/>
        <v>0</v>
      </c>
      <c r="B6" s="138" t="s">
        <v>61</v>
      </c>
      <c r="C6" s="67">
        <v>12.4</v>
      </c>
      <c r="D6" s="140" t="s">
        <v>48</v>
      </c>
      <c r="E6" s="67"/>
      <c r="F6" s="67"/>
      <c r="G6" s="79" t="s">
        <v>84</v>
      </c>
      <c r="H6" s="82" t="b">
        <v>1</v>
      </c>
      <c r="I6" s="85">
        <v>45828.0</v>
      </c>
      <c r="J6" s="82" t="b">
        <v>0</v>
      </c>
      <c r="K6" s="89"/>
      <c r="L6" s="62" t="s">
        <v>74</v>
      </c>
      <c r="M6" s="91" t="s">
        <v>75</v>
      </c>
      <c r="N6" s="94" t="s">
        <v>85</v>
      </c>
      <c r="O6" s="95"/>
      <c r="P6" s="97"/>
      <c r="Q6" s="100"/>
      <c r="R6" s="102">
        <v>45786.0</v>
      </c>
      <c r="S6" s="104">
        <v>45796.0</v>
      </c>
      <c r="T6" s="135" t="s">
        <v>69</v>
      </c>
      <c r="U6" s="73">
        <f t="shared" si="2"/>
        <v>4</v>
      </c>
      <c r="V6" s="75">
        <v>4.0</v>
      </c>
      <c r="W6" s="114">
        <v>45211.0</v>
      </c>
      <c r="X6" s="83" t="b">
        <v>1</v>
      </c>
      <c r="Y6" s="115">
        <v>45422.0</v>
      </c>
      <c r="Z6" s="83" t="b">
        <v>1</v>
      </c>
      <c r="AA6" s="115">
        <v>45618.0</v>
      </c>
      <c r="AB6" s="83" t="b">
        <v>1</v>
      </c>
      <c r="AC6" s="119">
        <v>45796.0</v>
      </c>
      <c r="AD6" s="68" t="b">
        <v>1</v>
      </c>
      <c r="AE6" s="119"/>
      <c r="AF6" s="68"/>
      <c r="AG6" s="119"/>
      <c r="AH6" s="68"/>
      <c r="AI6" s="119"/>
      <c r="AJ6" s="68"/>
      <c r="AK6" s="119"/>
      <c r="AL6" s="68"/>
      <c r="AM6" s="68"/>
      <c r="AN6" s="68"/>
      <c r="AO6" s="68"/>
      <c r="AP6" s="68"/>
      <c r="AQ6" s="68"/>
      <c r="AR6" s="68"/>
      <c r="AS6" s="68"/>
      <c r="AT6" s="68"/>
      <c r="AU6" s="108"/>
      <c r="AV6" s="110"/>
    </row>
    <row r="7" ht="22.5" hidden="1" customHeight="1">
      <c r="A7" s="58">
        <f t="shared" si="1"/>
        <v>0</v>
      </c>
      <c r="B7" s="62" t="s">
        <v>89</v>
      </c>
      <c r="C7" s="67">
        <v>62.7</v>
      </c>
      <c r="D7" s="67" t="s">
        <v>77</v>
      </c>
      <c r="E7" s="67" t="s">
        <v>90</v>
      </c>
      <c r="F7" s="147"/>
      <c r="G7" s="79" t="s">
        <v>84</v>
      </c>
      <c r="H7" s="82" t="b">
        <v>0</v>
      </c>
      <c r="I7" s="148"/>
      <c r="J7" s="82" t="b">
        <v>0</v>
      </c>
      <c r="K7" s="149"/>
      <c r="L7" s="147"/>
      <c r="M7" s="150"/>
      <c r="N7" s="151"/>
      <c r="O7" s="152"/>
      <c r="P7" s="154">
        <v>45962.0</v>
      </c>
      <c r="Q7" s="155"/>
      <c r="R7" s="156">
        <v>46691.0</v>
      </c>
      <c r="S7" s="158">
        <v>46167.0</v>
      </c>
      <c r="T7" s="160"/>
      <c r="U7" s="73">
        <f t="shared" si="2"/>
        <v>2</v>
      </c>
      <c r="V7" s="161">
        <v>4.0</v>
      </c>
      <c r="W7" s="162">
        <v>45983.0</v>
      </c>
      <c r="X7" s="83" t="b">
        <v>1</v>
      </c>
      <c r="Y7" s="163">
        <v>46167.0</v>
      </c>
      <c r="Z7" s="83" t="b">
        <v>1</v>
      </c>
      <c r="AA7" s="163">
        <v>46354.0</v>
      </c>
      <c r="AB7" s="83" t="b">
        <v>0</v>
      </c>
      <c r="AC7" s="163">
        <v>46529.0</v>
      </c>
      <c r="AD7" s="68" t="b">
        <v>0</v>
      </c>
      <c r="AE7" s="166"/>
      <c r="AF7" s="167"/>
      <c r="AG7" s="166"/>
      <c r="AH7" s="167"/>
      <c r="AI7" s="166"/>
      <c r="AJ7" s="167"/>
      <c r="AK7" s="166"/>
      <c r="AL7" s="167"/>
      <c r="AM7" s="167"/>
      <c r="AN7" s="167"/>
      <c r="AO7" s="167"/>
      <c r="AP7" s="167"/>
      <c r="AQ7" s="168"/>
      <c r="AR7" s="168"/>
      <c r="AS7" s="168"/>
      <c r="AT7" s="168"/>
      <c r="AU7" s="169"/>
      <c r="AV7" s="110"/>
    </row>
    <row r="8" ht="22.5" customHeight="1">
      <c r="A8" s="58">
        <f t="shared" si="1"/>
        <v>1</v>
      </c>
      <c r="B8" s="170" t="s">
        <v>64</v>
      </c>
      <c r="C8" s="67">
        <v>12.48</v>
      </c>
      <c r="D8" s="67" t="s">
        <v>77</v>
      </c>
      <c r="E8" s="67"/>
      <c r="F8" s="67"/>
      <c r="G8" s="79" t="s">
        <v>105</v>
      </c>
      <c r="H8" s="82" t="b">
        <v>1</v>
      </c>
      <c r="I8" s="172">
        <v>46180.0</v>
      </c>
      <c r="J8" s="82" t="b">
        <v>0</v>
      </c>
      <c r="K8" s="89"/>
      <c r="L8" s="62" t="s">
        <v>78</v>
      </c>
      <c r="M8" s="91" t="s">
        <v>79</v>
      </c>
      <c r="N8" s="94"/>
      <c r="O8" s="95" t="s">
        <v>80</v>
      </c>
      <c r="P8" s="97"/>
      <c r="Q8" s="100"/>
      <c r="R8" s="102">
        <v>45926.0</v>
      </c>
      <c r="S8" s="174">
        <v>45924.0</v>
      </c>
      <c r="T8" s="175" t="s">
        <v>83</v>
      </c>
      <c r="U8" s="73">
        <f t="shared" si="2"/>
        <v>4</v>
      </c>
      <c r="V8" s="75">
        <v>4.0</v>
      </c>
      <c r="W8" s="114">
        <v>45380.0</v>
      </c>
      <c r="X8" s="83" t="b">
        <v>1</v>
      </c>
      <c r="Y8" s="115">
        <v>45566.0</v>
      </c>
      <c r="Z8" s="83" t="b">
        <v>1</v>
      </c>
      <c r="AA8" s="115">
        <v>45677.0</v>
      </c>
      <c r="AB8" s="83" t="b">
        <v>1</v>
      </c>
      <c r="AC8" s="119">
        <v>45924.0</v>
      </c>
      <c r="AD8" s="68" t="b">
        <v>1</v>
      </c>
      <c r="AE8" s="119"/>
      <c r="AF8" s="68"/>
      <c r="AG8" s="119"/>
      <c r="AH8" s="68"/>
      <c r="AI8" s="119"/>
      <c r="AJ8" s="68"/>
      <c r="AK8" s="119"/>
      <c r="AL8" s="68"/>
      <c r="AM8" s="68"/>
      <c r="AN8" s="68"/>
      <c r="AO8" s="68"/>
      <c r="AP8" s="68"/>
      <c r="AQ8" s="68"/>
      <c r="AR8" s="68"/>
      <c r="AS8" s="68"/>
      <c r="AT8" s="68"/>
      <c r="AU8" s="108"/>
      <c r="AV8" s="110"/>
    </row>
    <row r="9" ht="22.5" customHeight="1">
      <c r="A9" s="58">
        <f t="shared" si="1"/>
        <v>2</v>
      </c>
      <c r="B9" s="170" t="s">
        <v>70</v>
      </c>
      <c r="C9" s="67">
        <v>12.48</v>
      </c>
      <c r="D9" s="67" t="s">
        <v>77</v>
      </c>
      <c r="E9" s="176"/>
      <c r="F9" s="67"/>
      <c r="G9" s="79" t="s">
        <v>105</v>
      </c>
      <c r="H9" s="82" t="b">
        <v>1</v>
      </c>
      <c r="I9" s="172">
        <v>46180.0</v>
      </c>
      <c r="J9" s="82" t="b">
        <v>0</v>
      </c>
      <c r="K9" s="89"/>
      <c r="L9" s="62" t="s">
        <v>78</v>
      </c>
      <c r="M9" s="91" t="s">
        <v>79</v>
      </c>
      <c r="N9" s="178"/>
      <c r="O9" s="95" t="s">
        <v>86</v>
      </c>
      <c r="P9" s="97"/>
      <c r="Q9" s="100"/>
      <c r="R9" s="102">
        <v>45926.0</v>
      </c>
      <c r="S9" s="174">
        <v>45924.0</v>
      </c>
      <c r="T9" s="175" t="s">
        <v>83</v>
      </c>
      <c r="U9" s="73">
        <f t="shared" si="2"/>
        <v>4</v>
      </c>
      <c r="V9" s="75">
        <v>4.0</v>
      </c>
      <c r="W9" s="114">
        <v>45380.0</v>
      </c>
      <c r="X9" s="83" t="b">
        <v>1</v>
      </c>
      <c r="Y9" s="115">
        <v>45566.0</v>
      </c>
      <c r="Z9" s="83" t="b">
        <v>1</v>
      </c>
      <c r="AA9" s="115">
        <v>45677.0</v>
      </c>
      <c r="AB9" s="83" t="b">
        <v>1</v>
      </c>
      <c r="AC9" s="119">
        <v>45924.0</v>
      </c>
      <c r="AD9" s="68" t="b">
        <v>1</v>
      </c>
      <c r="AE9" s="182"/>
      <c r="AF9" s="79"/>
      <c r="AG9" s="182"/>
      <c r="AH9" s="79"/>
      <c r="AI9" s="182"/>
      <c r="AJ9" s="79"/>
      <c r="AK9" s="119"/>
      <c r="AL9" s="68"/>
      <c r="AM9" s="68"/>
      <c r="AN9" s="68"/>
      <c r="AO9" s="68"/>
      <c r="AP9" s="68"/>
      <c r="AQ9" s="68"/>
      <c r="AR9" s="68"/>
      <c r="AS9" s="68"/>
      <c r="AT9" s="68"/>
      <c r="AU9" s="108"/>
      <c r="AV9" s="110"/>
    </row>
    <row r="10" ht="22.5" hidden="1" customHeight="1">
      <c r="A10" s="58">
        <f t="shared" si="1"/>
        <v>2</v>
      </c>
      <c r="B10" s="186" t="s">
        <v>119</v>
      </c>
      <c r="C10" s="188">
        <v>17.2</v>
      </c>
      <c r="D10" s="67" t="s">
        <v>95</v>
      </c>
      <c r="E10" s="67" t="s">
        <v>96</v>
      </c>
      <c r="F10" s="147"/>
      <c r="G10" s="79" t="s">
        <v>84</v>
      </c>
      <c r="H10" s="82" t="b">
        <v>0</v>
      </c>
      <c r="I10" s="148"/>
      <c r="J10" s="82" t="b">
        <v>0</v>
      </c>
      <c r="K10" s="149"/>
      <c r="L10" s="147"/>
      <c r="M10" s="150"/>
      <c r="N10" s="151"/>
      <c r="O10" s="152"/>
      <c r="P10" s="154">
        <v>45894.0</v>
      </c>
      <c r="Q10" s="155"/>
      <c r="R10" s="190"/>
      <c r="S10" s="192"/>
      <c r="T10" s="160"/>
      <c r="U10" s="73">
        <f t="shared" si="2"/>
        <v>1</v>
      </c>
      <c r="V10" s="75">
        <v>4.0</v>
      </c>
      <c r="W10" s="195">
        <v>46262.0</v>
      </c>
      <c r="X10" s="68" t="b">
        <v>1</v>
      </c>
      <c r="Y10" s="196">
        <v>46437.0</v>
      </c>
      <c r="Z10" s="197" t="b">
        <v>0</v>
      </c>
      <c r="AA10" s="198">
        <v>46619.0</v>
      </c>
      <c r="AB10" s="197" t="b">
        <v>0</v>
      </c>
      <c r="AC10" s="198"/>
      <c r="AD10" s="200" t="b">
        <v>0</v>
      </c>
      <c r="AE10" s="166"/>
      <c r="AF10" s="167"/>
      <c r="AG10" s="166"/>
      <c r="AH10" s="167"/>
      <c r="AI10" s="166"/>
      <c r="AJ10" s="167"/>
      <c r="AK10" s="166"/>
      <c r="AL10" s="167"/>
      <c r="AM10" s="167"/>
      <c r="AN10" s="167"/>
      <c r="AO10" s="167"/>
      <c r="AP10" s="167"/>
      <c r="AQ10" s="168"/>
      <c r="AR10" s="168"/>
      <c r="AS10" s="168"/>
      <c r="AT10" s="168"/>
      <c r="AU10" s="169"/>
      <c r="AV10" s="145" t="s">
        <v>87</v>
      </c>
    </row>
    <row r="11" ht="22.5" hidden="1" customHeight="1">
      <c r="A11" s="58">
        <v>7.0</v>
      </c>
      <c r="B11" s="201" t="s">
        <v>129</v>
      </c>
      <c r="C11" s="203">
        <v>3.6</v>
      </c>
      <c r="D11" s="203" t="s">
        <v>131</v>
      </c>
      <c r="E11" s="204"/>
      <c r="F11" s="204"/>
      <c r="G11" s="209" t="s">
        <v>84</v>
      </c>
      <c r="H11" s="82" t="b">
        <v>1</v>
      </c>
      <c r="I11" s="212">
        <v>45955.0</v>
      </c>
      <c r="J11" s="82" t="b">
        <v>0</v>
      </c>
      <c r="K11" s="89"/>
      <c r="L11" s="113" t="s">
        <v>140</v>
      </c>
      <c r="M11" s="219" t="s">
        <v>141</v>
      </c>
      <c r="N11" s="221" t="s">
        <v>142</v>
      </c>
      <c r="O11" s="95"/>
      <c r="P11" s="97"/>
      <c r="Q11" s="100"/>
      <c r="R11" s="222">
        <v>45889.0</v>
      </c>
      <c r="S11" s="224">
        <v>45716.0</v>
      </c>
      <c r="T11" s="175" t="s">
        <v>146</v>
      </c>
      <c r="U11" s="73">
        <f t="shared" si="2"/>
        <v>6</v>
      </c>
      <c r="V11" s="75">
        <v>6.0</v>
      </c>
      <c r="W11" s="227">
        <v>44881.0</v>
      </c>
      <c r="X11" s="83" t="b">
        <v>1</v>
      </c>
      <c r="Y11" s="115">
        <v>45037.0</v>
      </c>
      <c r="Z11" s="83" t="b">
        <v>1</v>
      </c>
      <c r="AA11" s="115">
        <v>45272.0</v>
      </c>
      <c r="AB11" s="68" t="b">
        <v>1</v>
      </c>
      <c r="AC11" s="229">
        <v>45463.0</v>
      </c>
      <c r="AD11" s="68" t="b">
        <v>1</v>
      </c>
      <c r="AE11" s="115">
        <v>45716.0</v>
      </c>
      <c r="AF11" s="68" t="b">
        <v>1</v>
      </c>
      <c r="AG11" s="230">
        <v>46185.0</v>
      </c>
      <c r="AH11" s="68" t="b">
        <v>1</v>
      </c>
      <c r="AI11" s="115">
        <v>46363.0</v>
      </c>
      <c r="AJ11" s="137" t="b">
        <v>0</v>
      </c>
      <c r="AK11" s="119"/>
      <c r="AL11" s="137" t="b">
        <v>0</v>
      </c>
      <c r="AM11" s="143"/>
      <c r="AN11" s="143"/>
      <c r="AO11" s="143"/>
      <c r="AP11" s="143"/>
      <c r="AQ11" s="68"/>
      <c r="AR11" s="68"/>
      <c r="AS11" s="68"/>
      <c r="AT11" s="68"/>
      <c r="AU11" s="108" t="s">
        <v>159</v>
      </c>
      <c r="AV11" s="110"/>
    </row>
    <row r="12" ht="22.5" customHeight="1">
      <c r="A12" s="58">
        <f t="shared" ref="A12:A14" si="3">SUBTOTAL(3,$B$4:B12)</f>
        <v>3</v>
      </c>
      <c r="B12" s="72" t="s">
        <v>71</v>
      </c>
      <c r="C12" s="67">
        <v>10.0</v>
      </c>
      <c r="D12" s="67" t="s">
        <v>95</v>
      </c>
      <c r="E12" s="67" t="s">
        <v>96</v>
      </c>
      <c r="F12" s="67"/>
      <c r="G12" s="79" t="s">
        <v>105</v>
      </c>
      <c r="H12" s="82" t="b">
        <v>0</v>
      </c>
      <c r="I12" s="85"/>
      <c r="J12" s="82" t="b">
        <v>0</v>
      </c>
      <c r="K12" s="89"/>
      <c r="L12" s="62" t="s">
        <v>98</v>
      </c>
      <c r="M12" s="91">
        <v>6.32100007E8</v>
      </c>
      <c r="N12" s="94"/>
      <c r="O12" s="95"/>
      <c r="P12" s="97"/>
      <c r="Q12" s="100"/>
      <c r="R12" s="102">
        <v>45954.0</v>
      </c>
      <c r="S12" s="104">
        <v>46034.0</v>
      </c>
      <c r="T12" s="105"/>
      <c r="U12" s="73">
        <f t="shared" si="2"/>
        <v>4</v>
      </c>
      <c r="V12" s="75">
        <v>4.0</v>
      </c>
      <c r="W12" s="243">
        <v>45548.0</v>
      </c>
      <c r="X12" s="68" t="b">
        <v>1</v>
      </c>
      <c r="Y12" s="115">
        <v>45589.0</v>
      </c>
      <c r="Z12" s="83" t="b">
        <v>1</v>
      </c>
      <c r="AA12" s="115">
        <v>45771.0</v>
      </c>
      <c r="AB12" s="68" t="b">
        <v>1</v>
      </c>
      <c r="AC12" s="119">
        <v>46034.0</v>
      </c>
      <c r="AD12" s="137" t="b">
        <v>1</v>
      </c>
      <c r="AE12" s="119">
        <v>46255.0</v>
      </c>
      <c r="AF12" s="197" t="b">
        <v>0</v>
      </c>
      <c r="AG12" s="198">
        <v>46437.0</v>
      </c>
      <c r="AH12" s="197" t="b">
        <v>0</v>
      </c>
      <c r="AI12" s="198">
        <v>46619.0</v>
      </c>
      <c r="AJ12" s="200" t="b">
        <v>0</v>
      </c>
      <c r="AK12" s="119"/>
      <c r="AL12" s="68"/>
      <c r="AM12" s="68"/>
      <c r="AN12" s="68"/>
      <c r="AO12" s="68"/>
      <c r="AP12" s="68"/>
      <c r="AQ12" s="68"/>
      <c r="AR12" s="68"/>
      <c r="AS12" s="68"/>
      <c r="AT12" s="68"/>
      <c r="AU12" s="108"/>
      <c r="AV12" s="165" t="s">
        <v>99</v>
      </c>
    </row>
    <row r="13" ht="22.5" hidden="1" customHeight="1">
      <c r="A13" s="58">
        <f t="shared" si="3"/>
        <v>3</v>
      </c>
      <c r="B13" s="62" t="s">
        <v>170</v>
      </c>
      <c r="C13" s="67">
        <v>5.0</v>
      </c>
      <c r="D13" s="67" t="s">
        <v>95</v>
      </c>
      <c r="E13" s="176" t="s">
        <v>96</v>
      </c>
      <c r="F13" s="67"/>
      <c r="G13" s="79" t="s">
        <v>84</v>
      </c>
      <c r="H13" s="82" t="b">
        <v>0</v>
      </c>
      <c r="I13" s="148"/>
      <c r="J13" s="82" t="b">
        <v>0</v>
      </c>
      <c r="K13" s="149"/>
      <c r="L13" s="147"/>
      <c r="M13" s="248"/>
      <c r="N13" s="250"/>
      <c r="P13" s="154">
        <v>45944.0</v>
      </c>
      <c r="Q13" s="155"/>
      <c r="R13" s="156">
        <v>46673.0</v>
      </c>
      <c r="S13" s="251">
        <v>46032.0</v>
      </c>
      <c r="T13" s="160"/>
      <c r="U13" s="73">
        <f t="shared" si="2"/>
        <v>1</v>
      </c>
      <c r="V13" s="161">
        <v>4.0</v>
      </c>
      <c r="W13" s="252">
        <v>46034.0</v>
      </c>
      <c r="X13" s="68" t="b">
        <v>1</v>
      </c>
      <c r="Y13" s="119">
        <v>46255.0</v>
      </c>
      <c r="Z13" s="254" t="b">
        <v>0</v>
      </c>
      <c r="AA13" s="198">
        <v>46437.0</v>
      </c>
      <c r="AB13" s="197" t="b">
        <v>0</v>
      </c>
      <c r="AC13" s="198">
        <v>46619.0</v>
      </c>
      <c r="AD13" s="200" t="b">
        <v>0</v>
      </c>
      <c r="AE13" s="256"/>
      <c r="AF13" s="256"/>
      <c r="AG13" s="256"/>
      <c r="AH13" s="256"/>
      <c r="AI13" s="256"/>
      <c r="AJ13" s="256"/>
      <c r="AK13" s="256"/>
      <c r="AL13" s="256"/>
      <c r="AM13" s="167"/>
      <c r="AN13" s="167"/>
      <c r="AO13" s="167"/>
      <c r="AP13" s="167"/>
      <c r="AQ13" s="168"/>
      <c r="AR13" s="168"/>
      <c r="AS13" s="168"/>
      <c r="AT13" s="168"/>
      <c r="AU13" s="169"/>
      <c r="AV13" s="173" t="s">
        <v>107</v>
      </c>
    </row>
    <row r="14" ht="22.5" hidden="1" customHeight="1">
      <c r="A14" s="58">
        <f t="shared" si="3"/>
        <v>3</v>
      </c>
      <c r="B14" s="62" t="s">
        <v>184</v>
      </c>
      <c r="C14" s="67">
        <v>5.0</v>
      </c>
      <c r="D14" s="67" t="s">
        <v>95</v>
      </c>
      <c r="E14" s="67" t="s">
        <v>96</v>
      </c>
      <c r="F14" s="147"/>
      <c r="G14" s="79" t="s">
        <v>84</v>
      </c>
      <c r="H14" s="82" t="b">
        <v>0</v>
      </c>
      <c r="I14" s="148"/>
      <c r="J14" s="82" t="b">
        <v>0</v>
      </c>
      <c r="K14" s="149"/>
      <c r="L14" s="147"/>
      <c r="N14" s="151"/>
      <c r="O14" s="152"/>
      <c r="P14" s="154">
        <v>45944.0</v>
      </c>
      <c r="Q14" s="155"/>
      <c r="R14" s="156">
        <v>46673.0</v>
      </c>
      <c r="S14" s="251">
        <v>46032.0</v>
      </c>
      <c r="T14" s="160"/>
      <c r="U14" s="73">
        <f t="shared" si="2"/>
        <v>1</v>
      </c>
      <c r="V14" s="161">
        <v>4.0</v>
      </c>
      <c r="W14" s="162">
        <v>46034.0</v>
      </c>
      <c r="X14" s="68" t="b">
        <v>1</v>
      </c>
      <c r="Y14" s="119">
        <v>46255.0</v>
      </c>
      <c r="Z14" s="254" t="b">
        <v>0</v>
      </c>
      <c r="AA14" s="198">
        <v>46437.0</v>
      </c>
      <c r="AB14" s="197" t="b">
        <v>0</v>
      </c>
      <c r="AC14" s="198">
        <v>46619.0</v>
      </c>
      <c r="AD14" s="200" t="b">
        <v>0</v>
      </c>
      <c r="AE14" s="166"/>
      <c r="AF14" s="167"/>
      <c r="AG14" s="166"/>
      <c r="AH14" s="167"/>
      <c r="AI14" s="166"/>
      <c r="AJ14" s="167"/>
      <c r="AK14" s="166"/>
      <c r="AL14" s="167"/>
      <c r="AM14" s="167"/>
      <c r="AN14" s="167"/>
      <c r="AO14" s="167"/>
      <c r="AP14" s="167"/>
      <c r="AQ14" s="168"/>
      <c r="AR14" s="168"/>
      <c r="AS14" s="168"/>
      <c r="AT14" s="168"/>
      <c r="AU14" s="169"/>
      <c r="AV14" s="173" t="s">
        <v>115</v>
      </c>
    </row>
    <row r="15" ht="22.5" hidden="1" customHeight="1">
      <c r="A15" s="58">
        <v>10.0</v>
      </c>
      <c r="B15" s="62" t="s">
        <v>192</v>
      </c>
      <c r="C15" s="67">
        <v>10.56</v>
      </c>
      <c r="D15" s="67"/>
      <c r="E15" s="67"/>
      <c r="F15" s="147"/>
      <c r="G15" s="79" t="s">
        <v>84</v>
      </c>
      <c r="H15" s="82" t="b">
        <v>0</v>
      </c>
      <c r="I15" s="148"/>
      <c r="J15" s="82" t="b">
        <v>0</v>
      </c>
      <c r="K15" s="149"/>
      <c r="L15" s="147"/>
      <c r="M15" s="150"/>
      <c r="P15" s="154">
        <v>46059.0</v>
      </c>
      <c r="Q15" s="155"/>
      <c r="R15" s="270">
        <v>46724.0</v>
      </c>
      <c r="S15" s="192"/>
      <c r="T15" s="160"/>
      <c r="U15" s="73">
        <f t="shared" si="2"/>
        <v>0</v>
      </c>
      <c r="V15" s="161">
        <v>4.0</v>
      </c>
      <c r="W15" s="162">
        <v>46178.0</v>
      </c>
      <c r="X15" s="83" t="b">
        <v>0</v>
      </c>
      <c r="Y15" s="163">
        <v>46360.0</v>
      </c>
      <c r="Z15" s="68" t="b">
        <v>0</v>
      </c>
      <c r="AA15" s="163">
        <v>46542.0</v>
      </c>
      <c r="AB15" s="68" t="b">
        <v>0</v>
      </c>
      <c r="AC15" s="163">
        <v>46724.0</v>
      </c>
      <c r="AD15" s="68" t="b">
        <v>0</v>
      </c>
      <c r="AE15" s="275"/>
      <c r="AF15" s="276"/>
      <c r="AG15" s="166"/>
      <c r="AH15" s="167"/>
      <c r="AI15" s="166"/>
      <c r="AJ15" s="167"/>
      <c r="AK15" s="166"/>
      <c r="AL15" s="167"/>
      <c r="AM15" s="275"/>
      <c r="AN15" s="276"/>
      <c r="AO15" s="166"/>
      <c r="AP15" s="167"/>
      <c r="AQ15" s="280"/>
      <c r="AR15" s="168"/>
      <c r="AS15" s="168"/>
      <c r="AT15" s="168"/>
      <c r="AU15" s="169"/>
      <c r="AV15" s="194"/>
    </row>
    <row r="16" ht="22.5" hidden="1" customHeight="1">
      <c r="A16" s="58">
        <v>10.0</v>
      </c>
      <c r="B16" s="62" t="s">
        <v>203</v>
      </c>
      <c r="C16" s="67">
        <v>9.12</v>
      </c>
      <c r="D16" s="67"/>
      <c r="E16" s="67"/>
      <c r="F16" s="147"/>
      <c r="G16" s="79" t="s">
        <v>84</v>
      </c>
      <c r="H16" s="82" t="b">
        <v>0</v>
      </c>
      <c r="I16" s="148"/>
      <c r="J16" s="82" t="b">
        <v>0</v>
      </c>
      <c r="K16" s="149"/>
      <c r="L16" s="147"/>
      <c r="M16" s="150"/>
      <c r="P16" s="154">
        <v>46076.0</v>
      </c>
      <c r="Q16" s="155"/>
      <c r="R16" s="270">
        <v>46711.0</v>
      </c>
      <c r="S16" s="192"/>
      <c r="T16" s="160"/>
      <c r="U16" s="73">
        <f t="shared" si="2"/>
        <v>1</v>
      </c>
      <c r="V16" s="161">
        <v>4.0</v>
      </c>
      <c r="W16" s="284">
        <v>46185.0</v>
      </c>
      <c r="X16" s="83" t="b">
        <v>1</v>
      </c>
      <c r="Y16" s="287">
        <v>46352.0</v>
      </c>
      <c r="Z16" s="200" t="b">
        <v>0</v>
      </c>
      <c r="AA16" s="163">
        <v>46527.0</v>
      </c>
      <c r="AB16" s="68" t="b">
        <v>0</v>
      </c>
      <c r="AC16" s="163">
        <v>46711.0</v>
      </c>
      <c r="AD16" s="68" t="b">
        <v>0</v>
      </c>
      <c r="AE16" s="275"/>
      <c r="AF16" s="276"/>
      <c r="AG16" s="166"/>
      <c r="AH16" s="167"/>
      <c r="AI16" s="166"/>
      <c r="AJ16" s="167"/>
      <c r="AK16" s="166"/>
      <c r="AL16" s="167"/>
      <c r="AM16" s="275"/>
      <c r="AN16" s="276"/>
      <c r="AO16" s="166"/>
      <c r="AP16" s="167"/>
      <c r="AQ16" s="168"/>
      <c r="AR16" s="168"/>
      <c r="AS16" s="168"/>
      <c r="AT16" s="168"/>
      <c r="AU16" s="169"/>
      <c r="AV16" s="173" t="s">
        <v>127</v>
      </c>
    </row>
    <row r="17" ht="22.5" hidden="1" customHeight="1">
      <c r="A17" s="58">
        <f t="shared" ref="A17:A63" si="4">SUBTOTAL(3,$B$4:B17)</f>
        <v>3</v>
      </c>
      <c r="B17" s="62" t="s">
        <v>212</v>
      </c>
      <c r="C17" s="67">
        <v>6.0</v>
      </c>
      <c r="D17" s="67" t="s">
        <v>213</v>
      </c>
      <c r="E17" s="67" t="s">
        <v>96</v>
      </c>
      <c r="F17" s="147"/>
      <c r="G17" s="79" t="s">
        <v>84</v>
      </c>
      <c r="H17" s="82" t="b">
        <v>0</v>
      </c>
      <c r="I17" s="148"/>
      <c r="J17" s="82" t="b">
        <v>0</v>
      </c>
      <c r="K17" s="149"/>
      <c r="L17" s="147"/>
      <c r="M17" s="150"/>
      <c r="N17" s="151"/>
      <c r="O17" s="292" t="s">
        <v>219</v>
      </c>
      <c r="P17" s="154">
        <v>46190.0</v>
      </c>
      <c r="Q17" s="155"/>
      <c r="R17" s="156">
        <v>46920.0</v>
      </c>
      <c r="S17" s="192"/>
      <c r="T17" s="160"/>
      <c r="U17" s="73">
        <f t="shared" si="2"/>
        <v>0</v>
      </c>
      <c r="V17" s="161">
        <v>4.0</v>
      </c>
      <c r="W17" s="294">
        <v>46303.0</v>
      </c>
      <c r="X17" s="296" t="b">
        <v>0</v>
      </c>
      <c r="Y17" s="299">
        <v>46485.0</v>
      </c>
      <c r="Z17" s="296" t="b">
        <v>0</v>
      </c>
      <c r="AA17" s="299">
        <v>46309.0</v>
      </c>
      <c r="AB17" s="296" t="b">
        <v>0</v>
      </c>
      <c r="AC17" s="303">
        <v>46490.0</v>
      </c>
      <c r="AD17" s="68" t="b">
        <v>0</v>
      </c>
      <c r="AE17" s="166"/>
      <c r="AF17" s="167"/>
      <c r="AG17" s="166"/>
      <c r="AH17" s="167"/>
      <c r="AI17" s="166"/>
      <c r="AJ17" s="167"/>
      <c r="AK17" s="166"/>
      <c r="AL17" s="167"/>
      <c r="AM17" s="167"/>
      <c r="AN17" s="167"/>
      <c r="AO17" s="167"/>
      <c r="AP17" s="167"/>
      <c r="AQ17" s="168"/>
      <c r="AR17" s="168"/>
      <c r="AS17" s="168"/>
      <c r="AT17" s="168"/>
      <c r="AU17" s="169"/>
      <c r="AV17" s="218" t="s">
        <v>139</v>
      </c>
    </row>
    <row r="18" ht="21.75" hidden="1" customHeight="1">
      <c r="A18" s="33">
        <f t="shared" si="4"/>
        <v>3</v>
      </c>
      <c r="B18" s="308" t="s">
        <v>230</v>
      </c>
      <c r="C18" s="176">
        <v>46.92</v>
      </c>
      <c r="D18" s="176" t="s">
        <v>213</v>
      </c>
      <c r="E18" s="176" t="s">
        <v>96</v>
      </c>
      <c r="G18" s="33" t="s">
        <v>84</v>
      </c>
      <c r="H18" s="82" t="b">
        <v>0</v>
      </c>
      <c r="I18" s="148"/>
      <c r="J18" s="82" t="b">
        <v>0</v>
      </c>
      <c r="K18" s="310"/>
      <c r="O18" s="311" t="s">
        <v>219</v>
      </c>
      <c r="P18" s="314">
        <v>46164.0</v>
      </c>
      <c r="Q18" s="315"/>
      <c r="R18" s="316">
        <v>46894.0</v>
      </c>
      <c r="S18" s="192"/>
      <c r="U18" s="317">
        <f t="shared" si="2"/>
        <v>0</v>
      </c>
      <c r="V18" s="318">
        <v>4.0</v>
      </c>
      <c r="W18" s="319">
        <v>46303.0</v>
      </c>
      <c r="X18" s="320" t="b">
        <v>0</v>
      </c>
      <c r="Y18" s="319">
        <v>46485.0</v>
      </c>
      <c r="Z18" s="320" t="b">
        <v>0</v>
      </c>
      <c r="AA18" s="319">
        <v>46309.0</v>
      </c>
      <c r="AB18" s="320" t="b">
        <v>0</v>
      </c>
      <c r="AC18" s="319">
        <v>46490.0</v>
      </c>
      <c r="AD18" s="33" t="b">
        <v>0</v>
      </c>
      <c r="AE18" s="322"/>
      <c r="AF18" s="322"/>
      <c r="AG18" s="322"/>
      <c r="AH18" s="322"/>
      <c r="AI18" s="322"/>
      <c r="AJ18" s="322"/>
      <c r="AK18" s="322"/>
      <c r="AL18" s="322"/>
      <c r="AM18" s="322"/>
      <c r="AN18" s="322"/>
      <c r="AO18" s="322"/>
      <c r="AP18" s="322"/>
    </row>
    <row r="19" ht="22.5" hidden="1" customHeight="1">
      <c r="A19" s="58">
        <f t="shared" si="4"/>
        <v>3</v>
      </c>
      <c r="B19" s="62" t="s">
        <v>81</v>
      </c>
      <c r="C19" s="67"/>
      <c r="D19" s="67" t="s">
        <v>101</v>
      </c>
      <c r="E19" s="67"/>
      <c r="F19" s="67"/>
      <c r="G19" s="79" t="s">
        <v>243</v>
      </c>
      <c r="H19" s="82" t="b">
        <v>0</v>
      </c>
      <c r="I19" s="85"/>
      <c r="J19" s="82" t="b">
        <v>0</v>
      </c>
      <c r="K19" s="89"/>
      <c r="L19" s="62" t="s">
        <v>102</v>
      </c>
      <c r="M19" s="91" t="s">
        <v>103</v>
      </c>
      <c r="N19" s="94" t="s">
        <v>244</v>
      </c>
      <c r="O19" s="95"/>
      <c r="P19" s="97"/>
      <c r="Q19" s="100"/>
      <c r="R19" s="102">
        <v>45945.0</v>
      </c>
      <c r="S19" s="104">
        <v>45948.0</v>
      </c>
      <c r="T19" s="175" t="s">
        <v>104</v>
      </c>
      <c r="U19" s="73">
        <f t="shared" si="2"/>
        <v>3</v>
      </c>
      <c r="V19" s="75">
        <v>4.0</v>
      </c>
      <c r="W19" s="114">
        <v>45492.0</v>
      </c>
      <c r="X19" s="68" t="b">
        <v>1</v>
      </c>
      <c r="Y19" s="115">
        <v>45705.0</v>
      </c>
      <c r="Z19" s="68" t="b">
        <v>1</v>
      </c>
      <c r="AA19" s="119">
        <v>45887.0</v>
      </c>
      <c r="AB19" s="68" t="b">
        <v>1</v>
      </c>
      <c r="AC19" s="119">
        <v>46105.0</v>
      </c>
      <c r="AD19" s="137" t="b">
        <v>0</v>
      </c>
      <c r="AE19" s="119"/>
      <c r="AF19" s="68"/>
      <c r="AG19" s="119"/>
      <c r="AH19" s="68"/>
      <c r="AI19" s="119"/>
      <c r="AJ19" s="68"/>
      <c r="AK19" s="119"/>
      <c r="AL19" s="68"/>
      <c r="AM19" s="68"/>
      <c r="AN19" s="68"/>
      <c r="AO19" s="68"/>
      <c r="AP19" s="68"/>
      <c r="AQ19" s="68"/>
      <c r="AR19" s="68"/>
      <c r="AS19" s="68"/>
      <c r="AT19" s="68"/>
      <c r="AU19" s="108"/>
      <c r="AV19" s="110"/>
    </row>
    <row r="20" ht="22.5" hidden="1" customHeight="1">
      <c r="A20" s="58">
        <f t="shared" si="4"/>
        <v>3</v>
      </c>
      <c r="B20" s="62" t="s">
        <v>248</v>
      </c>
      <c r="C20" s="67">
        <v>12.0</v>
      </c>
      <c r="D20" s="67" t="s">
        <v>249</v>
      </c>
      <c r="E20" s="67" t="s">
        <v>250</v>
      </c>
      <c r="F20" s="147"/>
      <c r="G20" s="79" t="s">
        <v>84</v>
      </c>
      <c r="H20" s="82" t="b">
        <v>0</v>
      </c>
      <c r="I20" s="148"/>
      <c r="J20" s="82" t="b">
        <v>0</v>
      </c>
      <c r="K20" s="149"/>
      <c r="L20" s="147"/>
      <c r="M20" s="150"/>
      <c r="N20" s="151"/>
      <c r="O20" s="152"/>
      <c r="P20" s="154">
        <v>46008.0</v>
      </c>
      <c r="Q20" s="155"/>
      <c r="R20" s="156">
        <v>46737.0</v>
      </c>
      <c r="S20" s="192"/>
      <c r="T20" s="160"/>
      <c r="U20" s="73">
        <f t="shared" si="2"/>
        <v>1</v>
      </c>
      <c r="V20" s="161">
        <v>4.0</v>
      </c>
      <c r="W20" s="328">
        <v>46234.0</v>
      </c>
      <c r="X20" s="296" t="b">
        <v>1</v>
      </c>
      <c r="Y20" s="330">
        <v>46377.0</v>
      </c>
      <c r="Z20" s="296" t="b">
        <v>0</v>
      </c>
      <c r="AA20" s="328">
        <v>46559.0</v>
      </c>
      <c r="AB20" s="296" t="b">
        <v>0</v>
      </c>
      <c r="AC20" s="330">
        <v>46741.0</v>
      </c>
      <c r="AD20" s="68" t="b">
        <v>0</v>
      </c>
      <c r="AE20" s="166"/>
      <c r="AF20" s="167"/>
      <c r="AG20" s="166"/>
      <c r="AH20" s="167"/>
      <c r="AI20" s="166"/>
      <c r="AJ20" s="167"/>
      <c r="AK20" s="166"/>
      <c r="AL20" s="167"/>
      <c r="AM20" s="167"/>
      <c r="AN20" s="167"/>
      <c r="AO20" s="167"/>
      <c r="AP20" s="167"/>
      <c r="AQ20" s="168"/>
      <c r="AR20" s="168"/>
      <c r="AS20" s="168"/>
      <c r="AT20" s="168"/>
      <c r="AU20" s="169"/>
      <c r="AV20" s="120"/>
    </row>
    <row r="21" ht="22.5" hidden="1" customHeight="1">
      <c r="A21" s="58">
        <f t="shared" si="4"/>
        <v>3</v>
      </c>
      <c r="B21" s="62" t="s">
        <v>259</v>
      </c>
      <c r="C21" s="67">
        <v>11.22</v>
      </c>
      <c r="D21" s="67"/>
      <c r="E21" s="67"/>
      <c r="F21" s="147"/>
      <c r="G21" s="79" t="s">
        <v>84</v>
      </c>
      <c r="H21" s="82" t="b">
        <v>0</v>
      </c>
      <c r="I21" s="148"/>
      <c r="J21" s="82" t="b">
        <v>0</v>
      </c>
      <c r="K21" s="149"/>
      <c r="L21" s="147"/>
      <c r="M21" s="150"/>
      <c r="N21" s="151"/>
      <c r="O21" s="152"/>
      <c r="P21" s="154">
        <v>46079.0</v>
      </c>
      <c r="Q21" s="155"/>
      <c r="R21" s="156">
        <v>46808.0</v>
      </c>
      <c r="S21" s="192"/>
      <c r="T21" s="160"/>
      <c r="U21" s="73">
        <f t="shared" si="2"/>
        <v>1</v>
      </c>
      <c r="V21" s="161">
        <v>4.0</v>
      </c>
      <c r="W21" s="328">
        <v>46262.0</v>
      </c>
      <c r="X21" s="68" t="b">
        <v>1</v>
      </c>
      <c r="Y21" s="330">
        <v>46444.0</v>
      </c>
      <c r="Z21" s="296" t="b">
        <v>0</v>
      </c>
      <c r="AA21" s="328">
        <v>46626.0</v>
      </c>
      <c r="AB21" s="296" t="b">
        <v>0</v>
      </c>
      <c r="AC21" s="330">
        <v>46808.0</v>
      </c>
      <c r="AD21" s="68" t="b">
        <v>0</v>
      </c>
      <c r="AE21" s="166"/>
      <c r="AF21" s="167"/>
      <c r="AG21" s="166"/>
      <c r="AH21" s="167"/>
      <c r="AI21" s="166"/>
      <c r="AJ21" s="167"/>
      <c r="AK21" s="166"/>
      <c r="AL21" s="167"/>
      <c r="AM21" s="167"/>
      <c r="AN21" s="167"/>
      <c r="AO21" s="167"/>
      <c r="AP21" s="167"/>
      <c r="AQ21" s="168"/>
      <c r="AR21" s="168"/>
      <c r="AS21" s="168"/>
      <c r="AT21" s="168"/>
      <c r="AU21" s="169"/>
      <c r="AV21" s="120"/>
    </row>
    <row r="22" ht="22.5" hidden="1" customHeight="1">
      <c r="A22" s="58">
        <f t="shared" si="4"/>
        <v>3</v>
      </c>
      <c r="B22" s="201" t="s">
        <v>91</v>
      </c>
      <c r="C22" s="67">
        <v>20.16</v>
      </c>
      <c r="D22" s="67" t="s">
        <v>111</v>
      </c>
      <c r="E22" s="67" t="s">
        <v>112</v>
      </c>
      <c r="F22" s="67"/>
      <c r="G22" s="79" t="s">
        <v>84</v>
      </c>
      <c r="H22" s="82" t="b">
        <v>0</v>
      </c>
      <c r="I22" s="85"/>
      <c r="J22" s="82" t="b">
        <v>0</v>
      </c>
      <c r="K22" s="89"/>
      <c r="L22" s="62" t="s">
        <v>114</v>
      </c>
      <c r="M22" s="91"/>
      <c r="N22" s="333" t="s">
        <v>124</v>
      </c>
      <c r="O22" s="95"/>
      <c r="P22" s="97">
        <v>45250.0</v>
      </c>
      <c r="Q22" s="100"/>
      <c r="R22" s="102">
        <v>45875.0</v>
      </c>
      <c r="S22" s="104">
        <v>46235.0</v>
      </c>
      <c r="T22" s="175" t="s">
        <v>125</v>
      </c>
      <c r="U22" s="73">
        <f t="shared" si="2"/>
        <v>5</v>
      </c>
      <c r="V22" s="75">
        <v>6.0</v>
      </c>
      <c r="W22" s="114">
        <v>45327.0</v>
      </c>
      <c r="X22" s="68" t="b">
        <v>1</v>
      </c>
      <c r="Y22" s="115">
        <v>45534.0</v>
      </c>
      <c r="Z22" s="68" t="b">
        <v>1</v>
      </c>
      <c r="AA22" s="115">
        <v>45695.0</v>
      </c>
      <c r="AB22" s="68" t="b">
        <v>1</v>
      </c>
      <c r="AC22" s="196">
        <v>45870.0</v>
      </c>
      <c r="AD22" s="137" t="b">
        <v>1</v>
      </c>
      <c r="AE22" s="119">
        <v>46188.0</v>
      </c>
      <c r="AF22" s="137" t="b">
        <v>1</v>
      </c>
      <c r="AG22" s="163">
        <v>46377.0</v>
      </c>
      <c r="AH22" s="137" t="b">
        <v>0</v>
      </c>
      <c r="AI22" s="119"/>
      <c r="AJ22" s="68"/>
      <c r="AK22" s="119"/>
      <c r="AL22" s="68"/>
      <c r="AM22" s="68"/>
      <c r="AN22" s="68"/>
      <c r="AO22" s="68"/>
      <c r="AP22" s="68"/>
      <c r="AQ22" s="68"/>
      <c r="AR22" s="68"/>
      <c r="AS22" s="68"/>
      <c r="AT22" s="68"/>
      <c r="AU22" s="108"/>
      <c r="AV22" s="145" t="s">
        <v>165</v>
      </c>
    </row>
    <row r="23" ht="22.5" hidden="1" customHeight="1">
      <c r="A23" s="58">
        <f t="shared" si="4"/>
        <v>3</v>
      </c>
      <c r="B23" s="338" t="s">
        <v>97</v>
      </c>
      <c r="C23" s="67">
        <v>12.48</v>
      </c>
      <c r="D23" s="67" t="s">
        <v>111</v>
      </c>
      <c r="E23" s="67" t="s">
        <v>112</v>
      </c>
      <c r="F23" s="176"/>
      <c r="G23" s="79" t="s">
        <v>84</v>
      </c>
      <c r="H23" s="82" t="b">
        <v>1</v>
      </c>
      <c r="I23" s="85">
        <v>46014.0</v>
      </c>
      <c r="J23" s="82" t="b">
        <v>1</v>
      </c>
      <c r="K23" s="89">
        <v>46014.0</v>
      </c>
      <c r="L23" s="62" t="s">
        <v>132</v>
      </c>
      <c r="M23" s="341" t="s">
        <v>134</v>
      </c>
      <c r="N23" s="333" t="s">
        <v>135</v>
      </c>
      <c r="O23" s="95"/>
      <c r="P23" s="97">
        <v>45107.0</v>
      </c>
      <c r="Q23" s="100">
        <v>46014.0</v>
      </c>
      <c r="R23" s="102">
        <v>46605.0</v>
      </c>
      <c r="S23" s="104">
        <v>46066.0</v>
      </c>
      <c r="T23" s="175" t="s">
        <v>125</v>
      </c>
      <c r="U23" s="73">
        <f t="shared" si="2"/>
        <v>6</v>
      </c>
      <c r="V23" s="75">
        <v>8.0</v>
      </c>
      <c r="W23" s="343">
        <v>45327.0</v>
      </c>
      <c r="X23" s="68" t="b">
        <v>1</v>
      </c>
      <c r="Y23" s="343">
        <v>45534.0</v>
      </c>
      <c r="Z23" s="68" t="b">
        <v>1</v>
      </c>
      <c r="AA23" s="343">
        <v>45695.0</v>
      </c>
      <c r="AB23" s="68" t="b">
        <v>1</v>
      </c>
      <c r="AC23" s="182">
        <v>45870.0</v>
      </c>
      <c r="AD23" s="68" t="b">
        <v>1</v>
      </c>
      <c r="AE23" s="119">
        <v>46066.0</v>
      </c>
      <c r="AF23" s="137" t="b">
        <v>1</v>
      </c>
      <c r="AG23" s="119">
        <v>46242.0</v>
      </c>
      <c r="AH23" s="137" t="b">
        <v>1</v>
      </c>
      <c r="AI23" s="119">
        <v>46423.0</v>
      </c>
      <c r="AJ23" s="137" t="b">
        <v>0</v>
      </c>
      <c r="AK23" s="119">
        <v>46605.0</v>
      </c>
      <c r="AL23" s="137" t="b">
        <v>0</v>
      </c>
      <c r="AM23" s="68"/>
      <c r="AN23" s="68"/>
      <c r="AO23" s="68"/>
      <c r="AP23" s="68"/>
      <c r="AQ23" s="68"/>
      <c r="AR23" s="68"/>
      <c r="AS23" s="68"/>
      <c r="AT23" s="68"/>
      <c r="AU23" s="108"/>
      <c r="AV23" s="110"/>
    </row>
    <row r="24" ht="22.5" hidden="1" customHeight="1">
      <c r="A24" s="58">
        <f t="shared" si="4"/>
        <v>3</v>
      </c>
      <c r="B24" s="347" t="s">
        <v>100</v>
      </c>
      <c r="C24" s="67">
        <v>12.48</v>
      </c>
      <c r="D24" s="67" t="s">
        <v>111</v>
      </c>
      <c r="E24" s="67" t="s">
        <v>112</v>
      </c>
      <c r="F24" s="67"/>
      <c r="G24" s="79" t="s">
        <v>84</v>
      </c>
      <c r="H24" s="82" t="b">
        <v>1</v>
      </c>
      <c r="I24" s="85">
        <v>46014.0</v>
      </c>
      <c r="J24" s="82" t="b">
        <v>1</v>
      </c>
      <c r="K24" s="89">
        <v>46078.0</v>
      </c>
      <c r="L24" s="62" t="s">
        <v>144</v>
      </c>
      <c r="M24" s="91">
        <v>8.72818006E8</v>
      </c>
      <c r="N24" s="333" t="s">
        <v>145</v>
      </c>
      <c r="O24" s="95"/>
      <c r="P24" s="97">
        <v>45149.0</v>
      </c>
      <c r="Q24" s="100"/>
      <c r="R24" s="102">
        <v>45828.0</v>
      </c>
      <c r="S24" s="104">
        <v>45870.0</v>
      </c>
      <c r="T24" s="175" t="s">
        <v>125</v>
      </c>
      <c r="U24" s="73">
        <f t="shared" si="2"/>
        <v>5</v>
      </c>
      <c r="V24" s="75">
        <v>4.0</v>
      </c>
      <c r="W24" s="343">
        <v>45302.0</v>
      </c>
      <c r="X24" s="68" t="b">
        <v>1</v>
      </c>
      <c r="Y24" s="343">
        <v>45534.0</v>
      </c>
      <c r="Z24" s="68" t="b">
        <v>1</v>
      </c>
      <c r="AA24" s="343">
        <v>45695.0</v>
      </c>
      <c r="AB24" s="68" t="b">
        <v>1</v>
      </c>
      <c r="AC24" s="182">
        <v>45870.0</v>
      </c>
      <c r="AD24" s="68" t="b">
        <v>1</v>
      </c>
      <c r="AE24" s="303">
        <v>46188.0</v>
      </c>
      <c r="AF24" s="296" t="b">
        <v>1</v>
      </c>
      <c r="AG24" s="303">
        <v>46377.0</v>
      </c>
      <c r="AH24" s="296" t="b">
        <v>0</v>
      </c>
      <c r="AI24" s="303">
        <v>46559.0</v>
      </c>
      <c r="AJ24" s="296" t="b">
        <v>0</v>
      </c>
      <c r="AK24" s="303">
        <v>46741.0</v>
      </c>
      <c r="AL24" s="68" t="b">
        <v>0</v>
      </c>
      <c r="AM24" s="68"/>
      <c r="AN24" s="68"/>
      <c r="AO24" s="68"/>
      <c r="AP24" s="68"/>
      <c r="AQ24" s="68"/>
      <c r="AR24" s="68"/>
      <c r="AS24" s="68"/>
      <c r="AT24" s="68"/>
      <c r="AU24" s="108"/>
      <c r="AV24" s="110"/>
    </row>
    <row r="25" ht="22.5" hidden="1" customHeight="1">
      <c r="A25" s="350">
        <f t="shared" si="4"/>
        <v>3</v>
      </c>
      <c r="B25" s="72" t="s">
        <v>298</v>
      </c>
      <c r="C25" s="67">
        <v>12.48</v>
      </c>
      <c r="D25" s="67" t="s">
        <v>111</v>
      </c>
      <c r="E25" s="67" t="s">
        <v>112</v>
      </c>
      <c r="F25" s="67"/>
      <c r="G25" s="79" t="s">
        <v>55</v>
      </c>
      <c r="H25" s="82" t="b">
        <v>1</v>
      </c>
      <c r="I25" s="85">
        <v>46014.0</v>
      </c>
      <c r="J25" s="82" t="b">
        <v>0</v>
      </c>
      <c r="K25" s="89"/>
      <c r="L25" s="62" t="s">
        <v>300</v>
      </c>
      <c r="M25" s="352" t="s">
        <v>301</v>
      </c>
      <c r="N25" s="333"/>
      <c r="O25" s="95"/>
      <c r="P25" s="97">
        <v>45482.0</v>
      </c>
      <c r="Q25" s="100"/>
      <c r="R25" s="102">
        <v>45875.0</v>
      </c>
      <c r="S25" s="104">
        <v>45870.0</v>
      </c>
      <c r="T25" s="175" t="s">
        <v>125</v>
      </c>
      <c r="U25" s="73">
        <f t="shared" si="2"/>
        <v>4</v>
      </c>
      <c r="V25" s="75">
        <v>4.0</v>
      </c>
      <c r="W25" s="343">
        <v>45337.0</v>
      </c>
      <c r="X25" s="259" t="b">
        <v>1</v>
      </c>
      <c r="Y25" s="115">
        <v>45534.0</v>
      </c>
      <c r="Z25" s="83" t="b">
        <v>1</v>
      </c>
      <c r="AA25" s="115">
        <v>45695.0</v>
      </c>
      <c r="AB25" s="259" t="b">
        <v>1</v>
      </c>
      <c r="AC25" s="119">
        <v>45870.0</v>
      </c>
      <c r="AD25" s="137" t="b">
        <v>1</v>
      </c>
      <c r="AE25" s="119"/>
      <c r="AF25" s="68"/>
      <c r="AG25" s="119"/>
      <c r="AH25" s="68"/>
      <c r="AI25" s="119"/>
      <c r="AJ25" s="68"/>
      <c r="AK25" s="119"/>
      <c r="AL25" s="68"/>
      <c r="AM25" s="68"/>
      <c r="AN25" s="68"/>
      <c r="AO25" s="68"/>
      <c r="AP25" s="68"/>
      <c r="AQ25" s="68"/>
      <c r="AR25" s="68"/>
      <c r="AS25" s="68"/>
      <c r="AT25" s="68"/>
      <c r="AU25" s="108"/>
      <c r="AV25" s="173" t="s">
        <v>186</v>
      </c>
    </row>
    <row r="26" ht="22.5" hidden="1" customHeight="1">
      <c r="A26" s="58">
        <f t="shared" si="4"/>
        <v>3</v>
      </c>
      <c r="B26" s="202" t="s">
        <v>314</v>
      </c>
      <c r="C26" s="354">
        <v>16.32</v>
      </c>
      <c r="D26" s="354" t="s">
        <v>307</v>
      </c>
      <c r="E26" s="354" t="s">
        <v>315</v>
      </c>
      <c r="F26" s="356"/>
      <c r="G26" s="79" t="s">
        <v>84</v>
      </c>
      <c r="H26" s="82" t="b">
        <v>0</v>
      </c>
      <c r="I26" s="359"/>
      <c r="J26" s="82" t="b">
        <v>0</v>
      </c>
      <c r="K26" s="361"/>
      <c r="L26" s="363"/>
      <c r="M26" s="365"/>
      <c r="N26" s="367"/>
      <c r="O26" s="369"/>
      <c r="P26" s="370">
        <v>45813.0</v>
      </c>
      <c r="Q26" s="371"/>
      <c r="R26" s="372">
        <v>46542.0</v>
      </c>
      <c r="S26" s="373">
        <v>46034.0</v>
      </c>
      <c r="T26" s="374"/>
      <c r="U26" s="73">
        <f t="shared" si="2"/>
        <v>2</v>
      </c>
      <c r="V26" s="75">
        <v>4.0</v>
      </c>
      <c r="W26" s="375">
        <v>46034.0</v>
      </c>
      <c r="X26" s="68" t="b">
        <v>1</v>
      </c>
      <c r="Y26" s="376">
        <v>46188.0</v>
      </c>
      <c r="Z26" s="68" t="b">
        <v>1</v>
      </c>
      <c r="AA26" s="376">
        <v>46377.0</v>
      </c>
      <c r="AB26" s="197" t="b">
        <v>0</v>
      </c>
      <c r="AC26" s="287">
        <v>46559.0</v>
      </c>
      <c r="AD26" s="200" t="b">
        <v>0</v>
      </c>
      <c r="AE26" s="378"/>
      <c r="AF26" s="379"/>
      <c r="AG26" s="378"/>
      <c r="AH26" s="379"/>
      <c r="AI26" s="378"/>
      <c r="AJ26" s="379"/>
      <c r="AK26" s="378"/>
      <c r="AL26" s="379"/>
      <c r="AM26" s="379"/>
      <c r="AN26" s="379"/>
      <c r="AO26" s="379"/>
      <c r="AP26" s="379"/>
      <c r="AQ26" s="68"/>
      <c r="AR26" s="68"/>
      <c r="AS26" s="68"/>
      <c r="AT26" s="68"/>
      <c r="AU26" s="216"/>
      <c r="AV26" s="267" t="s">
        <v>196</v>
      </c>
    </row>
    <row r="27" ht="30.0" hidden="1" customHeight="1">
      <c r="A27" s="58">
        <f t="shared" si="4"/>
        <v>3</v>
      </c>
      <c r="B27" s="177" t="s">
        <v>116</v>
      </c>
      <c r="C27" s="385"/>
      <c r="D27" s="385" t="s">
        <v>334</v>
      </c>
      <c r="E27" s="387"/>
      <c r="F27" s="391"/>
      <c r="G27" s="79" t="s">
        <v>243</v>
      </c>
      <c r="H27" s="82" t="b">
        <v>0</v>
      </c>
      <c r="I27" s="393"/>
      <c r="J27" s="82" t="b">
        <v>0</v>
      </c>
      <c r="K27" s="395"/>
      <c r="L27" s="396" t="s">
        <v>340</v>
      </c>
      <c r="M27" s="398" t="s">
        <v>341</v>
      </c>
      <c r="N27" s="400" t="s">
        <v>343</v>
      </c>
      <c r="O27" s="402" t="s">
        <v>344</v>
      </c>
      <c r="P27" s="370">
        <v>45700.0</v>
      </c>
      <c r="Q27" s="404"/>
      <c r="R27" s="406">
        <v>46429.0</v>
      </c>
      <c r="S27" s="408">
        <v>46038.0</v>
      </c>
      <c r="T27" s="409" t="s">
        <v>348</v>
      </c>
      <c r="U27" s="73">
        <f t="shared" si="2"/>
        <v>3</v>
      </c>
      <c r="V27" s="75">
        <v>10.0</v>
      </c>
      <c r="W27" s="284">
        <v>45841.0</v>
      </c>
      <c r="X27" s="83" t="b">
        <v>1</v>
      </c>
      <c r="Y27" s="411">
        <v>46038.0</v>
      </c>
      <c r="Z27" s="83" t="b">
        <v>1</v>
      </c>
      <c r="AA27" s="411">
        <v>46241.0</v>
      </c>
      <c r="AB27" s="83" t="b">
        <v>1</v>
      </c>
      <c r="AC27" s="287">
        <v>46394.0</v>
      </c>
      <c r="AD27" s="213" t="b">
        <v>0</v>
      </c>
      <c r="AE27" s="411">
        <v>46569.0</v>
      </c>
      <c r="AF27" s="412" t="b">
        <v>0</v>
      </c>
      <c r="AG27" s="411">
        <v>46758.0</v>
      </c>
      <c r="AH27" s="68" t="b">
        <v>0</v>
      </c>
      <c r="AI27" s="411">
        <v>46940.0</v>
      </c>
      <c r="AJ27" s="197" t="b">
        <v>0</v>
      </c>
      <c r="AK27" s="287">
        <v>47122.0</v>
      </c>
      <c r="AL27" s="213" t="b">
        <v>0</v>
      </c>
      <c r="AM27" s="414">
        <v>229925.0</v>
      </c>
      <c r="AN27" s="412" t="b">
        <v>0</v>
      </c>
      <c r="AO27" s="414">
        <v>230107.0</v>
      </c>
      <c r="AP27" s="68" t="b">
        <v>0</v>
      </c>
      <c r="AQ27" s="415"/>
      <c r="AR27" s="189"/>
      <c r="AS27" s="189"/>
      <c r="AT27" s="189"/>
      <c r="AU27" s="191"/>
      <c r="AV27" s="194"/>
    </row>
    <row r="28" ht="22.5" hidden="1" customHeight="1">
      <c r="A28" s="58">
        <f t="shared" si="4"/>
        <v>3</v>
      </c>
      <c r="B28" s="177" t="s">
        <v>126</v>
      </c>
      <c r="C28" s="385"/>
      <c r="D28" s="385" t="s">
        <v>334</v>
      </c>
      <c r="E28" s="387"/>
      <c r="F28" s="391"/>
      <c r="G28" s="79" t="s">
        <v>243</v>
      </c>
      <c r="H28" s="82" t="b">
        <v>0</v>
      </c>
      <c r="I28" s="393"/>
      <c r="J28" s="82" t="b">
        <v>0</v>
      </c>
      <c r="K28" s="395"/>
      <c r="L28" s="396" t="s">
        <v>340</v>
      </c>
      <c r="M28" s="398" t="s">
        <v>341</v>
      </c>
      <c r="N28" s="400" t="s">
        <v>343</v>
      </c>
      <c r="O28" s="402" t="s">
        <v>344</v>
      </c>
      <c r="P28" s="370">
        <v>45700.0</v>
      </c>
      <c r="Q28" s="404"/>
      <c r="R28" s="406">
        <v>46429.0</v>
      </c>
      <c r="S28" s="408">
        <v>46038.0</v>
      </c>
      <c r="T28" s="409" t="s">
        <v>348</v>
      </c>
      <c r="U28" s="73">
        <f t="shared" si="2"/>
        <v>3</v>
      </c>
      <c r="V28" s="75">
        <v>10.0</v>
      </c>
      <c r="W28" s="284">
        <v>45841.0</v>
      </c>
      <c r="X28" s="68" t="b">
        <v>1</v>
      </c>
      <c r="Y28" s="411">
        <v>46038.0</v>
      </c>
      <c r="Z28" s="68" t="b">
        <v>1</v>
      </c>
      <c r="AA28" s="411">
        <v>46241.0</v>
      </c>
      <c r="AB28" s="68" t="b">
        <v>1</v>
      </c>
      <c r="AC28" s="287">
        <v>46394.0</v>
      </c>
      <c r="AD28" s="213" t="b">
        <v>0</v>
      </c>
      <c r="AE28" s="411">
        <v>46569.0</v>
      </c>
      <c r="AF28" s="412" t="b">
        <v>0</v>
      </c>
      <c r="AG28" s="411">
        <v>46758.0</v>
      </c>
      <c r="AH28" s="68" t="b">
        <v>0</v>
      </c>
      <c r="AI28" s="411">
        <v>46940.0</v>
      </c>
      <c r="AJ28" s="197" t="b">
        <v>0</v>
      </c>
      <c r="AK28" s="287">
        <v>47122.0</v>
      </c>
      <c r="AL28" s="213" t="b">
        <v>0</v>
      </c>
      <c r="AM28" s="414">
        <v>229925.0</v>
      </c>
      <c r="AN28" s="412" t="b">
        <v>0</v>
      </c>
      <c r="AO28" s="414">
        <v>230107.0</v>
      </c>
      <c r="AP28" s="68" t="b">
        <v>0</v>
      </c>
      <c r="AQ28" s="189"/>
      <c r="AR28" s="189"/>
      <c r="AS28" s="189"/>
      <c r="AT28" s="189"/>
      <c r="AU28" s="191"/>
      <c r="AV28" s="173"/>
    </row>
    <row r="29" ht="22.5" hidden="1" customHeight="1">
      <c r="A29" s="58">
        <f t="shared" si="4"/>
        <v>3</v>
      </c>
      <c r="B29" s="72" t="s">
        <v>154</v>
      </c>
      <c r="C29" s="67">
        <v>20.08</v>
      </c>
      <c r="D29" s="67" t="s">
        <v>155</v>
      </c>
      <c r="E29" s="67" t="s">
        <v>156</v>
      </c>
      <c r="F29" s="67"/>
      <c r="G29" s="79" t="s">
        <v>55</v>
      </c>
      <c r="H29" s="82" t="b">
        <v>1</v>
      </c>
      <c r="I29" s="85">
        <v>46014.0</v>
      </c>
      <c r="J29" s="82" t="b">
        <v>0</v>
      </c>
      <c r="K29" s="89"/>
      <c r="L29" s="62" t="s">
        <v>157</v>
      </c>
      <c r="M29" s="91">
        <v>8.48485273E8</v>
      </c>
      <c r="N29" s="423"/>
      <c r="O29" s="424" t="s">
        <v>185</v>
      </c>
      <c r="P29" s="97">
        <v>45250.0</v>
      </c>
      <c r="Q29" s="100"/>
      <c r="R29" s="102">
        <v>45916.0</v>
      </c>
      <c r="S29" s="408">
        <v>45918.0</v>
      </c>
      <c r="T29" s="135" t="s">
        <v>162</v>
      </c>
      <c r="U29" s="73">
        <f t="shared" si="2"/>
        <v>4</v>
      </c>
      <c r="V29" s="75">
        <v>4.0</v>
      </c>
      <c r="W29" s="114">
        <v>45381.0</v>
      </c>
      <c r="X29" s="83" t="b">
        <v>1</v>
      </c>
      <c r="Y29" s="115">
        <v>45582.0</v>
      </c>
      <c r="Z29" s="83" t="b">
        <v>1</v>
      </c>
      <c r="AA29" s="115">
        <v>45734.0</v>
      </c>
      <c r="AB29" s="83" t="b">
        <v>1</v>
      </c>
      <c r="AC29" s="119">
        <v>45918.0</v>
      </c>
      <c r="AD29" s="68" t="b">
        <v>1</v>
      </c>
      <c r="AE29" s="119"/>
      <c r="AF29" s="68"/>
      <c r="AG29" s="119"/>
      <c r="AH29" s="68"/>
      <c r="AI29" s="119"/>
      <c r="AJ29" s="68"/>
      <c r="AK29" s="119"/>
      <c r="AL29" s="68"/>
      <c r="AM29" s="68"/>
      <c r="AN29" s="68"/>
      <c r="AO29" s="68"/>
      <c r="AP29" s="68"/>
      <c r="AQ29" s="68"/>
      <c r="AR29" s="68"/>
      <c r="AS29" s="68"/>
      <c r="AT29" s="68"/>
      <c r="AU29" s="108"/>
      <c r="AV29" s="110"/>
    </row>
    <row r="30" ht="22.5" customHeight="1">
      <c r="A30" s="58">
        <f t="shared" si="4"/>
        <v>4</v>
      </c>
      <c r="B30" s="425" t="s">
        <v>130</v>
      </c>
      <c r="C30" s="426">
        <v>32.6</v>
      </c>
      <c r="D30" s="426" t="s">
        <v>373</v>
      </c>
      <c r="E30" s="426" t="s">
        <v>156</v>
      </c>
      <c r="F30" s="428"/>
      <c r="G30" s="79" t="s">
        <v>105</v>
      </c>
      <c r="H30" s="82" t="b">
        <v>0</v>
      </c>
      <c r="I30" s="429"/>
      <c r="J30" s="82" t="b">
        <v>0</v>
      </c>
      <c r="K30" s="430"/>
      <c r="L30" s="431" t="s">
        <v>378</v>
      </c>
      <c r="M30" s="432" t="s">
        <v>379</v>
      </c>
      <c r="N30" s="434"/>
      <c r="O30" s="435"/>
      <c r="P30" s="97">
        <v>45492.0</v>
      </c>
      <c r="Q30" s="371"/>
      <c r="R30" s="102">
        <v>46098.0</v>
      </c>
      <c r="S30" s="408">
        <v>45918.0</v>
      </c>
      <c r="T30" s="436" t="s">
        <v>162</v>
      </c>
      <c r="U30" s="73">
        <f t="shared" si="2"/>
        <v>4</v>
      </c>
      <c r="V30" s="75">
        <v>4.0</v>
      </c>
      <c r="W30" s="343">
        <v>45582.0</v>
      </c>
      <c r="X30" s="83" t="b">
        <v>1</v>
      </c>
      <c r="Y30" s="343">
        <v>45734.0</v>
      </c>
      <c r="Z30" s="83" t="b">
        <v>1</v>
      </c>
      <c r="AA30" s="182">
        <v>45918.0</v>
      </c>
      <c r="AB30" s="83" t="b">
        <v>1</v>
      </c>
      <c r="AC30" s="438">
        <v>46098.0</v>
      </c>
      <c r="AD30" s="213" t="b">
        <v>1</v>
      </c>
      <c r="AE30" s="378"/>
      <c r="AF30" s="379"/>
      <c r="AG30" s="378"/>
      <c r="AH30" s="379"/>
      <c r="AI30" s="378"/>
      <c r="AJ30" s="379"/>
      <c r="AK30" s="378"/>
      <c r="AL30" s="379"/>
      <c r="AM30" s="441"/>
      <c r="AN30" s="379"/>
      <c r="AO30" s="441"/>
      <c r="AP30" s="379"/>
      <c r="AQ30" s="443"/>
      <c r="AR30" s="215"/>
      <c r="AS30" s="443"/>
      <c r="AT30" s="215"/>
      <c r="AU30" s="216"/>
      <c r="AV30" s="110"/>
    </row>
    <row r="31" ht="22.5" hidden="1" customHeight="1">
      <c r="A31" s="58">
        <f t="shared" si="4"/>
        <v>4</v>
      </c>
      <c r="B31" s="72" t="s">
        <v>147</v>
      </c>
      <c r="C31" s="67">
        <v>14.4</v>
      </c>
      <c r="D31" s="67" t="s">
        <v>155</v>
      </c>
      <c r="E31" s="67" t="s">
        <v>156</v>
      </c>
      <c r="F31" s="67"/>
      <c r="G31" s="79" t="s">
        <v>55</v>
      </c>
      <c r="H31" s="82" t="b">
        <v>1</v>
      </c>
      <c r="I31" s="85">
        <v>46014.0</v>
      </c>
      <c r="J31" s="82" t="b">
        <v>0</v>
      </c>
      <c r="K31" s="89"/>
      <c r="L31" s="62" t="s">
        <v>157</v>
      </c>
      <c r="M31" s="91">
        <v>8.48485273E8</v>
      </c>
      <c r="N31" s="447" t="s">
        <v>158</v>
      </c>
      <c r="O31" s="424" t="s">
        <v>171</v>
      </c>
      <c r="P31" s="97">
        <v>45250.0</v>
      </c>
      <c r="Q31" s="100"/>
      <c r="R31" s="102">
        <v>45916.0</v>
      </c>
      <c r="S31" s="408">
        <v>45918.0</v>
      </c>
      <c r="T31" s="135" t="s">
        <v>162</v>
      </c>
      <c r="U31" s="73">
        <f t="shared" si="2"/>
        <v>4</v>
      </c>
      <c r="V31" s="75">
        <v>4.0</v>
      </c>
      <c r="W31" s="114">
        <v>45381.0</v>
      </c>
      <c r="X31" s="68" t="b">
        <v>1</v>
      </c>
      <c r="Y31" s="449">
        <v>45582.0</v>
      </c>
      <c r="Z31" s="83" t="b">
        <v>1</v>
      </c>
      <c r="AA31" s="449">
        <v>45734.0</v>
      </c>
      <c r="AB31" s="83" t="b">
        <v>1</v>
      </c>
      <c r="AC31" s="119">
        <v>45918.0</v>
      </c>
      <c r="AD31" s="68" t="b">
        <v>1</v>
      </c>
      <c r="AE31" s="450"/>
      <c r="AF31" s="68"/>
      <c r="AG31" s="450"/>
      <c r="AH31" s="68"/>
      <c r="AI31" s="450"/>
      <c r="AJ31" s="68"/>
      <c r="AK31" s="119"/>
      <c r="AL31" s="68"/>
      <c r="AM31" s="68"/>
      <c r="AN31" s="68"/>
      <c r="AO31" s="68"/>
      <c r="AP31" s="68"/>
      <c r="AQ31" s="68"/>
      <c r="AR31" s="68"/>
      <c r="AS31" s="68"/>
      <c r="AT31" s="68"/>
      <c r="AU31" s="108"/>
      <c r="AV31" s="110"/>
    </row>
    <row r="32" ht="22.5" hidden="1" customHeight="1">
      <c r="A32" s="58">
        <f t="shared" si="4"/>
        <v>4</v>
      </c>
      <c r="B32" s="452" t="s">
        <v>153</v>
      </c>
      <c r="C32" s="67">
        <v>14.4</v>
      </c>
      <c r="D32" s="67" t="s">
        <v>155</v>
      </c>
      <c r="E32" s="67" t="s">
        <v>156</v>
      </c>
      <c r="F32" s="67"/>
      <c r="G32" s="79" t="s">
        <v>84</v>
      </c>
      <c r="H32" s="82" t="b">
        <v>1</v>
      </c>
      <c r="I32" s="85">
        <v>46014.0</v>
      </c>
      <c r="J32" s="82" t="b">
        <v>1</v>
      </c>
      <c r="K32" s="89">
        <v>46017.0</v>
      </c>
      <c r="L32" s="62" t="s">
        <v>182</v>
      </c>
      <c r="M32" s="91" t="s">
        <v>183</v>
      </c>
      <c r="N32" s="423" t="s">
        <v>183</v>
      </c>
      <c r="O32" s="424" t="s">
        <v>185</v>
      </c>
      <c r="P32" s="97">
        <v>45250.0</v>
      </c>
      <c r="Q32" s="100"/>
      <c r="R32" s="102">
        <v>45916.0</v>
      </c>
      <c r="S32" s="408">
        <v>45918.0</v>
      </c>
      <c r="T32" s="135" t="s">
        <v>162</v>
      </c>
      <c r="U32" s="73">
        <f t="shared" si="2"/>
        <v>4</v>
      </c>
      <c r="V32" s="75">
        <v>4.0</v>
      </c>
      <c r="W32" s="114">
        <v>45381.0</v>
      </c>
      <c r="X32" s="83" t="b">
        <v>1</v>
      </c>
      <c r="Y32" s="115">
        <v>45582.0</v>
      </c>
      <c r="Z32" s="83" t="b">
        <v>1</v>
      </c>
      <c r="AA32" s="115">
        <v>45734.0</v>
      </c>
      <c r="AB32" s="83" t="b">
        <v>1</v>
      </c>
      <c r="AC32" s="119">
        <v>45918.0</v>
      </c>
      <c r="AD32" s="68" t="b">
        <v>1</v>
      </c>
      <c r="AE32" s="119"/>
      <c r="AF32" s="68"/>
      <c r="AG32" s="119"/>
      <c r="AH32" s="68"/>
      <c r="AI32" s="119"/>
      <c r="AJ32" s="68"/>
      <c r="AK32" s="119"/>
      <c r="AL32" s="68"/>
      <c r="AM32" s="68"/>
      <c r="AN32" s="68"/>
      <c r="AO32" s="68"/>
      <c r="AP32" s="68"/>
      <c r="AQ32" s="68"/>
      <c r="AR32" s="68"/>
      <c r="AS32" s="68"/>
      <c r="AT32" s="68"/>
      <c r="AU32" s="108"/>
      <c r="AV32" s="312"/>
    </row>
    <row r="33" ht="22.5" hidden="1" customHeight="1">
      <c r="A33" s="58">
        <f t="shared" si="4"/>
        <v>4</v>
      </c>
      <c r="B33" s="72" t="s">
        <v>409</v>
      </c>
      <c r="C33" s="67">
        <v>29.76</v>
      </c>
      <c r="D33" s="67" t="s">
        <v>191</v>
      </c>
      <c r="E33" s="67"/>
      <c r="F33" s="67"/>
      <c r="G33" s="79" t="s">
        <v>84</v>
      </c>
      <c r="H33" s="82" t="b">
        <v>1</v>
      </c>
      <c r="I33" s="85">
        <v>45828.0</v>
      </c>
      <c r="J33" s="82" t="b">
        <v>1</v>
      </c>
      <c r="K33" s="89">
        <v>45832.0</v>
      </c>
      <c r="L33" s="62" t="s">
        <v>193</v>
      </c>
      <c r="M33" s="91" t="s">
        <v>194</v>
      </c>
      <c r="N33" s="94" t="s">
        <v>410</v>
      </c>
      <c r="O33" s="95" t="s">
        <v>195</v>
      </c>
      <c r="P33" s="97"/>
      <c r="Q33" s="100"/>
      <c r="R33" s="102">
        <v>46604.0</v>
      </c>
      <c r="S33" s="104">
        <v>46052.0</v>
      </c>
      <c r="T33" s="175" t="s">
        <v>104</v>
      </c>
      <c r="U33" s="73">
        <f t="shared" si="2"/>
        <v>6</v>
      </c>
      <c r="V33" s="75">
        <v>8.0</v>
      </c>
      <c r="W33" s="114">
        <v>45299.0</v>
      </c>
      <c r="X33" s="68" t="b">
        <v>1</v>
      </c>
      <c r="Y33" s="115">
        <v>45492.0</v>
      </c>
      <c r="Z33" s="68" t="b">
        <v>1</v>
      </c>
      <c r="AA33" s="115">
        <v>45633.0</v>
      </c>
      <c r="AB33" s="68" t="b">
        <v>1</v>
      </c>
      <c r="AC33" s="119">
        <v>45797.0</v>
      </c>
      <c r="AD33" s="68" t="b">
        <v>1</v>
      </c>
      <c r="AE33" s="119">
        <v>46052.0</v>
      </c>
      <c r="AF33" s="137" t="b">
        <v>1</v>
      </c>
      <c r="AG33" s="119">
        <v>46252.0</v>
      </c>
      <c r="AH33" s="137" t="b">
        <v>1</v>
      </c>
      <c r="AI33" s="119">
        <v>46422.0</v>
      </c>
      <c r="AJ33" s="137" t="b">
        <v>0</v>
      </c>
      <c r="AK33" s="119">
        <v>46604.0</v>
      </c>
      <c r="AL33" s="137" t="b">
        <v>0</v>
      </c>
      <c r="AM33" s="68"/>
      <c r="AN33" s="68"/>
      <c r="AO33" s="68"/>
      <c r="AP33" s="68"/>
      <c r="AQ33" s="68"/>
      <c r="AR33" s="68"/>
      <c r="AS33" s="68"/>
      <c r="AT33" s="68"/>
      <c r="AU33" s="108"/>
      <c r="AV33" s="33"/>
    </row>
    <row r="34" ht="22.5" customHeight="1">
      <c r="A34" s="58">
        <f t="shared" si="4"/>
        <v>5</v>
      </c>
      <c r="B34" s="72" t="s">
        <v>167</v>
      </c>
      <c r="C34" s="67">
        <v>41.28</v>
      </c>
      <c r="D34" s="67" t="s">
        <v>199</v>
      </c>
      <c r="E34" s="67" t="s">
        <v>77</v>
      </c>
      <c r="F34" s="67"/>
      <c r="G34" s="79" t="s">
        <v>105</v>
      </c>
      <c r="H34" s="82" t="b">
        <v>0</v>
      </c>
      <c r="I34" s="85"/>
      <c r="J34" s="82" t="b">
        <v>0</v>
      </c>
      <c r="K34" s="89"/>
      <c r="L34" s="62" t="s">
        <v>414</v>
      </c>
      <c r="M34" s="91"/>
      <c r="N34" s="457"/>
      <c r="O34" s="458"/>
      <c r="P34" s="97"/>
      <c r="Q34" s="100"/>
      <c r="R34" s="102">
        <v>46134.0</v>
      </c>
      <c r="S34" s="174">
        <v>46134.0</v>
      </c>
      <c r="T34" s="135" t="s">
        <v>415</v>
      </c>
      <c r="U34" s="73">
        <f t="shared" si="2"/>
        <v>4</v>
      </c>
      <c r="V34" s="75">
        <v>4.0</v>
      </c>
      <c r="W34" s="114">
        <v>45588.0</v>
      </c>
      <c r="X34" s="83" t="b">
        <v>1</v>
      </c>
      <c r="Y34" s="115">
        <v>45786.0</v>
      </c>
      <c r="Z34" s="83" t="b">
        <v>1</v>
      </c>
      <c r="AA34" s="115">
        <v>45946.0</v>
      </c>
      <c r="AB34" s="83" t="b">
        <v>1</v>
      </c>
      <c r="AC34" s="115">
        <v>46134.0</v>
      </c>
      <c r="AD34" s="137" t="b">
        <v>1</v>
      </c>
      <c r="AE34" s="115"/>
      <c r="AF34" s="143"/>
      <c r="AG34" s="115"/>
      <c r="AH34" s="143"/>
      <c r="AI34" s="115"/>
      <c r="AJ34" s="143"/>
      <c r="AK34" s="115"/>
      <c r="AL34" s="143"/>
      <c r="AM34" s="143"/>
      <c r="AN34" s="143"/>
      <c r="AO34" s="143"/>
      <c r="AP34" s="143"/>
      <c r="AQ34" s="143"/>
      <c r="AR34" s="143"/>
      <c r="AS34" s="143"/>
      <c r="AT34" s="143"/>
      <c r="AU34" s="108"/>
      <c r="AV34" s="110"/>
    </row>
    <row r="35" ht="22.5" hidden="1" customHeight="1">
      <c r="A35" s="247">
        <f t="shared" si="4"/>
        <v>5</v>
      </c>
      <c r="B35" s="201" t="s">
        <v>174</v>
      </c>
      <c r="C35" s="67">
        <v>12.48</v>
      </c>
      <c r="D35" s="67" t="s">
        <v>48</v>
      </c>
      <c r="E35" s="67"/>
      <c r="F35" s="67"/>
      <c r="G35" s="79" t="s">
        <v>84</v>
      </c>
      <c r="H35" s="82" t="b">
        <v>1</v>
      </c>
      <c r="I35" s="459">
        <v>45784.0</v>
      </c>
      <c r="J35" s="82" t="b">
        <v>1</v>
      </c>
      <c r="K35" s="89">
        <v>45826.0</v>
      </c>
      <c r="L35" s="62" t="s">
        <v>206</v>
      </c>
      <c r="M35" s="91">
        <v>8.31020323E8</v>
      </c>
      <c r="N35" s="460" t="s">
        <v>421</v>
      </c>
      <c r="O35" s="461"/>
      <c r="P35" s="97"/>
      <c r="Q35" s="97">
        <v>45784.0</v>
      </c>
      <c r="R35" s="102">
        <v>46423.0</v>
      </c>
      <c r="S35" s="463">
        <v>46059.0</v>
      </c>
      <c r="T35" s="105"/>
      <c r="U35" s="73">
        <f t="shared" si="2"/>
        <v>6</v>
      </c>
      <c r="V35" s="75">
        <v>8.0</v>
      </c>
      <c r="W35" s="114">
        <v>45083.0</v>
      </c>
      <c r="X35" s="68" t="b">
        <v>1</v>
      </c>
      <c r="Y35" s="115">
        <v>45317.0</v>
      </c>
      <c r="Z35" s="68" t="b">
        <v>1</v>
      </c>
      <c r="AA35" s="115">
        <v>45456.0</v>
      </c>
      <c r="AB35" s="68" t="b">
        <v>1</v>
      </c>
      <c r="AC35" s="119">
        <v>45615.0</v>
      </c>
      <c r="AD35" s="68" t="b">
        <v>1</v>
      </c>
      <c r="AE35" s="119">
        <v>45922.0</v>
      </c>
      <c r="AF35" s="68" t="b">
        <v>1</v>
      </c>
      <c r="AG35" s="119">
        <v>46058.0</v>
      </c>
      <c r="AH35" s="68" t="b">
        <v>1</v>
      </c>
      <c r="AI35" s="119">
        <v>46241.0</v>
      </c>
      <c r="AJ35" s="68" t="b">
        <v>0</v>
      </c>
      <c r="AK35" s="119">
        <v>46423.0</v>
      </c>
      <c r="AL35" s="68" t="b">
        <v>0</v>
      </c>
      <c r="AM35" s="68"/>
      <c r="AN35" s="68"/>
      <c r="AO35" s="68"/>
      <c r="AP35" s="68"/>
      <c r="AQ35" s="68"/>
      <c r="AR35" s="68"/>
      <c r="AS35" s="68"/>
      <c r="AT35" s="68"/>
      <c r="AU35" s="253"/>
      <c r="AV35" s="173" t="s">
        <v>251</v>
      </c>
    </row>
    <row r="36" ht="22.5" hidden="1" customHeight="1">
      <c r="A36" s="58">
        <f t="shared" si="4"/>
        <v>5</v>
      </c>
      <c r="B36" s="186" t="s">
        <v>429</v>
      </c>
      <c r="C36" s="188">
        <v>31.6</v>
      </c>
      <c r="D36" s="188" t="s">
        <v>276</v>
      </c>
      <c r="E36" s="147"/>
      <c r="F36" s="147"/>
      <c r="G36" s="79" t="s">
        <v>84</v>
      </c>
      <c r="H36" s="82" t="b">
        <v>0</v>
      </c>
      <c r="I36" s="148"/>
      <c r="J36" s="82" t="b">
        <v>0</v>
      </c>
      <c r="K36" s="149"/>
      <c r="L36" s="186" t="s">
        <v>431</v>
      </c>
      <c r="M36" s="150"/>
      <c r="N36" s="151"/>
      <c r="O36" s="152"/>
      <c r="P36" s="160"/>
      <c r="Q36" s="155"/>
      <c r="R36" s="468"/>
      <c r="S36" s="151"/>
      <c r="T36" s="160"/>
      <c r="U36" s="73">
        <f t="shared" si="2"/>
        <v>0</v>
      </c>
      <c r="V36" s="75">
        <v>4.0</v>
      </c>
      <c r="W36" s="284">
        <v>46045.0</v>
      </c>
      <c r="X36" s="68" t="b">
        <v>0</v>
      </c>
      <c r="Y36" s="119">
        <v>46273.0</v>
      </c>
      <c r="Z36" s="197" t="b">
        <v>0</v>
      </c>
      <c r="AA36" s="198">
        <v>46455.0</v>
      </c>
      <c r="AB36" s="197" t="b">
        <v>0</v>
      </c>
      <c r="AC36" s="198">
        <v>46644.0</v>
      </c>
      <c r="AD36" s="200" t="b">
        <v>0</v>
      </c>
      <c r="AE36" s="166"/>
      <c r="AF36" s="167"/>
      <c r="AG36" s="166"/>
      <c r="AH36" s="167"/>
      <c r="AI36" s="166"/>
      <c r="AJ36" s="167"/>
      <c r="AK36" s="166"/>
      <c r="AL36" s="167"/>
      <c r="AM36" s="167"/>
      <c r="AN36" s="167"/>
      <c r="AO36" s="167"/>
      <c r="AP36" s="167"/>
      <c r="AQ36" s="168"/>
      <c r="AR36" s="168"/>
      <c r="AS36" s="168"/>
      <c r="AT36" s="168"/>
      <c r="AU36" s="169"/>
      <c r="AV36" s="173" t="s">
        <v>208</v>
      </c>
    </row>
    <row r="37" ht="22.5" hidden="1" customHeight="1">
      <c r="A37" s="58">
        <f t="shared" si="4"/>
        <v>5</v>
      </c>
      <c r="B37" s="452" t="s">
        <v>177</v>
      </c>
      <c r="C37" s="469">
        <v>25.2</v>
      </c>
      <c r="D37" s="469" t="s">
        <v>217</v>
      </c>
      <c r="E37" s="469" t="s">
        <v>218</v>
      </c>
      <c r="F37" s="470"/>
      <c r="G37" s="471" t="s">
        <v>84</v>
      </c>
      <c r="H37" s="82" t="b">
        <v>1</v>
      </c>
      <c r="I37" s="472">
        <v>46017.0</v>
      </c>
      <c r="J37" s="82" t="b">
        <v>1</v>
      </c>
      <c r="K37" s="474">
        <v>46382.0</v>
      </c>
      <c r="L37" s="464" t="s">
        <v>220</v>
      </c>
      <c r="M37" s="475" t="s">
        <v>221</v>
      </c>
      <c r="N37" s="94"/>
      <c r="O37" s="476" t="s">
        <v>223</v>
      </c>
      <c r="P37" s="97"/>
      <c r="Q37" s="477"/>
      <c r="R37" s="479">
        <v>46719.0</v>
      </c>
      <c r="S37" s="480">
        <v>45973.0</v>
      </c>
      <c r="T37" s="135" t="s">
        <v>227</v>
      </c>
      <c r="U37" s="257">
        <f t="shared" si="2"/>
        <v>7</v>
      </c>
      <c r="V37" s="258">
        <v>6.0</v>
      </c>
      <c r="W37" s="121">
        <v>44562.0</v>
      </c>
      <c r="X37" s="68" t="b">
        <v>1</v>
      </c>
      <c r="Y37" s="119">
        <v>45227.0</v>
      </c>
      <c r="Z37" s="68" t="b">
        <v>1</v>
      </c>
      <c r="AA37" s="115">
        <v>45352.0</v>
      </c>
      <c r="AB37" s="68" t="b">
        <v>1</v>
      </c>
      <c r="AC37" s="115">
        <v>45628.0</v>
      </c>
      <c r="AD37" s="68" t="b">
        <v>1</v>
      </c>
      <c r="AE37" s="119">
        <v>45794.0</v>
      </c>
      <c r="AF37" s="68" t="b">
        <v>1</v>
      </c>
      <c r="AG37" s="115">
        <v>45973.0</v>
      </c>
      <c r="AH37" s="68" t="b">
        <v>1</v>
      </c>
      <c r="AI37" s="119">
        <v>46163.0</v>
      </c>
      <c r="AJ37" s="68" t="b">
        <v>0</v>
      </c>
      <c r="AK37" s="119">
        <v>46345.0</v>
      </c>
      <c r="AL37" s="68" t="b">
        <v>0</v>
      </c>
      <c r="AM37" s="456">
        <v>46575.0</v>
      </c>
      <c r="AN37" s="68" t="b">
        <v>1</v>
      </c>
      <c r="AO37" s="456">
        <v>46709.0</v>
      </c>
      <c r="AP37" s="68" t="b">
        <v>0</v>
      </c>
      <c r="AQ37" s="137"/>
      <c r="AR37" s="137"/>
      <c r="AS37" s="137"/>
      <c r="AT37" s="137"/>
      <c r="AU37" s="263" t="s">
        <v>58</v>
      </c>
      <c r="AV37" s="145" t="s">
        <v>62</v>
      </c>
    </row>
    <row r="38" ht="22.5" hidden="1" customHeight="1">
      <c r="A38" s="58">
        <f t="shared" si="4"/>
        <v>5</v>
      </c>
      <c r="B38" s="62" t="s">
        <v>188</v>
      </c>
      <c r="C38" s="67">
        <v>9.6</v>
      </c>
      <c r="D38" s="67" t="s">
        <v>236</v>
      </c>
      <c r="E38" s="67" t="s">
        <v>237</v>
      </c>
      <c r="F38" s="67"/>
      <c r="G38" s="79" t="s">
        <v>243</v>
      </c>
      <c r="H38" s="82" t="b">
        <v>0</v>
      </c>
      <c r="I38" s="85"/>
      <c r="J38" s="82" t="b">
        <v>1</v>
      </c>
      <c r="K38" s="89"/>
      <c r="L38" s="62"/>
      <c r="M38" s="91"/>
      <c r="N38" s="94"/>
      <c r="O38" s="95"/>
      <c r="P38" s="97"/>
      <c r="Q38" s="100"/>
      <c r="R38" s="102">
        <v>46021.0</v>
      </c>
      <c r="S38" s="104">
        <v>45724.0</v>
      </c>
      <c r="T38" s="175" t="s">
        <v>238</v>
      </c>
      <c r="U38" s="73">
        <f t="shared" si="2"/>
        <v>3</v>
      </c>
      <c r="V38" s="75">
        <v>4.0</v>
      </c>
      <c r="W38" s="114">
        <v>45468.0</v>
      </c>
      <c r="X38" s="68" t="b">
        <v>1</v>
      </c>
      <c r="Y38" s="115">
        <v>45724.0</v>
      </c>
      <c r="Z38" s="68" t="b">
        <v>1</v>
      </c>
      <c r="AA38" s="115">
        <v>45832.0</v>
      </c>
      <c r="AB38" s="68" t="b">
        <v>1</v>
      </c>
      <c r="AC38" s="119">
        <v>46021.0</v>
      </c>
      <c r="AD38" s="137" t="b">
        <v>0</v>
      </c>
      <c r="AE38" s="119"/>
      <c r="AF38" s="68"/>
      <c r="AG38" s="119"/>
      <c r="AH38" s="68"/>
      <c r="AI38" s="119"/>
      <c r="AJ38" s="68"/>
      <c r="AK38" s="119"/>
      <c r="AL38" s="68"/>
      <c r="AM38" s="445"/>
      <c r="AN38" s="68"/>
      <c r="AO38" s="68"/>
      <c r="AP38" s="68"/>
      <c r="AQ38" s="68"/>
      <c r="AR38" s="68"/>
      <c r="AS38" s="68"/>
      <c r="AT38" s="68"/>
      <c r="AU38" s="108"/>
      <c r="AV38" s="145" t="s">
        <v>120</v>
      </c>
    </row>
    <row r="39" ht="22.5" hidden="1" customHeight="1">
      <c r="A39" s="58">
        <f t="shared" si="4"/>
        <v>5</v>
      </c>
      <c r="B39" s="72" t="s">
        <v>197</v>
      </c>
      <c r="C39" s="67">
        <v>25.0</v>
      </c>
      <c r="D39" s="67" t="s">
        <v>245</v>
      </c>
      <c r="E39" s="67"/>
      <c r="F39" s="488" t="s">
        <v>246</v>
      </c>
      <c r="G39" s="79" t="s">
        <v>55</v>
      </c>
      <c r="H39" s="82" t="b">
        <v>1</v>
      </c>
      <c r="I39" s="489">
        <v>45978.0</v>
      </c>
      <c r="J39" s="82" t="b">
        <v>0</v>
      </c>
      <c r="K39" s="491"/>
      <c r="L39" s="308" t="s">
        <v>464</v>
      </c>
      <c r="M39" s="91" t="s">
        <v>257</v>
      </c>
      <c r="N39" s="457"/>
      <c r="O39" s="492"/>
      <c r="P39" s="97"/>
      <c r="Q39" s="100"/>
      <c r="R39" s="102">
        <v>45580.0</v>
      </c>
      <c r="S39" s="104">
        <v>45392.0</v>
      </c>
      <c r="T39" s="135" t="s">
        <v>258</v>
      </c>
      <c r="U39" s="73">
        <f t="shared" si="2"/>
        <v>4</v>
      </c>
      <c r="V39" s="75">
        <v>4.0</v>
      </c>
      <c r="W39" s="114">
        <v>45013.0</v>
      </c>
      <c r="X39" s="68" t="b">
        <v>1</v>
      </c>
      <c r="Y39" s="115">
        <v>45227.0</v>
      </c>
      <c r="Z39" s="68" t="b">
        <v>1</v>
      </c>
      <c r="AA39" s="115">
        <v>45392.0</v>
      </c>
      <c r="AB39" s="68" t="b">
        <v>1</v>
      </c>
      <c r="AC39" s="119">
        <v>45580.0</v>
      </c>
      <c r="AD39" s="494" t="b">
        <v>1</v>
      </c>
      <c r="AE39" s="119">
        <v>45835.0</v>
      </c>
      <c r="AF39" s="137" t="b">
        <v>0</v>
      </c>
      <c r="AG39" s="119">
        <v>46017.0</v>
      </c>
      <c r="AH39" s="137" t="b">
        <v>0</v>
      </c>
      <c r="AI39" s="119">
        <v>46199.0</v>
      </c>
      <c r="AJ39" s="137" t="b">
        <v>0</v>
      </c>
      <c r="AK39" s="119">
        <v>46381.0</v>
      </c>
      <c r="AL39" s="137" t="b">
        <v>0</v>
      </c>
      <c r="AM39" s="68"/>
      <c r="AN39" s="68"/>
      <c r="AO39" s="68"/>
      <c r="AP39" s="68"/>
      <c r="AQ39" s="68"/>
      <c r="AR39" s="68"/>
      <c r="AS39" s="68"/>
      <c r="AT39" s="68"/>
      <c r="AU39" s="277"/>
      <c r="AV39" s="348" t="s">
        <v>133</v>
      </c>
    </row>
    <row r="40" ht="22.5" hidden="1" customHeight="1">
      <c r="A40" s="58">
        <f t="shared" si="4"/>
        <v>5</v>
      </c>
      <c r="B40" s="177" t="s">
        <v>471</v>
      </c>
      <c r="C40" s="385">
        <v>7.56</v>
      </c>
      <c r="D40" s="385" t="s">
        <v>472</v>
      </c>
      <c r="E40" s="387"/>
      <c r="F40" s="391"/>
      <c r="G40" s="79" t="s">
        <v>243</v>
      </c>
      <c r="H40" s="82" t="b">
        <v>0</v>
      </c>
      <c r="I40" s="393"/>
      <c r="J40" s="82" t="b">
        <v>0</v>
      </c>
      <c r="K40" s="395"/>
      <c r="L40" s="391"/>
      <c r="M40" s="495"/>
      <c r="N40" s="496"/>
      <c r="O40" s="497"/>
      <c r="P40" s="370">
        <v>45769.0</v>
      </c>
      <c r="Q40" s="404"/>
      <c r="R40" s="406">
        <v>46483.0</v>
      </c>
      <c r="S40" s="174">
        <v>45947.0</v>
      </c>
      <c r="T40" s="498"/>
      <c r="U40" s="73">
        <f t="shared" si="2"/>
        <v>1</v>
      </c>
      <c r="V40" s="75">
        <v>4.0</v>
      </c>
      <c r="W40" s="375">
        <v>45947.0</v>
      </c>
      <c r="X40" s="68" t="b">
        <v>1</v>
      </c>
      <c r="Y40" s="376">
        <v>46118.0</v>
      </c>
      <c r="Z40" s="412" t="b">
        <v>0</v>
      </c>
      <c r="AA40" s="411">
        <v>46301.0</v>
      </c>
      <c r="AB40" s="197" t="b">
        <v>0</v>
      </c>
      <c r="AC40" s="287">
        <v>46483.0</v>
      </c>
      <c r="AD40" s="200" t="b">
        <v>0</v>
      </c>
      <c r="AE40" s="378"/>
      <c r="AF40" s="379"/>
      <c r="AG40" s="378"/>
      <c r="AH40" s="379"/>
      <c r="AI40" s="378"/>
      <c r="AJ40" s="379"/>
      <c r="AK40" s="378"/>
      <c r="AL40" s="379"/>
      <c r="AM40" s="379"/>
      <c r="AN40" s="379"/>
      <c r="AO40" s="379"/>
      <c r="AP40" s="379"/>
      <c r="AQ40" s="189"/>
      <c r="AR40" s="189"/>
      <c r="AS40" s="189"/>
      <c r="AT40" s="189"/>
      <c r="AU40" s="191"/>
      <c r="AV40" s="145" t="s">
        <v>172</v>
      </c>
    </row>
    <row r="41" ht="22.5" hidden="1" customHeight="1">
      <c r="A41" s="304">
        <f t="shared" si="4"/>
        <v>5</v>
      </c>
      <c r="B41" s="281" t="s">
        <v>200</v>
      </c>
      <c r="C41" s="469">
        <v>12.15</v>
      </c>
      <c r="D41" s="469" t="s">
        <v>265</v>
      </c>
      <c r="E41" s="500" t="s">
        <v>266</v>
      </c>
      <c r="F41" s="470"/>
      <c r="G41" s="471" t="s">
        <v>84</v>
      </c>
      <c r="H41" s="82" t="b">
        <v>1</v>
      </c>
      <c r="I41" s="472">
        <v>46238.0</v>
      </c>
      <c r="J41" s="82" t="b">
        <v>0</v>
      </c>
      <c r="K41" s="474">
        <v>46241.0</v>
      </c>
      <c r="L41" s="464" t="s">
        <v>267</v>
      </c>
      <c r="M41" s="501"/>
      <c r="N41" s="457" t="s">
        <v>269</v>
      </c>
      <c r="O41" s="95" t="s">
        <v>270</v>
      </c>
      <c r="P41" s="97"/>
      <c r="Q41" s="100"/>
      <c r="R41" s="102">
        <v>45670.0</v>
      </c>
      <c r="S41" s="104">
        <v>45710.0</v>
      </c>
      <c r="T41" s="502"/>
      <c r="U41" s="73">
        <f t="shared" si="2"/>
        <v>7</v>
      </c>
      <c r="V41" s="258">
        <v>6.0</v>
      </c>
      <c r="W41" s="504">
        <v>44676.0</v>
      </c>
      <c r="X41" s="137" t="b">
        <v>1</v>
      </c>
      <c r="Y41" s="119">
        <v>44880.0</v>
      </c>
      <c r="Z41" s="137" t="b">
        <v>1</v>
      </c>
      <c r="AA41" s="119">
        <v>45120.0</v>
      </c>
      <c r="AB41" s="137" t="b">
        <v>1</v>
      </c>
      <c r="AC41" s="119">
        <v>45295.0</v>
      </c>
      <c r="AD41" s="137" t="b">
        <v>1</v>
      </c>
      <c r="AE41" s="119">
        <v>45483.0</v>
      </c>
      <c r="AF41" s="137" t="b">
        <v>1</v>
      </c>
      <c r="AG41" s="119">
        <v>45710.0</v>
      </c>
      <c r="AH41" s="137" t="b">
        <v>1</v>
      </c>
      <c r="AI41" s="119">
        <v>46242.0</v>
      </c>
      <c r="AJ41" s="137" t="b">
        <v>0</v>
      </c>
      <c r="AK41" s="119"/>
      <c r="AL41" s="137" t="b">
        <v>0</v>
      </c>
      <c r="AM41" s="450">
        <v>46242.0</v>
      </c>
      <c r="AN41" s="137" t="b">
        <v>1</v>
      </c>
      <c r="AO41" s="506">
        <v>46080.0</v>
      </c>
      <c r="AP41" s="137" t="b">
        <v>0</v>
      </c>
      <c r="AQ41" s="137"/>
      <c r="AR41" s="137" t="b">
        <v>0</v>
      </c>
      <c r="AS41" s="137"/>
      <c r="AT41" s="137" t="b">
        <v>0</v>
      </c>
      <c r="AU41" s="286"/>
      <c r="AV41" s="173" t="s">
        <v>164</v>
      </c>
    </row>
    <row r="42" ht="22.5" hidden="1" customHeight="1">
      <c r="A42" s="58">
        <f t="shared" si="4"/>
        <v>5</v>
      </c>
      <c r="B42" s="201" t="s">
        <v>486</v>
      </c>
      <c r="C42" s="67">
        <v>48.96</v>
      </c>
      <c r="D42" s="67" t="s">
        <v>276</v>
      </c>
      <c r="E42" s="67" t="s">
        <v>277</v>
      </c>
      <c r="F42" s="67"/>
      <c r="G42" s="79" t="s">
        <v>84</v>
      </c>
      <c r="H42" s="82" t="b">
        <v>1</v>
      </c>
      <c r="I42" s="85">
        <v>46015.0</v>
      </c>
      <c r="J42" s="82" t="b">
        <v>1</v>
      </c>
      <c r="K42" s="89">
        <v>46079.0</v>
      </c>
      <c r="L42" s="62" t="s">
        <v>279</v>
      </c>
      <c r="M42" s="510">
        <v>8.96489467E8</v>
      </c>
      <c r="N42" s="511" t="s">
        <v>280</v>
      </c>
      <c r="O42" s="95"/>
      <c r="P42" s="97"/>
      <c r="Q42" s="100"/>
      <c r="R42" s="102">
        <v>45911.0</v>
      </c>
      <c r="S42" s="104">
        <v>45707.0</v>
      </c>
      <c r="T42" s="135" t="s">
        <v>282</v>
      </c>
      <c r="U42" s="73">
        <f t="shared" si="2"/>
        <v>5</v>
      </c>
      <c r="V42" s="75">
        <v>8.0</v>
      </c>
      <c r="W42" s="243">
        <v>45362.0</v>
      </c>
      <c r="X42" s="68" t="b">
        <v>1</v>
      </c>
      <c r="Y42" s="115">
        <v>45546.0</v>
      </c>
      <c r="Z42" s="68" t="b">
        <v>1</v>
      </c>
      <c r="AA42" s="115">
        <v>45707.0</v>
      </c>
      <c r="AB42" s="68" t="b">
        <v>1</v>
      </c>
      <c r="AC42" s="119">
        <v>45910.0</v>
      </c>
      <c r="AD42" s="137" t="b">
        <v>1</v>
      </c>
      <c r="AE42" s="119">
        <v>46091.0</v>
      </c>
      <c r="AF42" s="137" t="b">
        <v>1</v>
      </c>
      <c r="AG42" s="119">
        <v>46273.0</v>
      </c>
      <c r="AH42" s="137" t="b">
        <v>0</v>
      </c>
      <c r="AI42" s="119">
        <v>46455.0</v>
      </c>
      <c r="AJ42" s="137" t="b">
        <v>0</v>
      </c>
      <c r="AK42" s="119">
        <v>46644.0</v>
      </c>
      <c r="AL42" s="137" t="b">
        <v>0</v>
      </c>
      <c r="AM42" s="68"/>
      <c r="AN42" s="68"/>
      <c r="AO42" s="68"/>
      <c r="AP42" s="68"/>
      <c r="AQ42" s="68"/>
      <c r="AR42" s="68"/>
      <c r="AS42" s="68"/>
      <c r="AT42" s="68"/>
      <c r="AU42" s="108"/>
      <c r="AV42" s="165" t="s">
        <v>148</v>
      </c>
    </row>
    <row r="43" ht="22.5" hidden="1" customHeight="1">
      <c r="A43" s="58">
        <f t="shared" si="4"/>
        <v>5</v>
      </c>
      <c r="B43" s="201" t="s">
        <v>493</v>
      </c>
      <c r="C43" s="67">
        <v>16.65</v>
      </c>
      <c r="D43" s="67" t="s">
        <v>276</v>
      </c>
      <c r="E43" s="67" t="s">
        <v>480</v>
      </c>
      <c r="F43" s="67"/>
      <c r="G43" s="79" t="s">
        <v>84</v>
      </c>
      <c r="H43" s="82" t="b">
        <v>1</v>
      </c>
      <c r="I43" s="85">
        <v>45804.0</v>
      </c>
      <c r="J43" s="82" t="b">
        <v>1</v>
      </c>
      <c r="K43" s="89">
        <v>45961.0</v>
      </c>
      <c r="L43" s="62" t="s">
        <v>494</v>
      </c>
      <c r="M43" s="91" t="s">
        <v>496</v>
      </c>
      <c r="N43" s="447" t="s">
        <v>497</v>
      </c>
      <c r="O43" s="513" t="s">
        <v>489</v>
      </c>
      <c r="P43" s="97"/>
      <c r="Q43" s="100">
        <v>44582.0</v>
      </c>
      <c r="R43" s="102">
        <v>45741.0</v>
      </c>
      <c r="S43" s="463">
        <v>46091.0</v>
      </c>
      <c r="T43" s="514" t="s">
        <v>415</v>
      </c>
      <c r="U43" s="73">
        <f t="shared" si="2"/>
        <v>10</v>
      </c>
      <c r="V43" s="75">
        <v>8.0</v>
      </c>
      <c r="W43" s="243">
        <v>44846.0</v>
      </c>
      <c r="X43" s="68" t="b">
        <v>1</v>
      </c>
      <c r="Y43" s="449">
        <v>44932.0</v>
      </c>
      <c r="Z43" s="68" t="b">
        <v>1</v>
      </c>
      <c r="AA43" s="449">
        <v>45040.0</v>
      </c>
      <c r="AB43" s="68" t="b">
        <v>1</v>
      </c>
      <c r="AC43" s="119">
        <v>45321.0</v>
      </c>
      <c r="AD43" s="68" t="b">
        <v>1</v>
      </c>
      <c r="AE43" s="119">
        <v>45412.0</v>
      </c>
      <c r="AF43" s="68" t="b">
        <v>1</v>
      </c>
      <c r="AG43" s="119">
        <v>45496.0</v>
      </c>
      <c r="AH43" s="68" t="b">
        <v>1</v>
      </c>
      <c r="AI43" s="119">
        <v>45597.0</v>
      </c>
      <c r="AJ43" s="68" t="b">
        <v>1</v>
      </c>
      <c r="AK43" s="119">
        <v>45741.0</v>
      </c>
      <c r="AL43" s="68" t="b">
        <v>1</v>
      </c>
      <c r="AM43" s="450">
        <v>45945.0</v>
      </c>
      <c r="AN43" s="137" t="b">
        <v>1</v>
      </c>
      <c r="AO43" s="450">
        <v>46091.0</v>
      </c>
      <c r="AP43" s="137" t="b">
        <v>1</v>
      </c>
      <c r="AQ43" s="455">
        <v>46273.0</v>
      </c>
      <c r="AR43" s="137" t="b">
        <v>0</v>
      </c>
      <c r="AS43" s="455">
        <v>46455.0</v>
      </c>
      <c r="AT43" s="137" t="b">
        <v>0</v>
      </c>
      <c r="AU43" s="349" t="s">
        <v>503</v>
      </c>
      <c r="AV43" s="145" t="s">
        <v>178</v>
      </c>
    </row>
    <row r="44" ht="22.5" hidden="1" customHeight="1">
      <c r="A44" s="58">
        <f t="shared" si="4"/>
        <v>5</v>
      </c>
      <c r="B44" s="72" t="s">
        <v>210</v>
      </c>
      <c r="C44" s="67">
        <v>12.48</v>
      </c>
      <c r="D44" s="67" t="s">
        <v>286</v>
      </c>
      <c r="E44" s="67"/>
      <c r="F44" s="67"/>
      <c r="G44" s="79" t="s">
        <v>55</v>
      </c>
      <c r="H44" s="82" t="b">
        <v>1</v>
      </c>
      <c r="I44" s="517">
        <v>45861.0</v>
      </c>
      <c r="J44" s="82" t="b">
        <v>0</v>
      </c>
      <c r="K44" s="89"/>
      <c r="L44" s="62" t="s">
        <v>287</v>
      </c>
      <c r="M44" s="91" t="s">
        <v>288</v>
      </c>
      <c r="N44" s="457"/>
      <c r="O44" s="95"/>
      <c r="P44" s="97"/>
      <c r="Q44" s="100"/>
      <c r="R44" s="102">
        <v>45790.0</v>
      </c>
      <c r="S44" s="104">
        <v>45793.0</v>
      </c>
      <c r="T44" s="135" t="s">
        <v>289</v>
      </c>
      <c r="U44" s="73">
        <f t="shared" si="2"/>
        <v>4</v>
      </c>
      <c r="V44" s="75">
        <v>4.0</v>
      </c>
      <c r="W44" s="114">
        <v>45299.0</v>
      </c>
      <c r="X44" s="68" t="b">
        <v>1</v>
      </c>
      <c r="Y44" s="115">
        <v>45422.0</v>
      </c>
      <c r="Z44" s="68" t="b">
        <v>1</v>
      </c>
      <c r="AA44" s="115">
        <v>45608.0</v>
      </c>
      <c r="AB44" s="68" t="b">
        <v>1</v>
      </c>
      <c r="AC44" s="119">
        <v>45793.0</v>
      </c>
      <c r="AD44" s="68" t="b">
        <v>1</v>
      </c>
      <c r="AE44" s="119"/>
      <c r="AF44" s="68"/>
      <c r="AG44" s="119"/>
      <c r="AH44" s="68"/>
      <c r="AI44" s="119"/>
      <c r="AJ44" s="68"/>
      <c r="AK44" s="119"/>
      <c r="AL44" s="68"/>
      <c r="AM44" s="68"/>
      <c r="AN44" s="68"/>
      <c r="AO44" s="68"/>
      <c r="AP44" s="68"/>
      <c r="AQ44" s="68"/>
      <c r="AR44" s="68"/>
      <c r="AS44" s="68"/>
      <c r="AT44" s="68"/>
      <c r="AU44" s="108" t="s">
        <v>507</v>
      </c>
      <c r="AV44" s="173" t="s">
        <v>88</v>
      </c>
    </row>
    <row r="45" ht="22.5" hidden="1" customHeight="1">
      <c r="A45" s="58">
        <f t="shared" si="4"/>
        <v>5</v>
      </c>
      <c r="B45" s="293" t="s">
        <v>222</v>
      </c>
      <c r="C45" s="67">
        <v>12.48</v>
      </c>
      <c r="D45" s="67" t="s">
        <v>295</v>
      </c>
      <c r="E45" s="67" t="s">
        <v>296</v>
      </c>
      <c r="F45" s="67"/>
      <c r="G45" s="79" t="s">
        <v>243</v>
      </c>
      <c r="H45" s="82" t="b">
        <v>0</v>
      </c>
      <c r="I45" s="85"/>
      <c r="J45" s="82" t="b">
        <v>0</v>
      </c>
      <c r="K45" s="89"/>
      <c r="L45" s="62" t="s">
        <v>297</v>
      </c>
      <c r="M45" s="91"/>
      <c r="N45" s="523" t="s">
        <v>299</v>
      </c>
      <c r="O45" s="95" t="s">
        <v>304</v>
      </c>
      <c r="P45" s="97"/>
      <c r="Q45" s="100"/>
      <c r="R45" s="102">
        <v>45708.0</v>
      </c>
      <c r="S45" s="174">
        <v>45900.0</v>
      </c>
      <c r="T45" s="105"/>
      <c r="U45" s="73">
        <f t="shared" si="2"/>
        <v>4</v>
      </c>
      <c r="V45" s="75">
        <v>4.0</v>
      </c>
      <c r="W45" s="449">
        <v>44987.0</v>
      </c>
      <c r="X45" s="68" t="b">
        <v>1</v>
      </c>
      <c r="Y45" s="449">
        <v>45350.0</v>
      </c>
      <c r="Z45" s="68" t="b">
        <v>1</v>
      </c>
      <c r="AA45" s="115">
        <v>45535.0</v>
      </c>
      <c r="AB45" s="68" t="b">
        <v>1</v>
      </c>
      <c r="AC45" s="196">
        <v>45708.0</v>
      </c>
      <c r="AD45" s="68" t="b">
        <v>1</v>
      </c>
      <c r="AE45" s="119"/>
      <c r="AF45" s="68"/>
      <c r="AG45" s="119"/>
      <c r="AH45" s="68"/>
      <c r="AI45" s="119"/>
      <c r="AJ45" s="68"/>
      <c r="AK45" s="119"/>
      <c r="AL45" s="68"/>
      <c r="AM45" s="68"/>
      <c r="AN45" s="68"/>
      <c r="AO45" s="68"/>
      <c r="AP45" s="68"/>
      <c r="AQ45" s="68"/>
      <c r="AR45" s="68"/>
      <c r="AS45" s="68"/>
      <c r="AT45" s="68"/>
      <c r="AU45" s="108"/>
      <c r="AV45" s="165" t="s">
        <v>211</v>
      </c>
    </row>
    <row r="46" ht="22.5" hidden="1" customHeight="1">
      <c r="A46" s="304">
        <f t="shared" si="4"/>
        <v>5</v>
      </c>
      <c r="B46" s="201" t="s">
        <v>228</v>
      </c>
      <c r="C46" s="469">
        <v>12.6</v>
      </c>
      <c r="D46" s="469" t="s">
        <v>307</v>
      </c>
      <c r="E46" s="469" t="s">
        <v>308</v>
      </c>
      <c r="F46" s="469"/>
      <c r="G46" s="471" t="s">
        <v>84</v>
      </c>
      <c r="H46" s="82" t="b">
        <v>1</v>
      </c>
      <c r="I46" s="528">
        <v>45662.0</v>
      </c>
      <c r="J46" s="82" t="b">
        <v>1</v>
      </c>
      <c r="K46" s="529">
        <v>45663.0</v>
      </c>
      <c r="L46" s="464" t="s">
        <v>309</v>
      </c>
      <c r="M46" s="475" t="s">
        <v>311</v>
      </c>
      <c r="N46" s="531" t="s">
        <v>517</v>
      </c>
      <c r="O46" s="476"/>
      <c r="P46" s="97">
        <v>44613.0</v>
      </c>
      <c r="Q46" s="477">
        <v>45663.0</v>
      </c>
      <c r="R46" s="479">
        <v>46263.0</v>
      </c>
      <c r="S46" s="533">
        <v>46066.0</v>
      </c>
      <c r="T46" s="175" t="s">
        <v>312</v>
      </c>
      <c r="U46" s="257">
        <f t="shared" si="2"/>
        <v>7</v>
      </c>
      <c r="V46" s="258">
        <v>8.0</v>
      </c>
      <c r="W46" s="196">
        <v>44832.0</v>
      </c>
      <c r="X46" s="68" t="b">
        <v>1</v>
      </c>
      <c r="Y46" s="196">
        <v>44985.0</v>
      </c>
      <c r="Z46" s="68" t="b">
        <v>1</v>
      </c>
      <c r="AA46" s="119">
        <v>45351.0</v>
      </c>
      <c r="AB46" s="68" t="b">
        <v>1</v>
      </c>
      <c r="AC46" s="196">
        <v>45548.0</v>
      </c>
      <c r="AD46" s="137" t="b">
        <v>1</v>
      </c>
      <c r="AE46" s="115">
        <v>45724.0</v>
      </c>
      <c r="AF46" s="68" t="b">
        <v>1</v>
      </c>
      <c r="AG46" s="115">
        <v>45888.0</v>
      </c>
      <c r="AH46" s="137" t="b">
        <v>1</v>
      </c>
      <c r="AI46" s="115">
        <v>46066.0</v>
      </c>
      <c r="AJ46" s="68" t="b">
        <v>1</v>
      </c>
      <c r="AK46" s="115">
        <v>46262.0</v>
      </c>
      <c r="AL46" s="137" t="b">
        <v>0</v>
      </c>
      <c r="AM46" s="137"/>
      <c r="AN46" s="137"/>
      <c r="AO46" s="137"/>
      <c r="AP46" s="137"/>
      <c r="AQ46" s="137"/>
      <c r="AR46" s="137"/>
      <c r="AS46" s="137"/>
      <c r="AT46" s="137"/>
      <c r="AU46" s="263"/>
      <c r="AV46" s="145" t="s">
        <v>225</v>
      </c>
    </row>
    <row r="47" ht="22.5" hidden="1" customHeight="1">
      <c r="A47" s="247">
        <f t="shared" si="4"/>
        <v>5</v>
      </c>
      <c r="B47" s="72" t="s">
        <v>231</v>
      </c>
      <c r="C47" s="544"/>
      <c r="D47" s="544" t="s">
        <v>137</v>
      </c>
      <c r="E47" s="67"/>
      <c r="F47" s="67"/>
      <c r="G47" s="79" t="s">
        <v>55</v>
      </c>
      <c r="H47" s="82" t="b">
        <v>1</v>
      </c>
      <c r="I47" s="459">
        <v>45667.0</v>
      </c>
      <c r="J47" s="82" t="b">
        <v>0</v>
      </c>
      <c r="K47" s="89"/>
      <c r="L47" s="62"/>
      <c r="M47" s="91"/>
      <c r="N47" s="460" t="s">
        <v>319</v>
      </c>
      <c r="O47" s="95"/>
      <c r="P47" s="97"/>
      <c r="Q47" s="100"/>
      <c r="R47" s="547">
        <v>45497.0</v>
      </c>
      <c r="S47" s="104">
        <v>45513.0</v>
      </c>
      <c r="T47" s="105"/>
      <c r="U47" s="73">
        <f t="shared" si="2"/>
        <v>2</v>
      </c>
      <c r="V47" s="75">
        <v>2.0</v>
      </c>
      <c r="W47" s="243">
        <v>45315.0</v>
      </c>
      <c r="X47" s="68" t="b">
        <v>1</v>
      </c>
      <c r="Y47" s="449">
        <v>45513.0</v>
      </c>
      <c r="Z47" s="68" t="b">
        <v>1</v>
      </c>
      <c r="AA47" s="449"/>
      <c r="AB47" s="68" t="b">
        <v>0</v>
      </c>
      <c r="AC47" s="119"/>
      <c r="AD47" s="68" t="b">
        <v>0</v>
      </c>
      <c r="AE47" s="119"/>
      <c r="AF47" s="68"/>
      <c r="AG47" s="119"/>
      <c r="AH47" s="68"/>
      <c r="AI47" s="119"/>
      <c r="AJ47" s="68"/>
      <c r="AK47" s="119"/>
      <c r="AL47" s="68"/>
      <c r="AM47" s="68"/>
      <c r="AN47" s="68"/>
      <c r="AO47" s="68"/>
      <c r="AP47" s="68"/>
      <c r="AQ47" s="68"/>
      <c r="AR47" s="68"/>
      <c r="AS47" s="68"/>
      <c r="AT47" s="68"/>
      <c r="AU47" s="108"/>
      <c r="AV47" s="377" t="s">
        <v>290</v>
      </c>
    </row>
    <row r="48" ht="22.5" hidden="1" customHeight="1">
      <c r="A48" s="58">
        <f t="shared" si="4"/>
        <v>5</v>
      </c>
      <c r="B48" s="113" t="s">
        <v>239</v>
      </c>
      <c r="C48" s="67">
        <v>20.0</v>
      </c>
      <c r="D48" s="67" t="s">
        <v>77</v>
      </c>
      <c r="E48" s="67" t="s">
        <v>322</v>
      </c>
      <c r="F48" s="67"/>
      <c r="G48" s="79" t="s">
        <v>243</v>
      </c>
      <c r="H48" s="82" t="b">
        <v>0</v>
      </c>
      <c r="I48" s="85"/>
      <c r="J48" s="82" t="b">
        <v>0</v>
      </c>
      <c r="K48" s="89"/>
      <c r="L48" s="62" t="s">
        <v>323</v>
      </c>
      <c r="M48" s="91">
        <v>8.19561802E8</v>
      </c>
      <c r="N48" s="94"/>
      <c r="O48" s="458"/>
      <c r="P48" s="97"/>
      <c r="Q48" s="100"/>
      <c r="R48" s="102">
        <v>46149.0</v>
      </c>
      <c r="S48" s="174">
        <v>45918.0</v>
      </c>
      <c r="T48" s="105"/>
      <c r="U48" s="73">
        <f t="shared" si="2"/>
        <v>3</v>
      </c>
      <c r="V48" s="75">
        <v>4.0</v>
      </c>
      <c r="W48" s="243">
        <v>45603.0</v>
      </c>
      <c r="X48" s="68" t="b">
        <v>1</v>
      </c>
      <c r="Y48" s="449">
        <v>45729.0</v>
      </c>
      <c r="Z48" s="68" t="b">
        <v>1</v>
      </c>
      <c r="AA48" s="449">
        <v>45918.0</v>
      </c>
      <c r="AB48" s="68" t="b">
        <v>1</v>
      </c>
      <c r="AC48" s="115">
        <v>46102.0</v>
      </c>
      <c r="AD48" s="137" t="b">
        <v>0</v>
      </c>
      <c r="AE48" s="115"/>
      <c r="AF48" s="143"/>
      <c r="AG48" s="115"/>
      <c r="AH48" s="143"/>
      <c r="AI48" s="115"/>
      <c r="AJ48" s="143"/>
      <c r="AK48" s="115"/>
      <c r="AL48" s="143"/>
      <c r="AM48" s="143"/>
      <c r="AN48" s="143"/>
      <c r="AO48" s="143"/>
      <c r="AP48" s="143"/>
      <c r="AQ48" s="143"/>
      <c r="AR48" s="143"/>
      <c r="AS48" s="143"/>
      <c r="AT48" s="143"/>
      <c r="AU48" s="108"/>
      <c r="AV48" s="308"/>
    </row>
    <row r="49" ht="22.5" hidden="1" customHeight="1">
      <c r="A49" s="58">
        <f t="shared" si="4"/>
        <v>5</v>
      </c>
      <c r="B49" s="72" t="s">
        <v>247</v>
      </c>
      <c r="C49" s="67">
        <v>7.68</v>
      </c>
      <c r="D49" s="67" t="s">
        <v>48</v>
      </c>
      <c r="E49" s="67" t="s">
        <v>327</v>
      </c>
      <c r="F49" s="67"/>
      <c r="G49" s="79" t="s">
        <v>243</v>
      </c>
      <c r="H49" s="82" t="b">
        <v>0</v>
      </c>
      <c r="I49" s="85"/>
      <c r="J49" s="82" t="b">
        <v>0</v>
      </c>
      <c r="K49" s="89"/>
      <c r="L49" s="62" t="s">
        <v>323</v>
      </c>
      <c r="M49" s="91">
        <v>8.19561802E8</v>
      </c>
      <c r="N49" s="94"/>
      <c r="O49" s="458"/>
      <c r="P49" s="97"/>
      <c r="Q49" s="100">
        <v>45425.0</v>
      </c>
      <c r="R49" s="102">
        <v>46149.0</v>
      </c>
      <c r="S49" s="174">
        <v>46133.0</v>
      </c>
      <c r="T49" s="105"/>
      <c r="U49" s="73">
        <f t="shared" si="2"/>
        <v>4</v>
      </c>
      <c r="V49" s="75">
        <v>4.0</v>
      </c>
      <c r="W49" s="243">
        <v>45603.0</v>
      </c>
      <c r="X49" s="68" t="b">
        <v>1</v>
      </c>
      <c r="Y49" s="449">
        <v>45729.0</v>
      </c>
      <c r="Z49" s="68" t="b">
        <v>1</v>
      </c>
      <c r="AA49" s="449">
        <v>45920.0</v>
      </c>
      <c r="AB49" s="68" t="b">
        <v>1</v>
      </c>
      <c r="AC49" s="115">
        <v>46133.0</v>
      </c>
      <c r="AD49" s="137" t="b">
        <v>1</v>
      </c>
      <c r="AE49" s="115"/>
      <c r="AF49" s="143"/>
      <c r="AG49" s="115"/>
      <c r="AH49" s="143"/>
      <c r="AI49" s="115"/>
      <c r="AJ49" s="143"/>
      <c r="AK49" s="115"/>
      <c r="AL49" s="143"/>
      <c r="AM49" s="143"/>
      <c r="AN49" s="143"/>
      <c r="AO49" s="143"/>
      <c r="AP49" s="143"/>
      <c r="AQ49" s="143"/>
      <c r="AR49" s="143"/>
      <c r="AS49" s="143"/>
      <c r="AT49" s="143"/>
      <c r="AU49" s="108"/>
      <c r="AV49" s="165" t="s">
        <v>241</v>
      </c>
    </row>
    <row r="50" ht="22.5" customHeight="1">
      <c r="A50" s="327">
        <f t="shared" si="4"/>
        <v>6</v>
      </c>
      <c r="B50" s="560" t="s">
        <v>254</v>
      </c>
      <c r="C50" s="67"/>
      <c r="D50" s="67" t="s">
        <v>111</v>
      </c>
      <c r="E50" s="469" t="s">
        <v>459</v>
      </c>
      <c r="F50" s="391"/>
      <c r="G50" s="79" t="s">
        <v>105</v>
      </c>
      <c r="H50" s="82" t="b">
        <v>1</v>
      </c>
      <c r="I50" s="561"/>
      <c r="J50" s="82" t="b">
        <v>0</v>
      </c>
      <c r="K50" s="562"/>
      <c r="L50" s="356"/>
      <c r="M50" s="563"/>
      <c r="N50" s="94"/>
      <c r="O50" s="564"/>
      <c r="P50" s="370">
        <v>45580.0</v>
      </c>
      <c r="Q50" s="404"/>
      <c r="R50" s="406">
        <v>45579.0</v>
      </c>
      <c r="S50" s="565" t="s">
        <v>539</v>
      </c>
      <c r="T50" s="498"/>
      <c r="U50" s="73">
        <f t="shared" si="2"/>
        <v>0</v>
      </c>
      <c r="V50" s="75">
        <v>4.0</v>
      </c>
      <c r="W50" s="243"/>
      <c r="X50" s="68" t="b">
        <v>0</v>
      </c>
      <c r="Y50" s="449"/>
      <c r="Z50" s="68" t="b">
        <v>0</v>
      </c>
      <c r="AA50" s="449"/>
      <c r="AB50" s="143" t="b">
        <v>0</v>
      </c>
      <c r="AC50" s="119"/>
      <c r="AD50" s="137" t="b">
        <v>0</v>
      </c>
      <c r="AE50" s="378"/>
      <c r="AF50" s="379"/>
      <c r="AG50" s="378"/>
      <c r="AH50" s="379"/>
      <c r="AI50" s="378"/>
      <c r="AJ50" s="379"/>
      <c r="AK50" s="378"/>
      <c r="AL50" s="379"/>
      <c r="AM50" s="379"/>
      <c r="AN50" s="379"/>
      <c r="AO50" s="379"/>
      <c r="AP50" s="379"/>
      <c r="AQ50" s="189"/>
      <c r="AR50" s="189"/>
      <c r="AS50" s="189"/>
      <c r="AT50" s="189"/>
      <c r="AU50" s="191"/>
      <c r="AV50" s="377" t="s">
        <v>281</v>
      </c>
    </row>
    <row r="51" ht="22.5" hidden="1" customHeight="1">
      <c r="A51" s="247">
        <f t="shared" si="4"/>
        <v>6</v>
      </c>
      <c r="B51" s="113" t="s">
        <v>260</v>
      </c>
      <c r="C51" s="67">
        <v>13.95</v>
      </c>
      <c r="D51" s="67" t="s">
        <v>332</v>
      </c>
      <c r="E51" s="67" t="s">
        <v>333</v>
      </c>
      <c r="F51" s="67"/>
      <c r="G51" s="79" t="s">
        <v>243</v>
      </c>
      <c r="H51" s="82" t="b">
        <v>0</v>
      </c>
      <c r="I51" s="85"/>
      <c r="J51" s="82" t="b">
        <v>0</v>
      </c>
      <c r="K51" s="89"/>
      <c r="L51" s="62" t="s">
        <v>543</v>
      </c>
      <c r="M51" s="91" t="s">
        <v>336</v>
      </c>
      <c r="N51" s="572" t="s">
        <v>337</v>
      </c>
      <c r="O51" s="95"/>
      <c r="P51" s="97">
        <v>45628.0</v>
      </c>
      <c r="Q51" s="100">
        <v>45671.0</v>
      </c>
      <c r="R51" s="575">
        <v>46332.0</v>
      </c>
      <c r="S51" s="480">
        <v>45946.0</v>
      </c>
      <c r="T51" s="135" t="s">
        <v>339</v>
      </c>
      <c r="U51" s="73">
        <f t="shared" si="2"/>
        <v>7</v>
      </c>
      <c r="V51" s="75">
        <v>8.0</v>
      </c>
      <c r="W51" s="114">
        <v>44927.0</v>
      </c>
      <c r="X51" s="83" t="b">
        <v>1</v>
      </c>
      <c r="Y51" s="115">
        <v>45085.0</v>
      </c>
      <c r="Z51" s="83" t="b">
        <v>1</v>
      </c>
      <c r="AA51" s="115">
        <v>45408.0</v>
      </c>
      <c r="AB51" s="83" t="b">
        <v>1</v>
      </c>
      <c r="AC51" s="119">
        <v>45603.0</v>
      </c>
      <c r="AD51" s="68" t="b">
        <v>1</v>
      </c>
      <c r="AE51" s="449">
        <v>45775.0</v>
      </c>
      <c r="AF51" s="68" t="b">
        <v>1</v>
      </c>
      <c r="AG51" s="115">
        <v>45946.0</v>
      </c>
      <c r="AH51" s="137" t="b">
        <v>1</v>
      </c>
      <c r="AI51" s="449">
        <v>46134.0</v>
      </c>
      <c r="AJ51" s="68" t="b">
        <v>1</v>
      </c>
      <c r="AK51" s="115">
        <v>46318.0</v>
      </c>
      <c r="AL51" s="137" t="b">
        <v>0</v>
      </c>
      <c r="AM51" s="68"/>
      <c r="AN51" s="68"/>
      <c r="AO51" s="68"/>
      <c r="AP51" s="68"/>
      <c r="AQ51" s="68"/>
      <c r="AR51" s="68"/>
      <c r="AS51" s="68"/>
      <c r="AT51" s="68"/>
      <c r="AU51" s="108" t="s">
        <v>268</v>
      </c>
      <c r="AV51" s="110"/>
    </row>
    <row r="52" ht="22.5" customHeight="1">
      <c r="A52" s="58">
        <f t="shared" si="4"/>
        <v>7</v>
      </c>
      <c r="B52" s="580" t="s">
        <v>272</v>
      </c>
      <c r="C52" s="354">
        <v>14.88</v>
      </c>
      <c r="D52" s="354" t="s">
        <v>111</v>
      </c>
      <c r="E52" s="67" t="s">
        <v>333</v>
      </c>
      <c r="F52" s="356"/>
      <c r="G52" s="79" t="s">
        <v>105</v>
      </c>
      <c r="H52" s="82" t="b">
        <v>0</v>
      </c>
      <c r="I52" s="582"/>
      <c r="J52" s="82" t="b">
        <v>0</v>
      </c>
      <c r="K52" s="583"/>
      <c r="L52" s="202"/>
      <c r="M52" s="418"/>
      <c r="N52" s="585" t="s">
        <v>357</v>
      </c>
      <c r="O52" s="420" t="s">
        <v>551</v>
      </c>
      <c r="P52" s="97">
        <v>45488.0</v>
      </c>
      <c r="Q52" s="586"/>
      <c r="R52" s="479">
        <v>46161.0</v>
      </c>
      <c r="S52" s="480">
        <v>46184.0</v>
      </c>
      <c r="T52" s="175" t="s">
        <v>360</v>
      </c>
      <c r="U52" s="73">
        <f t="shared" si="2"/>
        <v>4</v>
      </c>
      <c r="V52" s="75">
        <v>4.0</v>
      </c>
      <c r="W52" s="243">
        <v>45619.0</v>
      </c>
      <c r="X52" s="83" t="b">
        <v>1</v>
      </c>
      <c r="Y52" s="449">
        <v>45775.0</v>
      </c>
      <c r="Z52" s="68" t="b">
        <v>1</v>
      </c>
      <c r="AA52" s="449">
        <v>45972.0</v>
      </c>
      <c r="AB52" s="68" t="b">
        <v>1</v>
      </c>
      <c r="AC52" s="119">
        <v>46184.0</v>
      </c>
      <c r="AD52" s="137" t="b">
        <v>1</v>
      </c>
      <c r="AE52" s="378"/>
      <c r="AF52" s="379"/>
      <c r="AG52" s="378"/>
      <c r="AH52" s="379"/>
      <c r="AI52" s="378"/>
      <c r="AJ52" s="379"/>
      <c r="AK52" s="378"/>
      <c r="AL52" s="379"/>
      <c r="AM52" s="379"/>
      <c r="AN52" s="379"/>
      <c r="AO52" s="379"/>
      <c r="AP52" s="379"/>
      <c r="AQ52" s="215"/>
      <c r="AR52" s="215"/>
      <c r="AS52" s="215"/>
      <c r="AT52" s="215"/>
      <c r="AU52" s="216"/>
      <c r="AV52" s="397" t="s">
        <v>302</v>
      </c>
    </row>
    <row r="53" ht="22.5" hidden="1" customHeight="1">
      <c r="A53" s="345">
        <f t="shared" si="4"/>
        <v>7</v>
      </c>
      <c r="B53" s="72" t="s">
        <v>275</v>
      </c>
      <c r="C53" s="587"/>
      <c r="D53" s="587" t="s">
        <v>346</v>
      </c>
      <c r="E53" s="469" t="s">
        <v>333</v>
      </c>
      <c r="F53" s="469"/>
      <c r="G53" s="471" t="s">
        <v>555</v>
      </c>
      <c r="H53" s="82" t="b">
        <v>1</v>
      </c>
      <c r="I53" s="459">
        <v>45663.0</v>
      </c>
      <c r="J53" s="82" t="b">
        <v>0</v>
      </c>
      <c r="K53" s="474"/>
      <c r="L53" s="464" t="s">
        <v>556</v>
      </c>
      <c r="M53" s="475">
        <v>6.11746142E8</v>
      </c>
      <c r="N53" s="591" t="s">
        <v>557</v>
      </c>
      <c r="O53" s="476"/>
      <c r="P53" s="97">
        <v>44772.0</v>
      </c>
      <c r="Q53" s="477"/>
      <c r="R53" s="479">
        <v>45590.0</v>
      </c>
      <c r="S53" s="596">
        <v>45603.0</v>
      </c>
      <c r="T53" s="135" t="s">
        <v>339</v>
      </c>
      <c r="U53" s="257">
        <f t="shared" si="2"/>
        <v>4</v>
      </c>
      <c r="V53" s="258">
        <v>4.0</v>
      </c>
      <c r="W53" s="182">
        <v>44942.0</v>
      </c>
      <c r="X53" s="502" t="b">
        <v>1</v>
      </c>
      <c r="Y53" s="119">
        <v>45226.0</v>
      </c>
      <c r="Z53" s="454" t="b">
        <v>1</v>
      </c>
      <c r="AA53" s="119">
        <v>45408.0</v>
      </c>
      <c r="AB53" s="502" t="b">
        <v>1</v>
      </c>
      <c r="AC53" s="119">
        <v>45603.0</v>
      </c>
      <c r="AD53" s="137" t="b">
        <v>1</v>
      </c>
      <c r="AE53" s="119"/>
      <c r="AF53" s="137"/>
      <c r="AG53" s="119"/>
      <c r="AH53" s="137"/>
      <c r="AI53" s="119"/>
      <c r="AJ53" s="137"/>
      <c r="AK53" s="119"/>
      <c r="AL53" s="137"/>
      <c r="AM53" s="137"/>
      <c r="AN53" s="137"/>
      <c r="AO53" s="137"/>
      <c r="AP53" s="137"/>
      <c r="AQ53" s="137"/>
      <c r="AR53" s="137"/>
      <c r="AS53" s="137"/>
      <c r="AT53" s="137"/>
      <c r="AU53" s="263"/>
      <c r="AV53" s="173"/>
    </row>
    <row r="54" ht="22.5" hidden="1" customHeight="1">
      <c r="A54" s="58">
        <f t="shared" si="4"/>
        <v>7</v>
      </c>
      <c r="B54" s="604" t="s">
        <v>284</v>
      </c>
      <c r="C54" s="67">
        <v>16.32</v>
      </c>
      <c r="D54" s="67" t="s">
        <v>122</v>
      </c>
      <c r="E54" s="67" t="s">
        <v>333</v>
      </c>
      <c r="F54" s="488" t="s">
        <v>123</v>
      </c>
      <c r="G54" s="79" t="s">
        <v>555</v>
      </c>
      <c r="H54" s="82" t="b">
        <v>1</v>
      </c>
      <c r="I54" s="85">
        <v>45827.0</v>
      </c>
      <c r="J54" s="82" t="b">
        <v>0</v>
      </c>
      <c r="K54" s="89"/>
      <c r="L54" s="62" t="s">
        <v>367</v>
      </c>
      <c r="M54" s="91" t="s">
        <v>368</v>
      </c>
      <c r="N54" s="457" t="s">
        <v>369</v>
      </c>
      <c r="O54" s="95"/>
      <c r="P54" s="97">
        <v>44971.0</v>
      </c>
      <c r="Q54" s="100"/>
      <c r="R54" s="102">
        <v>45772.0</v>
      </c>
      <c r="S54" s="596">
        <v>45775.0</v>
      </c>
      <c r="T54" s="135" t="s">
        <v>339</v>
      </c>
      <c r="U54" s="73">
        <f t="shared" si="2"/>
        <v>4</v>
      </c>
      <c r="V54" s="75">
        <v>4.0</v>
      </c>
      <c r="W54" s="243">
        <v>45226.0</v>
      </c>
      <c r="X54" s="68" t="b">
        <v>1</v>
      </c>
      <c r="Y54" s="449">
        <v>45493.0</v>
      </c>
      <c r="Z54" s="68" t="b">
        <v>1</v>
      </c>
      <c r="AA54" s="449">
        <v>45603.0</v>
      </c>
      <c r="AB54" s="68" t="b">
        <v>1</v>
      </c>
      <c r="AC54" s="119">
        <v>45775.0</v>
      </c>
      <c r="AD54" s="68" t="b">
        <v>1</v>
      </c>
      <c r="AE54" s="119"/>
      <c r="AF54" s="68"/>
      <c r="AG54" s="119"/>
      <c r="AH54" s="68"/>
      <c r="AI54" s="119"/>
      <c r="AJ54" s="68"/>
      <c r="AK54" s="119"/>
      <c r="AL54" s="68"/>
      <c r="AM54" s="68"/>
      <c r="AN54" s="68"/>
      <c r="AO54" s="68"/>
      <c r="AP54" s="68"/>
      <c r="AQ54" s="68"/>
      <c r="AR54" s="68"/>
      <c r="AS54" s="68"/>
      <c r="AT54" s="68"/>
      <c r="AU54" s="349" t="s">
        <v>292</v>
      </c>
      <c r="AV54" s="173" t="s">
        <v>347</v>
      </c>
    </row>
    <row r="55" ht="22.5" hidden="1" customHeight="1">
      <c r="A55" s="58">
        <f t="shared" si="4"/>
        <v>7</v>
      </c>
      <c r="B55" s="177" t="s">
        <v>584</v>
      </c>
      <c r="C55" s="385">
        <v>12.48</v>
      </c>
      <c r="D55" s="385" t="s">
        <v>111</v>
      </c>
      <c r="E55" s="385" t="s">
        <v>333</v>
      </c>
      <c r="F55" s="391"/>
      <c r="G55" s="79" t="s">
        <v>243</v>
      </c>
      <c r="H55" s="82" t="b">
        <v>0</v>
      </c>
      <c r="I55" s="393"/>
      <c r="J55" s="82" t="b">
        <v>0</v>
      </c>
      <c r="K55" s="395"/>
      <c r="L55" s="391"/>
      <c r="M55" s="495"/>
      <c r="N55" s="609"/>
      <c r="O55" s="610"/>
      <c r="P55" s="370">
        <v>45729.0</v>
      </c>
      <c r="Q55" s="404"/>
      <c r="R55" s="406">
        <v>46458.0</v>
      </c>
      <c r="S55" s="611">
        <v>46038.0</v>
      </c>
      <c r="T55" s="498"/>
      <c r="U55" s="73">
        <f t="shared" si="2"/>
        <v>3</v>
      </c>
      <c r="V55" s="75">
        <v>4.0</v>
      </c>
      <c r="W55" s="121">
        <v>45919.0</v>
      </c>
      <c r="X55" s="68" t="b">
        <v>1</v>
      </c>
      <c r="Y55" s="449">
        <v>46039.0</v>
      </c>
      <c r="Z55" s="68" t="b">
        <v>1</v>
      </c>
      <c r="AA55" s="196">
        <v>46239.0</v>
      </c>
      <c r="AB55" s="137" t="b">
        <v>1</v>
      </c>
      <c r="AC55" s="119">
        <v>46402.0</v>
      </c>
      <c r="AD55" s="200" t="b">
        <v>0</v>
      </c>
      <c r="AE55" s="378"/>
      <c r="AF55" s="379"/>
      <c r="AG55" s="378"/>
      <c r="AH55" s="379"/>
      <c r="AI55" s="378"/>
      <c r="AJ55" s="379"/>
      <c r="AK55" s="378"/>
      <c r="AL55" s="379"/>
      <c r="AM55" s="379"/>
      <c r="AN55" s="379"/>
      <c r="AO55" s="379"/>
      <c r="AP55" s="379"/>
      <c r="AQ55" s="189"/>
      <c r="AR55" s="189"/>
      <c r="AS55" s="189"/>
      <c r="AT55" s="189"/>
      <c r="AU55" s="191"/>
      <c r="AV55" s="173" t="s">
        <v>363</v>
      </c>
    </row>
    <row r="56" ht="22.5" hidden="1" customHeight="1">
      <c r="A56" s="58">
        <f t="shared" si="4"/>
        <v>7</v>
      </c>
      <c r="B56" s="72" t="s">
        <v>294</v>
      </c>
      <c r="C56" s="67">
        <v>12.48</v>
      </c>
      <c r="D56" s="67" t="s">
        <v>111</v>
      </c>
      <c r="E56" s="469" t="s">
        <v>333</v>
      </c>
      <c r="F56" s="67"/>
      <c r="G56" s="79" t="s">
        <v>84</v>
      </c>
      <c r="H56" s="82" t="b">
        <v>1</v>
      </c>
      <c r="I56" s="85">
        <v>46017.0</v>
      </c>
      <c r="J56" s="82" t="b">
        <v>1</v>
      </c>
      <c r="K56" s="89">
        <v>46048.0</v>
      </c>
      <c r="L56" s="62" t="s">
        <v>376</v>
      </c>
      <c r="M56" s="91" t="s">
        <v>377</v>
      </c>
      <c r="N56" s="572" t="s">
        <v>380</v>
      </c>
      <c r="O56" s="95"/>
      <c r="P56" s="97"/>
      <c r="Q56" s="100"/>
      <c r="R56" s="102">
        <v>45772.0</v>
      </c>
      <c r="S56" s="529">
        <v>45826.0</v>
      </c>
      <c r="T56" s="620" t="s">
        <v>339</v>
      </c>
      <c r="U56" s="73">
        <f t="shared" si="2"/>
        <v>4</v>
      </c>
      <c r="V56" s="75">
        <v>4.0</v>
      </c>
      <c r="W56" s="114">
        <v>45219.0</v>
      </c>
      <c r="X56" s="68" t="b">
        <v>1</v>
      </c>
      <c r="Y56" s="114">
        <v>45370.0</v>
      </c>
      <c r="Z56" s="79" t="b">
        <v>1</v>
      </c>
      <c r="AA56" s="343">
        <v>45603.0</v>
      </c>
      <c r="AB56" s="79" t="b">
        <v>1</v>
      </c>
      <c r="AC56" s="182">
        <v>45826.0</v>
      </c>
      <c r="AD56" s="137" t="b">
        <v>1</v>
      </c>
      <c r="AE56" s="119"/>
      <c r="AF56" s="68"/>
      <c r="AG56" s="119"/>
      <c r="AH56" s="68"/>
      <c r="AI56" s="119"/>
      <c r="AJ56" s="68"/>
      <c r="AK56" s="119"/>
      <c r="AL56" s="68"/>
      <c r="AM56" s="68"/>
      <c r="AN56" s="68"/>
      <c r="AO56" s="68"/>
      <c r="AP56" s="68"/>
      <c r="AQ56" s="68"/>
      <c r="AR56" s="68"/>
      <c r="AS56" s="68"/>
      <c r="AT56" s="68"/>
      <c r="AU56" s="108"/>
      <c r="AV56" s="173" t="s">
        <v>261</v>
      </c>
    </row>
    <row r="57" ht="22.5" hidden="1" customHeight="1">
      <c r="A57" s="58">
        <f t="shared" si="4"/>
        <v>7</v>
      </c>
      <c r="B57" s="482" t="s">
        <v>599</v>
      </c>
      <c r="C57" s="385">
        <v>10.0</v>
      </c>
      <c r="D57" s="385" t="s">
        <v>111</v>
      </c>
      <c r="E57" s="385" t="s">
        <v>333</v>
      </c>
      <c r="F57" s="391"/>
      <c r="G57" s="79" t="s">
        <v>243</v>
      </c>
      <c r="H57" s="82" t="b">
        <v>0</v>
      </c>
      <c r="I57" s="393"/>
      <c r="J57" s="82" t="b">
        <v>0</v>
      </c>
      <c r="K57" s="395"/>
      <c r="L57" s="396" t="s">
        <v>600</v>
      </c>
      <c r="M57" s="621" t="s">
        <v>601</v>
      </c>
      <c r="N57" s="496"/>
      <c r="O57" s="622" t="s">
        <v>602</v>
      </c>
      <c r="P57" s="370">
        <v>45674.0</v>
      </c>
      <c r="Q57" s="404"/>
      <c r="R57" s="406">
        <v>46403.0</v>
      </c>
      <c r="S57" s="623">
        <v>45673.0</v>
      </c>
      <c r="T57" s="625"/>
      <c r="U57" s="73">
        <f t="shared" si="2"/>
        <v>2</v>
      </c>
      <c r="V57" s="75">
        <v>4.0</v>
      </c>
      <c r="W57" s="114">
        <v>45775.0</v>
      </c>
      <c r="X57" s="68" t="b">
        <v>1</v>
      </c>
      <c r="Y57" s="114">
        <v>46038.0</v>
      </c>
      <c r="Z57" s="79" t="b">
        <v>1</v>
      </c>
      <c r="AA57" s="182">
        <v>46161.0</v>
      </c>
      <c r="AB57" s="471" t="b">
        <v>0</v>
      </c>
      <c r="AC57" s="626">
        <v>46318.0</v>
      </c>
      <c r="AD57" s="200" t="b">
        <v>0</v>
      </c>
      <c r="AE57" s="378"/>
      <c r="AF57" s="379"/>
      <c r="AG57" s="378"/>
      <c r="AH57" s="379"/>
      <c r="AI57" s="378"/>
      <c r="AJ57" s="379"/>
      <c r="AK57" s="378"/>
      <c r="AL57" s="379"/>
      <c r="AM57" s="379"/>
      <c r="AN57" s="379"/>
      <c r="AO57" s="379"/>
      <c r="AP57" s="379"/>
      <c r="AQ57" s="189"/>
      <c r="AR57" s="189"/>
      <c r="AS57" s="189"/>
      <c r="AT57" s="189"/>
      <c r="AU57" s="191"/>
      <c r="AV57" s="397" t="s">
        <v>317</v>
      </c>
    </row>
    <row r="58" ht="22.5" customHeight="1">
      <c r="A58" s="58">
        <f t="shared" si="4"/>
        <v>8</v>
      </c>
      <c r="B58" s="62" t="s">
        <v>303</v>
      </c>
      <c r="C58" s="67">
        <v>14.4</v>
      </c>
      <c r="D58" s="67" t="s">
        <v>111</v>
      </c>
      <c r="E58" s="67" t="s">
        <v>333</v>
      </c>
      <c r="F58" s="67"/>
      <c r="G58" s="79" t="s">
        <v>105</v>
      </c>
      <c r="H58" s="82" t="b">
        <v>0</v>
      </c>
      <c r="I58" s="628"/>
      <c r="J58" s="82" t="b">
        <v>0</v>
      </c>
      <c r="K58" s="629"/>
      <c r="L58" s="630"/>
      <c r="M58" s="91"/>
      <c r="N58" s="94" t="s">
        <v>389</v>
      </c>
      <c r="O58" s="458"/>
      <c r="P58" s="97">
        <v>45484.0</v>
      </c>
      <c r="Q58" s="100"/>
      <c r="R58" s="102">
        <v>46161.0</v>
      </c>
      <c r="S58" s="631">
        <v>46184.0</v>
      </c>
      <c r="T58" s="175" t="s">
        <v>360</v>
      </c>
      <c r="U58" s="73">
        <f t="shared" si="2"/>
        <v>4</v>
      </c>
      <c r="V58" s="75">
        <v>4.0</v>
      </c>
      <c r="W58" s="343">
        <v>45619.0</v>
      </c>
      <c r="X58" s="68" t="b">
        <v>1</v>
      </c>
      <c r="Y58" s="343">
        <v>45775.0</v>
      </c>
      <c r="Z58" s="259" t="b">
        <v>1</v>
      </c>
      <c r="AA58" s="343">
        <v>45972.0</v>
      </c>
      <c r="AB58" s="259" t="b">
        <v>1</v>
      </c>
      <c r="AC58" s="182">
        <v>46184.0</v>
      </c>
      <c r="AD58" s="137" t="b">
        <v>1</v>
      </c>
      <c r="AE58" s="115"/>
      <c r="AF58" s="143"/>
      <c r="AG58" s="115"/>
      <c r="AH58" s="143"/>
      <c r="AI58" s="115"/>
      <c r="AJ58" s="143"/>
      <c r="AK58" s="115"/>
      <c r="AL58" s="143"/>
      <c r="AM58" s="143"/>
      <c r="AN58" s="143"/>
      <c r="AO58" s="143"/>
      <c r="AP58" s="143"/>
      <c r="AQ58" s="143"/>
      <c r="AR58" s="143"/>
      <c r="AS58" s="143"/>
      <c r="AT58" s="143"/>
      <c r="AU58" s="108"/>
      <c r="AV58" s="173" t="s">
        <v>372</v>
      </c>
    </row>
    <row r="59" ht="22.5" hidden="1" customHeight="1">
      <c r="A59" s="58">
        <f t="shared" si="4"/>
        <v>8</v>
      </c>
      <c r="B59" s="177" t="s">
        <v>612</v>
      </c>
      <c r="C59" s="385">
        <v>14.4</v>
      </c>
      <c r="D59" s="385" t="s">
        <v>111</v>
      </c>
      <c r="E59" s="385" t="s">
        <v>333</v>
      </c>
      <c r="F59" s="391"/>
      <c r="G59" s="79" t="s">
        <v>243</v>
      </c>
      <c r="H59" s="82" t="b">
        <v>0</v>
      </c>
      <c r="I59" s="393"/>
      <c r="J59" s="82" t="b">
        <v>0</v>
      </c>
      <c r="K59" s="395"/>
      <c r="L59" s="396" t="s">
        <v>613</v>
      </c>
      <c r="M59" s="398" t="s">
        <v>614</v>
      </c>
      <c r="N59" s="632" t="s">
        <v>615</v>
      </c>
      <c r="O59" s="497"/>
      <c r="P59" s="370">
        <v>45786.0</v>
      </c>
      <c r="Q59" s="633"/>
      <c r="R59" s="406">
        <v>46515.0</v>
      </c>
      <c r="S59" s="631">
        <v>45972.0</v>
      </c>
      <c r="T59" s="634"/>
      <c r="U59" s="73">
        <f t="shared" si="2"/>
        <v>2</v>
      </c>
      <c r="V59" s="75">
        <v>4.0</v>
      </c>
      <c r="W59" s="243">
        <v>45972.0</v>
      </c>
      <c r="X59" s="68" t="b">
        <v>1</v>
      </c>
      <c r="Y59" s="196">
        <v>46184.0</v>
      </c>
      <c r="Z59" s="137" t="b">
        <v>1</v>
      </c>
      <c r="AA59" s="635">
        <v>46318.0</v>
      </c>
      <c r="AB59" s="197" t="b">
        <v>0</v>
      </c>
      <c r="AC59" s="119">
        <v>46525.0</v>
      </c>
      <c r="AD59" s="200" t="b">
        <v>0</v>
      </c>
      <c r="AE59" s="378"/>
      <c r="AF59" s="379"/>
      <c r="AG59" s="378"/>
      <c r="AH59" s="379"/>
      <c r="AI59" s="378"/>
      <c r="AJ59" s="379"/>
      <c r="AK59" s="378"/>
      <c r="AL59" s="379"/>
      <c r="AM59" s="379"/>
      <c r="AN59" s="379"/>
      <c r="AO59" s="379"/>
      <c r="AP59" s="379"/>
      <c r="AQ59" s="189"/>
      <c r="AR59" s="189"/>
      <c r="AS59" s="189"/>
      <c r="AT59" s="189"/>
      <c r="AU59" s="191"/>
      <c r="AV59" s="397" t="s">
        <v>325</v>
      </c>
    </row>
    <row r="60" ht="22.5" hidden="1" customHeight="1">
      <c r="A60" s="58">
        <f t="shared" si="4"/>
        <v>8</v>
      </c>
      <c r="B60" s="636" t="s">
        <v>621</v>
      </c>
      <c r="C60" s="385">
        <v>12.65</v>
      </c>
      <c r="D60" s="385" t="s">
        <v>111</v>
      </c>
      <c r="E60" s="385" t="s">
        <v>333</v>
      </c>
      <c r="F60" s="391"/>
      <c r="G60" s="79" t="s">
        <v>243</v>
      </c>
      <c r="H60" s="82" t="b">
        <v>0</v>
      </c>
      <c r="I60" s="393"/>
      <c r="J60" s="82" t="b">
        <v>0</v>
      </c>
      <c r="K60" s="395"/>
      <c r="L60" s="396" t="s">
        <v>613</v>
      </c>
      <c r="M60" s="398" t="s">
        <v>614</v>
      </c>
      <c r="N60" s="637" t="s">
        <v>615</v>
      </c>
      <c r="O60" s="497"/>
      <c r="P60" s="370"/>
      <c r="Q60" s="633"/>
      <c r="R60" s="406"/>
      <c r="S60" s="631">
        <v>45972.0</v>
      </c>
      <c r="T60" s="634"/>
      <c r="U60" s="73">
        <f t="shared" si="2"/>
        <v>2</v>
      </c>
      <c r="V60" s="75">
        <v>4.0</v>
      </c>
      <c r="W60" s="114">
        <v>45972.0</v>
      </c>
      <c r="X60" s="68" t="b">
        <v>1</v>
      </c>
      <c r="Y60" s="196">
        <v>46184.0</v>
      </c>
      <c r="Z60" s="137" t="b">
        <v>1</v>
      </c>
      <c r="AA60" s="635">
        <v>46318.0</v>
      </c>
      <c r="AB60" s="197" t="b">
        <v>0</v>
      </c>
      <c r="AC60" s="119">
        <v>46525.0</v>
      </c>
      <c r="AD60" s="200" t="b">
        <v>0</v>
      </c>
      <c r="AE60" s="378"/>
      <c r="AF60" s="379"/>
      <c r="AG60" s="378"/>
      <c r="AH60" s="379"/>
      <c r="AI60" s="378"/>
      <c r="AJ60" s="379"/>
      <c r="AK60" s="378"/>
      <c r="AL60" s="379"/>
      <c r="AM60" s="379"/>
      <c r="AN60" s="379"/>
      <c r="AO60" s="379"/>
      <c r="AP60" s="379"/>
      <c r="AQ60" s="189"/>
      <c r="AR60" s="189"/>
      <c r="AS60" s="189"/>
      <c r="AT60" s="189"/>
      <c r="AU60" s="191"/>
      <c r="AV60" s="145" t="s">
        <v>361</v>
      </c>
    </row>
    <row r="61" ht="22.5" hidden="1" customHeight="1">
      <c r="A61" s="58">
        <f t="shared" si="4"/>
        <v>8</v>
      </c>
      <c r="B61" s="636" t="s">
        <v>624</v>
      </c>
      <c r="C61" s="385">
        <v>24.0</v>
      </c>
      <c r="D61" s="385" t="s">
        <v>111</v>
      </c>
      <c r="E61" s="385" t="s">
        <v>333</v>
      </c>
      <c r="F61" s="147"/>
      <c r="G61" s="79" t="s">
        <v>84</v>
      </c>
      <c r="H61" s="82" t="b">
        <v>0</v>
      </c>
      <c r="I61" s="148"/>
      <c r="J61" s="82" t="b">
        <v>0</v>
      </c>
      <c r="K61" s="149"/>
      <c r="L61" s="147"/>
      <c r="M61" s="150"/>
      <c r="N61" s="151"/>
      <c r="O61" s="152"/>
      <c r="P61" s="154">
        <v>45910.0</v>
      </c>
      <c r="Q61" s="155"/>
      <c r="R61" s="640">
        <v>46631.0</v>
      </c>
      <c r="S61" s="158">
        <v>45972.0</v>
      </c>
      <c r="T61" s="160"/>
      <c r="U61" s="73">
        <f t="shared" si="2"/>
        <v>2</v>
      </c>
      <c r="V61" s="161">
        <v>4.0</v>
      </c>
      <c r="W61" s="641">
        <v>45972.0</v>
      </c>
      <c r="X61" s="68" t="b">
        <v>1</v>
      </c>
      <c r="Y61" s="642">
        <v>46254.0</v>
      </c>
      <c r="Z61" s="68" t="b">
        <v>1</v>
      </c>
      <c r="AA61" s="642">
        <v>46449.0</v>
      </c>
      <c r="AB61" s="68" t="b">
        <v>0</v>
      </c>
      <c r="AC61" s="642">
        <v>46631.0</v>
      </c>
      <c r="AD61" s="68" t="b">
        <v>0</v>
      </c>
      <c r="AE61" s="166"/>
      <c r="AF61" s="167"/>
      <c r="AG61" s="166"/>
      <c r="AH61" s="167"/>
      <c r="AI61" s="166"/>
      <c r="AJ61" s="167"/>
      <c r="AK61" s="166"/>
      <c r="AL61" s="167"/>
      <c r="AM61" s="167"/>
      <c r="AN61" s="167"/>
      <c r="AO61" s="167"/>
      <c r="AP61" s="167"/>
      <c r="AQ61" s="168"/>
      <c r="AR61" s="168"/>
      <c r="AS61" s="168"/>
      <c r="AT61" s="168"/>
      <c r="AU61" s="169"/>
      <c r="AV61" s="173" t="s">
        <v>385</v>
      </c>
    </row>
    <row r="62" ht="22.5" customHeight="1">
      <c r="A62" s="58">
        <f t="shared" si="4"/>
        <v>9</v>
      </c>
      <c r="B62" s="72" t="s">
        <v>305</v>
      </c>
      <c r="C62" s="67">
        <v>15.84</v>
      </c>
      <c r="D62" s="67" t="s">
        <v>111</v>
      </c>
      <c r="E62" s="67" t="s">
        <v>391</v>
      </c>
      <c r="F62" s="67"/>
      <c r="G62" s="79" t="s">
        <v>105</v>
      </c>
      <c r="H62" s="82" t="b">
        <v>0</v>
      </c>
      <c r="I62" s="85"/>
      <c r="J62" s="82" t="b">
        <v>0</v>
      </c>
      <c r="K62" s="89"/>
      <c r="L62" s="62"/>
      <c r="M62" s="91"/>
      <c r="N62" s="644"/>
      <c r="O62" s="646" t="s">
        <v>635</v>
      </c>
      <c r="P62" s="97"/>
      <c r="Q62" s="100"/>
      <c r="R62" s="102">
        <v>46028.0</v>
      </c>
      <c r="S62" s="174">
        <v>46091.0</v>
      </c>
      <c r="T62" s="135" t="s">
        <v>397</v>
      </c>
      <c r="U62" s="73">
        <f t="shared" si="2"/>
        <v>4</v>
      </c>
      <c r="V62" s="75">
        <v>4.0</v>
      </c>
      <c r="W62" s="114">
        <v>45475.0</v>
      </c>
      <c r="X62" s="83" t="b">
        <v>1</v>
      </c>
      <c r="Y62" s="115">
        <v>45727.0</v>
      </c>
      <c r="Z62" s="83" t="b">
        <v>1</v>
      </c>
      <c r="AA62" s="115">
        <v>45920.0</v>
      </c>
      <c r="AB62" s="83" t="b">
        <v>1</v>
      </c>
      <c r="AC62" s="119">
        <v>46091.0</v>
      </c>
      <c r="AD62" s="68" t="b">
        <v>1</v>
      </c>
      <c r="AE62" s="115"/>
      <c r="AF62" s="143"/>
      <c r="AG62" s="115"/>
      <c r="AH62" s="143"/>
      <c r="AI62" s="115"/>
      <c r="AJ62" s="143"/>
      <c r="AK62" s="115"/>
      <c r="AL62" s="143"/>
      <c r="AM62" s="143"/>
      <c r="AN62" s="143"/>
      <c r="AO62" s="143"/>
      <c r="AP62" s="143"/>
      <c r="AQ62" s="143"/>
      <c r="AR62" s="143"/>
      <c r="AS62" s="143"/>
      <c r="AT62" s="143"/>
      <c r="AU62" s="108"/>
      <c r="AV62" s="120"/>
    </row>
    <row r="63" ht="22.5" customHeight="1">
      <c r="A63" s="58">
        <f t="shared" si="4"/>
        <v>10</v>
      </c>
      <c r="B63" s="72" t="s">
        <v>310</v>
      </c>
      <c r="C63" s="67">
        <v>9.0</v>
      </c>
      <c r="D63" s="67"/>
      <c r="E63" s="67" t="s">
        <v>391</v>
      </c>
      <c r="F63" s="147"/>
      <c r="G63" s="79" t="s">
        <v>105</v>
      </c>
      <c r="H63" s="82" t="b">
        <v>0</v>
      </c>
      <c r="I63" s="148"/>
      <c r="J63" s="82" t="b">
        <v>0</v>
      </c>
      <c r="K63" s="149"/>
      <c r="L63" s="186" t="s">
        <v>640</v>
      </c>
      <c r="M63" s="352" t="s">
        <v>641</v>
      </c>
      <c r="N63" s="150"/>
      <c r="O63" s="152"/>
      <c r="P63" s="655"/>
      <c r="Q63" s="155"/>
      <c r="R63" s="270">
        <v>46091.0</v>
      </c>
      <c r="S63" s="251">
        <v>46091.0</v>
      </c>
      <c r="T63" s="160"/>
      <c r="U63" s="73">
        <f t="shared" si="2"/>
        <v>4</v>
      </c>
      <c r="V63" s="161">
        <v>4.0</v>
      </c>
      <c r="W63" s="162">
        <v>45842.0</v>
      </c>
      <c r="X63" s="68" t="b">
        <v>1</v>
      </c>
      <c r="Y63" s="163">
        <v>45727.0</v>
      </c>
      <c r="Z63" s="68" t="b">
        <v>1</v>
      </c>
      <c r="AA63" s="163">
        <v>45919.0</v>
      </c>
      <c r="AB63" s="68" t="b">
        <v>1</v>
      </c>
      <c r="AC63" s="163">
        <v>46091.0</v>
      </c>
      <c r="AD63" s="68" t="b">
        <v>1</v>
      </c>
      <c r="AE63" s="166"/>
      <c r="AF63" s="167"/>
      <c r="AG63" s="166"/>
      <c r="AH63" s="167"/>
      <c r="AI63" s="166"/>
      <c r="AJ63" s="167"/>
      <c r="AK63" s="166"/>
      <c r="AL63" s="167"/>
      <c r="AM63" s="166"/>
      <c r="AN63" s="167"/>
      <c r="AO63" s="166"/>
      <c r="AP63" s="167"/>
      <c r="AQ63" s="168"/>
      <c r="AR63" s="168"/>
      <c r="AS63" s="168"/>
      <c r="AT63" s="168"/>
      <c r="AU63" s="169"/>
      <c r="AV63" s="120"/>
    </row>
    <row r="64" ht="22.5" hidden="1" customHeight="1">
      <c r="A64" s="58">
        <f>SUBTOTAL(3,$B$4:B63)</f>
        <v>10</v>
      </c>
      <c r="B64" s="662" t="s">
        <v>313</v>
      </c>
      <c r="C64" s="67">
        <v>15.84</v>
      </c>
      <c r="D64" s="67" t="s">
        <v>111</v>
      </c>
      <c r="E64" s="67" t="s">
        <v>391</v>
      </c>
      <c r="F64" s="67"/>
      <c r="G64" s="79" t="s">
        <v>55</v>
      </c>
      <c r="H64" s="82" t="b">
        <v>1</v>
      </c>
      <c r="I64" s="85">
        <v>45827.0</v>
      </c>
      <c r="J64" s="82" t="b">
        <v>0</v>
      </c>
      <c r="K64" s="89"/>
      <c r="L64" s="62" t="s">
        <v>407</v>
      </c>
      <c r="M64" s="91" t="s">
        <v>408</v>
      </c>
      <c r="N64" s="644" t="s">
        <v>657</v>
      </c>
      <c r="O64" s="458"/>
      <c r="P64" s="97">
        <v>44923.0</v>
      </c>
      <c r="Q64" s="100"/>
      <c r="R64" s="102">
        <v>45664.0</v>
      </c>
      <c r="S64" s="104">
        <v>45727.0</v>
      </c>
      <c r="T64" s="135" t="s">
        <v>397</v>
      </c>
      <c r="U64" s="73">
        <f t="shared" si="2"/>
        <v>4</v>
      </c>
      <c r="V64" s="75">
        <v>4.0</v>
      </c>
      <c r="W64" s="114">
        <v>45086.0</v>
      </c>
      <c r="X64" s="68" t="b">
        <v>1</v>
      </c>
      <c r="Y64" s="115">
        <v>45330.0</v>
      </c>
      <c r="Z64" s="68" t="b">
        <v>1</v>
      </c>
      <c r="AA64" s="115">
        <v>45475.0</v>
      </c>
      <c r="AB64" s="68" t="b">
        <v>1</v>
      </c>
      <c r="AC64" s="119">
        <v>45677.0</v>
      </c>
      <c r="AD64" s="137" t="b">
        <v>1</v>
      </c>
      <c r="AE64" s="115">
        <v>45903.0</v>
      </c>
      <c r="AF64" s="143" t="b">
        <v>0</v>
      </c>
      <c r="AG64" s="119">
        <v>46085.0</v>
      </c>
      <c r="AH64" s="143" t="b">
        <v>0</v>
      </c>
      <c r="AI64" s="115">
        <v>46267.0</v>
      </c>
      <c r="AJ64" s="143" t="b">
        <v>0</v>
      </c>
      <c r="AK64" s="119">
        <v>46449.0</v>
      </c>
      <c r="AL64" s="143" t="b">
        <v>0</v>
      </c>
      <c r="AM64" s="68"/>
      <c r="AN64" s="68"/>
      <c r="AO64" s="68"/>
      <c r="AP64" s="68"/>
      <c r="AQ64" s="68"/>
      <c r="AR64" s="68"/>
      <c r="AS64" s="68"/>
      <c r="AT64" s="68"/>
      <c r="AU64" s="253"/>
      <c r="AV64" s="173" t="s">
        <v>398</v>
      </c>
    </row>
    <row r="65" ht="22.5" customHeight="1">
      <c r="A65" s="58">
        <f t="shared" ref="A65:A90" si="5">SUBTOTAL(3,$B$4:B65)</f>
        <v>11</v>
      </c>
      <c r="B65" s="72" t="s">
        <v>313</v>
      </c>
      <c r="C65" s="67">
        <v>10.0</v>
      </c>
      <c r="D65" s="67" t="s">
        <v>111</v>
      </c>
      <c r="E65" s="67" t="s">
        <v>391</v>
      </c>
      <c r="F65" s="67"/>
      <c r="G65" s="79" t="s">
        <v>105</v>
      </c>
      <c r="H65" s="82" t="b">
        <v>0</v>
      </c>
      <c r="I65" s="85"/>
      <c r="J65" s="82" t="b">
        <v>0</v>
      </c>
      <c r="K65" s="89"/>
      <c r="L65" s="62" t="s">
        <v>402</v>
      </c>
      <c r="M65" s="91"/>
      <c r="N65" s="644"/>
      <c r="O65" s="458"/>
      <c r="P65" s="97"/>
      <c r="Q65" s="100"/>
      <c r="R65" s="102">
        <v>46028.0</v>
      </c>
      <c r="S65" s="174">
        <v>46091.0</v>
      </c>
      <c r="T65" s="135" t="s">
        <v>397</v>
      </c>
      <c r="U65" s="73">
        <f t="shared" si="2"/>
        <v>4</v>
      </c>
      <c r="V65" s="75">
        <v>4.0</v>
      </c>
      <c r="W65" s="114">
        <v>45475.0</v>
      </c>
      <c r="X65" s="68" t="b">
        <v>1</v>
      </c>
      <c r="Y65" s="115">
        <v>45727.0</v>
      </c>
      <c r="Z65" s="68" t="b">
        <v>1</v>
      </c>
      <c r="AA65" s="115">
        <v>45920.0</v>
      </c>
      <c r="AB65" s="68" t="b">
        <v>1</v>
      </c>
      <c r="AC65" s="119">
        <v>46091.0</v>
      </c>
      <c r="AD65" s="68" t="b">
        <v>1</v>
      </c>
      <c r="AE65" s="115"/>
      <c r="AF65" s="143"/>
      <c r="AG65" s="115"/>
      <c r="AH65" s="143"/>
      <c r="AI65" s="115"/>
      <c r="AJ65" s="143"/>
      <c r="AK65" s="115"/>
      <c r="AL65" s="143"/>
      <c r="AM65" s="143"/>
      <c r="AN65" s="143"/>
      <c r="AO65" s="143"/>
      <c r="AP65" s="143"/>
      <c r="AQ65" s="143"/>
      <c r="AR65" s="143"/>
      <c r="AS65" s="143"/>
      <c r="AT65" s="143"/>
      <c r="AU65" s="108"/>
      <c r="AV65" s="173" t="s">
        <v>400</v>
      </c>
    </row>
    <row r="66" ht="22.5" customHeight="1">
      <c r="A66" s="58">
        <f t="shared" si="5"/>
        <v>12</v>
      </c>
      <c r="B66" s="72" t="s">
        <v>316</v>
      </c>
      <c r="C66" s="67">
        <v>12.48</v>
      </c>
      <c r="D66" s="67" t="s">
        <v>420</v>
      </c>
      <c r="E66" s="67" t="s">
        <v>391</v>
      </c>
      <c r="F66" s="67"/>
      <c r="G66" s="79" t="s">
        <v>105</v>
      </c>
      <c r="H66" s="82" t="b">
        <v>0</v>
      </c>
      <c r="I66" s="675"/>
      <c r="J66" s="82" t="b">
        <v>0</v>
      </c>
      <c r="K66" s="677"/>
      <c r="L66" s="681" t="s">
        <v>422</v>
      </c>
      <c r="M66" s="341" t="s">
        <v>425</v>
      </c>
      <c r="N66" s="644"/>
      <c r="O66" s="458"/>
      <c r="P66" s="97"/>
      <c r="Q66" s="100"/>
      <c r="R66" s="102">
        <v>46028.0</v>
      </c>
      <c r="S66" s="174">
        <v>46091.0</v>
      </c>
      <c r="T66" s="135" t="s">
        <v>397</v>
      </c>
      <c r="U66" s="73">
        <f t="shared" si="2"/>
        <v>4</v>
      </c>
      <c r="V66" s="75">
        <v>4.0</v>
      </c>
      <c r="W66" s="114">
        <v>45475.0</v>
      </c>
      <c r="X66" s="68" t="b">
        <v>1</v>
      </c>
      <c r="Y66" s="115">
        <v>45727.0</v>
      </c>
      <c r="Z66" s="68" t="b">
        <v>1</v>
      </c>
      <c r="AA66" s="115">
        <v>45919.0</v>
      </c>
      <c r="AB66" s="68" t="b">
        <v>1</v>
      </c>
      <c r="AC66" s="119">
        <v>46091.0</v>
      </c>
      <c r="AD66" s="68" t="b">
        <v>1</v>
      </c>
      <c r="AE66" s="115"/>
      <c r="AF66" s="143"/>
      <c r="AG66" s="115"/>
      <c r="AH66" s="143"/>
      <c r="AI66" s="115"/>
      <c r="AJ66" s="143"/>
      <c r="AK66" s="115"/>
      <c r="AL66" s="143"/>
      <c r="AM66" s="143"/>
      <c r="AN66" s="143"/>
      <c r="AO66" s="143"/>
      <c r="AP66" s="143"/>
      <c r="AQ66" s="143"/>
      <c r="AR66" s="143"/>
      <c r="AS66" s="143"/>
      <c r="AT66" s="143"/>
      <c r="AU66" s="108"/>
      <c r="AV66" s="120"/>
    </row>
    <row r="67" ht="22.5" customHeight="1">
      <c r="A67" s="58">
        <f t="shared" si="5"/>
        <v>13</v>
      </c>
      <c r="B67" s="72" t="s">
        <v>668</v>
      </c>
      <c r="C67" s="67">
        <v>12.48</v>
      </c>
      <c r="D67" s="67" t="s">
        <v>295</v>
      </c>
      <c r="E67" s="469" t="s">
        <v>430</v>
      </c>
      <c r="F67" s="67"/>
      <c r="G67" s="79" t="s">
        <v>105</v>
      </c>
      <c r="H67" s="82" t="b">
        <v>0</v>
      </c>
      <c r="I67" s="690"/>
      <c r="J67" s="82" t="b">
        <v>0</v>
      </c>
      <c r="K67" s="491"/>
      <c r="L67" s="308" t="s">
        <v>432</v>
      </c>
      <c r="M67" s="91">
        <v>9.51013762E8</v>
      </c>
      <c r="N67" s="691" t="s">
        <v>433</v>
      </c>
      <c r="O67" s="458"/>
      <c r="P67" s="97">
        <v>45209.0</v>
      </c>
      <c r="Q67" s="100"/>
      <c r="R67" s="102">
        <v>45923.0</v>
      </c>
      <c r="S67" s="174">
        <v>45923.0</v>
      </c>
      <c r="T67" s="135" t="s">
        <v>435</v>
      </c>
      <c r="U67" s="73">
        <f t="shared" si="2"/>
        <v>4</v>
      </c>
      <c r="V67" s="75">
        <v>4.0</v>
      </c>
      <c r="W67" s="114">
        <v>45387.0</v>
      </c>
      <c r="X67" s="68" t="b">
        <v>1</v>
      </c>
      <c r="Y67" s="115">
        <v>45584.0</v>
      </c>
      <c r="Z67" s="68" t="b">
        <v>1</v>
      </c>
      <c r="AA67" s="115">
        <v>45741.0</v>
      </c>
      <c r="AB67" s="83" t="b">
        <v>1</v>
      </c>
      <c r="AC67" s="119">
        <v>45923.0</v>
      </c>
      <c r="AD67" s="68" t="b">
        <v>1</v>
      </c>
      <c r="AE67" s="119"/>
      <c r="AF67" s="68"/>
      <c r="AG67" s="119"/>
      <c r="AH67" s="68"/>
      <c r="AI67" s="119"/>
      <c r="AJ67" s="68"/>
      <c r="AK67" s="119"/>
      <c r="AL67" s="68"/>
      <c r="AM67" s="68"/>
      <c r="AN67" s="68"/>
      <c r="AO67" s="68"/>
      <c r="AP67" s="68"/>
      <c r="AQ67" s="68"/>
      <c r="AR67" s="68"/>
      <c r="AS67" s="68"/>
      <c r="AT67" s="68"/>
      <c r="AU67" s="108"/>
      <c r="AV67" s="110"/>
    </row>
    <row r="68" ht="22.5" customHeight="1">
      <c r="A68" s="58">
        <f t="shared" si="5"/>
        <v>14</v>
      </c>
      <c r="B68" s="170" t="s">
        <v>324</v>
      </c>
      <c r="C68" s="67">
        <v>12.96</v>
      </c>
      <c r="D68" s="67" t="s">
        <v>199</v>
      </c>
      <c r="E68" s="67" t="s">
        <v>430</v>
      </c>
      <c r="F68" s="67"/>
      <c r="G68" s="79" t="s">
        <v>105</v>
      </c>
      <c r="H68" s="82" t="b">
        <v>0</v>
      </c>
      <c r="I68" s="85"/>
      <c r="J68" s="82" t="b">
        <v>0</v>
      </c>
      <c r="K68" s="89"/>
      <c r="L68" s="62" t="s">
        <v>674</v>
      </c>
      <c r="M68" s="91"/>
      <c r="N68" s="591" t="s">
        <v>675</v>
      </c>
      <c r="O68" s="458"/>
      <c r="P68" s="97">
        <v>45387.0</v>
      </c>
      <c r="Q68" s="100"/>
      <c r="R68" s="102">
        <v>46105.0</v>
      </c>
      <c r="S68" s="463">
        <v>46112.0</v>
      </c>
      <c r="T68" s="135" t="s">
        <v>435</v>
      </c>
      <c r="U68" s="73">
        <f t="shared" si="2"/>
        <v>4</v>
      </c>
      <c r="V68" s="75">
        <v>4.0</v>
      </c>
      <c r="W68" s="114">
        <v>45584.0</v>
      </c>
      <c r="X68" s="83" t="b">
        <v>1</v>
      </c>
      <c r="Y68" s="115">
        <v>45798.0</v>
      </c>
      <c r="Z68" s="83" t="b">
        <v>1</v>
      </c>
      <c r="AA68" s="119">
        <v>45923.0</v>
      </c>
      <c r="AB68" s="83" t="b">
        <v>1</v>
      </c>
      <c r="AC68" s="119">
        <v>46112.0</v>
      </c>
      <c r="AD68" s="68" t="b">
        <v>1</v>
      </c>
      <c r="AE68" s="115"/>
      <c r="AF68" s="143"/>
      <c r="AG68" s="449"/>
      <c r="AH68" s="143"/>
      <c r="AI68" s="449"/>
      <c r="AJ68" s="143"/>
      <c r="AK68" s="115"/>
      <c r="AL68" s="143"/>
      <c r="AM68" s="143"/>
      <c r="AN68" s="143"/>
      <c r="AO68" s="143"/>
      <c r="AP68" s="143"/>
      <c r="AQ68" s="143"/>
      <c r="AR68" s="143"/>
      <c r="AS68" s="143"/>
      <c r="AT68" s="143"/>
      <c r="AU68" s="108"/>
      <c r="AV68" s="110"/>
    </row>
    <row r="69" ht="22.5" customHeight="1">
      <c r="A69" s="58">
        <f t="shared" si="5"/>
        <v>15</v>
      </c>
      <c r="B69" s="72" t="s">
        <v>676</v>
      </c>
      <c r="C69" s="67">
        <v>12.96</v>
      </c>
      <c r="D69" s="67" t="s">
        <v>111</v>
      </c>
      <c r="E69" s="67" t="s">
        <v>430</v>
      </c>
      <c r="F69" s="67"/>
      <c r="G69" s="79" t="s">
        <v>105</v>
      </c>
      <c r="H69" s="82" t="b">
        <v>0</v>
      </c>
      <c r="I69" s="85"/>
      <c r="J69" s="82" t="b">
        <v>0</v>
      </c>
      <c r="K69" s="89"/>
      <c r="L69" s="62" t="s">
        <v>678</v>
      </c>
      <c r="M69" s="341" t="s">
        <v>679</v>
      </c>
      <c r="N69" s="644" t="s">
        <v>680</v>
      </c>
      <c r="O69" s="458"/>
      <c r="P69" s="97">
        <v>45387.0</v>
      </c>
      <c r="Q69" s="100"/>
      <c r="R69" s="102">
        <v>46105.0</v>
      </c>
      <c r="S69" s="463">
        <v>46112.0</v>
      </c>
      <c r="T69" s="135" t="s">
        <v>435</v>
      </c>
      <c r="U69" s="73">
        <f t="shared" si="2"/>
        <v>4</v>
      </c>
      <c r="V69" s="75">
        <v>4.0</v>
      </c>
      <c r="W69" s="115">
        <v>45584.0</v>
      </c>
      <c r="X69" s="68" t="b">
        <v>1</v>
      </c>
      <c r="Y69" s="115">
        <v>45741.0</v>
      </c>
      <c r="Z69" s="68" t="b">
        <v>1</v>
      </c>
      <c r="AA69" s="119">
        <v>45923.0</v>
      </c>
      <c r="AB69" s="83" t="b">
        <v>1</v>
      </c>
      <c r="AC69" s="119">
        <v>46112.0</v>
      </c>
      <c r="AD69" s="68" t="b">
        <v>1</v>
      </c>
      <c r="AE69" s="115"/>
      <c r="AF69" s="143"/>
      <c r="AG69" s="115"/>
      <c r="AH69" s="143"/>
      <c r="AI69" s="115"/>
      <c r="AJ69" s="143"/>
      <c r="AK69" s="115"/>
      <c r="AL69" s="143"/>
      <c r="AM69" s="143"/>
      <c r="AN69" s="143"/>
      <c r="AO69" s="143"/>
      <c r="AP69" s="143"/>
      <c r="AQ69" s="143"/>
      <c r="AR69" s="143"/>
      <c r="AS69" s="143"/>
      <c r="AT69" s="143"/>
      <c r="AU69" s="108"/>
      <c r="AV69" s="110"/>
    </row>
    <row r="70" ht="22.5" customHeight="1">
      <c r="A70" s="58">
        <f t="shared" si="5"/>
        <v>16</v>
      </c>
      <c r="B70" s="72" t="s">
        <v>330</v>
      </c>
      <c r="C70" s="67">
        <v>14.4</v>
      </c>
      <c r="D70" s="67" t="s">
        <v>111</v>
      </c>
      <c r="E70" s="67" t="s">
        <v>430</v>
      </c>
      <c r="F70" s="67"/>
      <c r="G70" s="79" t="s">
        <v>105</v>
      </c>
      <c r="H70" s="82" t="b">
        <v>0</v>
      </c>
      <c r="I70" s="707"/>
      <c r="J70" s="82" t="b">
        <v>0</v>
      </c>
      <c r="K70" s="629"/>
      <c r="L70" s="710" t="s">
        <v>688</v>
      </c>
      <c r="M70" s="91"/>
      <c r="N70" s="591" t="s">
        <v>689</v>
      </c>
      <c r="O70" s="458"/>
      <c r="P70" s="97">
        <v>45418.0</v>
      </c>
      <c r="Q70" s="100"/>
      <c r="R70" s="102">
        <v>46140.0</v>
      </c>
      <c r="S70" s="463">
        <v>46112.0</v>
      </c>
      <c r="T70" s="711" t="s">
        <v>452</v>
      </c>
      <c r="U70" s="73">
        <f t="shared" si="2"/>
        <v>4</v>
      </c>
      <c r="V70" s="75">
        <v>4.0</v>
      </c>
      <c r="W70" s="114">
        <v>45605.0</v>
      </c>
      <c r="X70" s="79" t="b">
        <v>1</v>
      </c>
      <c r="Y70" s="343">
        <v>45741.0</v>
      </c>
      <c r="Z70" s="79" t="b">
        <v>1</v>
      </c>
      <c r="AA70" s="343">
        <v>45923.0</v>
      </c>
      <c r="AB70" s="68" t="b">
        <v>1</v>
      </c>
      <c r="AC70" s="115">
        <v>46112.0</v>
      </c>
      <c r="AD70" s="137" t="b">
        <v>1</v>
      </c>
      <c r="AE70" s="115"/>
      <c r="AF70" s="143"/>
      <c r="AG70" s="115"/>
      <c r="AH70" s="143"/>
      <c r="AI70" s="715"/>
      <c r="AJ70" s="143"/>
      <c r="AK70" s="115"/>
      <c r="AL70" s="143"/>
      <c r="AM70" s="143"/>
      <c r="AN70" s="143"/>
      <c r="AO70" s="143"/>
      <c r="AP70" s="143"/>
      <c r="AQ70" s="143"/>
      <c r="AR70" s="143"/>
      <c r="AS70" s="143"/>
      <c r="AT70" s="143"/>
      <c r="AU70" s="108"/>
      <c r="AV70" s="110"/>
    </row>
    <row r="71" ht="22.5" hidden="1" customHeight="1">
      <c r="A71" s="58">
        <f t="shared" si="5"/>
        <v>16</v>
      </c>
      <c r="B71" s="62" t="s">
        <v>690</v>
      </c>
      <c r="C71" s="67">
        <v>16.87</v>
      </c>
      <c r="D71" s="67"/>
      <c r="E71" s="67"/>
      <c r="F71" s="147"/>
      <c r="G71" s="79" t="s">
        <v>84</v>
      </c>
      <c r="H71" s="82" t="b">
        <v>0</v>
      </c>
      <c r="I71" s="148"/>
      <c r="J71" s="82" t="b">
        <v>0</v>
      </c>
      <c r="K71" s="149"/>
      <c r="L71" s="147"/>
      <c r="M71" s="150"/>
      <c r="N71" s="150"/>
      <c r="O71" s="152"/>
      <c r="P71" s="154">
        <v>46104.0</v>
      </c>
      <c r="Q71" s="155"/>
      <c r="R71" s="156">
        <v>46834.0</v>
      </c>
      <c r="S71" s="192"/>
      <c r="T71" s="160"/>
      <c r="U71" s="73">
        <f t="shared" si="2"/>
        <v>0</v>
      </c>
      <c r="V71" s="161">
        <v>4.0</v>
      </c>
      <c r="W71" s="723">
        <v>46287.0</v>
      </c>
      <c r="X71" s="724" t="b">
        <v>0</v>
      </c>
      <c r="Y71" s="725">
        <v>46469.0</v>
      </c>
      <c r="Z71" s="724" t="b">
        <v>0</v>
      </c>
      <c r="AA71" s="725">
        <v>46658.0</v>
      </c>
      <c r="AB71" s="724" t="b">
        <v>0</v>
      </c>
      <c r="AC71" s="725">
        <v>46808.0</v>
      </c>
      <c r="AD71" s="726" t="b">
        <v>0</v>
      </c>
      <c r="AE71" s="166"/>
      <c r="AF71" s="167"/>
      <c r="AG71" s="166"/>
      <c r="AH71" s="167"/>
      <c r="AI71" s="166"/>
      <c r="AJ71" s="167"/>
      <c r="AK71" s="166"/>
      <c r="AL71" s="167"/>
      <c r="AM71" s="167"/>
      <c r="AN71" s="167"/>
      <c r="AO71" s="167"/>
      <c r="AP71" s="167"/>
      <c r="AQ71" s="168"/>
      <c r="AR71" s="168"/>
      <c r="AS71" s="168"/>
      <c r="AT71" s="168"/>
      <c r="AU71" s="169"/>
      <c r="AV71" s="110"/>
    </row>
    <row r="72" ht="33.75" hidden="1" customHeight="1">
      <c r="A72" s="58">
        <f t="shared" si="5"/>
        <v>16</v>
      </c>
      <c r="B72" s="62" t="s">
        <v>693</v>
      </c>
      <c r="C72" s="67">
        <v>18.72</v>
      </c>
      <c r="D72" s="67" t="s">
        <v>111</v>
      </c>
      <c r="E72" s="67" t="s">
        <v>430</v>
      </c>
      <c r="F72" s="391"/>
      <c r="G72" s="79" t="s">
        <v>243</v>
      </c>
      <c r="H72" s="82" t="b">
        <v>0</v>
      </c>
      <c r="I72" s="393"/>
      <c r="J72" s="82" t="b">
        <v>0</v>
      </c>
      <c r="K72" s="395"/>
      <c r="L72" s="391"/>
      <c r="M72" s="495"/>
      <c r="N72" s="609"/>
      <c r="O72" s="497"/>
      <c r="P72" s="370">
        <v>45692.0</v>
      </c>
      <c r="Q72" s="404"/>
      <c r="R72" s="406">
        <v>46468.0</v>
      </c>
      <c r="S72" s="463">
        <v>46112.0</v>
      </c>
      <c r="T72" s="498"/>
      <c r="U72" s="73">
        <f t="shared" si="2"/>
        <v>2</v>
      </c>
      <c r="V72" s="75">
        <v>4.0</v>
      </c>
      <c r="W72" s="284">
        <v>45923.0</v>
      </c>
      <c r="X72" s="83" t="b">
        <v>1</v>
      </c>
      <c r="Y72" s="411">
        <v>46112.0</v>
      </c>
      <c r="Z72" s="83" t="b">
        <v>1</v>
      </c>
      <c r="AA72" s="411">
        <v>46287.0</v>
      </c>
      <c r="AB72" s="254" t="b">
        <v>0</v>
      </c>
      <c r="AC72" s="287">
        <v>46469.0</v>
      </c>
      <c r="AD72" s="200" t="b">
        <v>0</v>
      </c>
      <c r="AE72" s="378"/>
      <c r="AF72" s="379"/>
      <c r="AG72" s="378"/>
      <c r="AH72" s="379"/>
      <c r="AI72" s="378"/>
      <c r="AJ72" s="379"/>
      <c r="AK72" s="378"/>
      <c r="AL72" s="379"/>
      <c r="AM72" s="379"/>
      <c r="AN72" s="379"/>
      <c r="AO72" s="379"/>
      <c r="AP72" s="379"/>
      <c r="AQ72" s="189"/>
      <c r="AR72" s="189"/>
      <c r="AS72" s="189"/>
      <c r="AT72" s="189"/>
      <c r="AU72" s="191"/>
      <c r="AV72" s="110"/>
    </row>
    <row r="73" ht="35.25" customHeight="1">
      <c r="A73" s="58">
        <f t="shared" si="5"/>
        <v>17</v>
      </c>
      <c r="B73" s="72" t="s">
        <v>698</v>
      </c>
      <c r="C73" s="67">
        <v>10.0</v>
      </c>
      <c r="D73" s="67" t="s">
        <v>199</v>
      </c>
      <c r="E73" s="67" t="s">
        <v>430</v>
      </c>
      <c r="F73" s="67"/>
      <c r="G73" s="79" t="s">
        <v>105</v>
      </c>
      <c r="H73" s="82" t="b">
        <v>0</v>
      </c>
      <c r="I73" s="85"/>
      <c r="J73" s="82" t="b">
        <v>0</v>
      </c>
      <c r="K73" s="89"/>
      <c r="L73" s="62" t="s">
        <v>678</v>
      </c>
      <c r="M73" s="341" t="s">
        <v>679</v>
      </c>
      <c r="N73" s="644" t="s">
        <v>680</v>
      </c>
      <c r="O73" s="458"/>
      <c r="P73" s="97">
        <v>45373.0</v>
      </c>
      <c r="Q73" s="100"/>
      <c r="R73" s="102">
        <v>46105.0</v>
      </c>
      <c r="S73" s="463">
        <v>46112.0</v>
      </c>
      <c r="T73" s="135" t="s">
        <v>435</v>
      </c>
      <c r="U73" s="73">
        <f t="shared" si="2"/>
        <v>4</v>
      </c>
      <c r="V73" s="75">
        <v>4.0</v>
      </c>
      <c r="W73" s="114">
        <v>45584.0</v>
      </c>
      <c r="X73" s="68" t="b">
        <v>1</v>
      </c>
      <c r="Y73" s="115">
        <v>45741.0</v>
      </c>
      <c r="Z73" s="68" t="b">
        <v>1</v>
      </c>
      <c r="AA73" s="119">
        <v>45923.0</v>
      </c>
      <c r="AB73" s="68" t="b">
        <v>1</v>
      </c>
      <c r="AC73" s="119">
        <v>46112.0</v>
      </c>
      <c r="AD73" s="68" t="b">
        <v>1</v>
      </c>
      <c r="AE73" s="115"/>
      <c r="AF73" s="143"/>
      <c r="AG73" s="115"/>
      <c r="AH73" s="143"/>
      <c r="AI73" s="115"/>
      <c r="AJ73" s="143"/>
      <c r="AK73" s="115"/>
      <c r="AL73" s="143"/>
      <c r="AM73" s="143"/>
      <c r="AN73" s="143"/>
      <c r="AO73" s="143"/>
      <c r="AP73" s="143"/>
      <c r="AQ73" s="143"/>
      <c r="AR73" s="143"/>
      <c r="AS73" s="143"/>
      <c r="AT73" s="143"/>
      <c r="AU73" s="108"/>
      <c r="AV73" s="733" t="s">
        <v>325</v>
      </c>
    </row>
    <row r="74" ht="22.5" customHeight="1">
      <c r="A74" s="58">
        <f t="shared" si="5"/>
        <v>18</v>
      </c>
      <c r="B74" s="72" t="s">
        <v>701</v>
      </c>
      <c r="C74" s="67">
        <v>12.48</v>
      </c>
      <c r="D74" s="67" t="s">
        <v>111</v>
      </c>
      <c r="E74" s="129" t="s">
        <v>430</v>
      </c>
      <c r="F74" s="67"/>
      <c r="G74" s="79" t="s">
        <v>105</v>
      </c>
      <c r="H74" s="82" t="b">
        <v>0</v>
      </c>
      <c r="I74" s="85"/>
      <c r="J74" s="82" t="b">
        <v>0</v>
      </c>
      <c r="K74" s="89"/>
      <c r="L74" s="62" t="s">
        <v>678</v>
      </c>
      <c r="M74" s="341" t="s">
        <v>679</v>
      </c>
      <c r="N74" s="644" t="s">
        <v>680</v>
      </c>
      <c r="O74" s="458"/>
      <c r="P74" s="97">
        <v>45428.0</v>
      </c>
      <c r="Q74" s="100"/>
      <c r="R74" s="102">
        <v>46140.0</v>
      </c>
      <c r="S74" s="463">
        <v>46112.0</v>
      </c>
      <c r="T74" s="175" t="s">
        <v>452</v>
      </c>
      <c r="U74" s="73">
        <f t="shared" si="2"/>
        <v>4</v>
      </c>
      <c r="V74" s="75">
        <v>4.0</v>
      </c>
      <c r="W74" s="114">
        <v>45584.0</v>
      </c>
      <c r="X74" s="83" t="b">
        <v>1</v>
      </c>
      <c r="Y74" s="115">
        <v>45741.0</v>
      </c>
      <c r="Z74" s="83" t="b">
        <v>1</v>
      </c>
      <c r="AA74" s="115">
        <v>45923.0</v>
      </c>
      <c r="AB74" s="83" t="b">
        <v>1</v>
      </c>
      <c r="AC74" s="115">
        <v>46112.0</v>
      </c>
      <c r="AD74" s="137" t="b">
        <v>1</v>
      </c>
      <c r="AE74" s="115"/>
      <c r="AF74" s="143"/>
      <c r="AG74" s="115"/>
      <c r="AH74" s="143"/>
      <c r="AI74" s="115"/>
      <c r="AJ74" s="143"/>
      <c r="AK74" s="115"/>
      <c r="AL74" s="143"/>
      <c r="AM74" s="143"/>
      <c r="AN74" s="143"/>
      <c r="AO74" s="143"/>
      <c r="AP74" s="143"/>
      <c r="AQ74" s="143"/>
      <c r="AR74" s="143"/>
      <c r="AS74" s="143"/>
      <c r="AT74" s="143"/>
      <c r="AU74" s="108"/>
      <c r="AV74" s="110"/>
    </row>
    <row r="75" ht="22.5" hidden="1" customHeight="1">
      <c r="A75" s="58">
        <f t="shared" si="5"/>
        <v>18</v>
      </c>
      <c r="B75" s="113" t="s">
        <v>707</v>
      </c>
      <c r="C75" s="67">
        <v>14.79</v>
      </c>
      <c r="D75" s="67" t="s">
        <v>111</v>
      </c>
      <c r="E75" s="67" t="s">
        <v>430</v>
      </c>
      <c r="F75" s="147"/>
      <c r="G75" s="79" t="s">
        <v>84</v>
      </c>
      <c r="H75" s="82" t="b">
        <v>0</v>
      </c>
      <c r="I75" s="743"/>
      <c r="J75" s="82" t="b">
        <v>0</v>
      </c>
      <c r="K75" s="149"/>
      <c r="L75" s="147"/>
      <c r="M75" s="150"/>
      <c r="N75" s="151"/>
      <c r="O75" s="152"/>
      <c r="P75" s="154">
        <v>45994.0</v>
      </c>
      <c r="Q75" s="155"/>
      <c r="R75" s="156">
        <v>46723.0</v>
      </c>
      <c r="S75" s="192"/>
      <c r="T75" s="160"/>
      <c r="U75" s="73">
        <f t="shared" si="2"/>
        <v>1</v>
      </c>
      <c r="V75" s="161">
        <v>4.0</v>
      </c>
      <c r="W75" s="328">
        <v>46112.0</v>
      </c>
      <c r="X75" s="746" t="b">
        <v>1</v>
      </c>
      <c r="Y75" s="303">
        <v>46287.0</v>
      </c>
      <c r="Z75" s="746" t="b">
        <v>0</v>
      </c>
      <c r="AA75" s="303">
        <v>46469.0</v>
      </c>
      <c r="AB75" s="746" t="b">
        <v>0</v>
      </c>
      <c r="AC75" s="303">
        <v>46658.0</v>
      </c>
      <c r="AD75" s="68" t="b">
        <v>0</v>
      </c>
      <c r="AE75" s="256"/>
      <c r="AF75" s="256"/>
      <c r="AG75" s="256"/>
      <c r="AH75" s="256"/>
      <c r="AI75" s="256"/>
      <c r="AJ75" s="256"/>
      <c r="AK75" s="256"/>
      <c r="AL75" s="256"/>
      <c r="AM75" s="167"/>
      <c r="AN75" s="167"/>
      <c r="AO75" s="167"/>
      <c r="AP75" s="167"/>
      <c r="AQ75" s="168"/>
      <c r="AR75" s="168"/>
      <c r="AS75" s="168"/>
      <c r="AT75" s="168"/>
      <c r="AU75" s="169"/>
      <c r="AV75" s="110"/>
    </row>
    <row r="76" ht="26.25" customHeight="1">
      <c r="A76" s="58">
        <f t="shared" si="5"/>
        <v>19</v>
      </c>
      <c r="B76" s="72" t="s">
        <v>342</v>
      </c>
      <c r="C76" s="67"/>
      <c r="D76" s="67" t="s">
        <v>346</v>
      </c>
      <c r="E76" s="67" t="s">
        <v>459</v>
      </c>
      <c r="F76" s="67"/>
      <c r="G76" s="79" t="s">
        <v>105</v>
      </c>
      <c r="H76" s="82" t="b">
        <v>0</v>
      </c>
      <c r="I76" s="85"/>
      <c r="J76" s="82" t="b">
        <v>0</v>
      </c>
      <c r="K76" s="89"/>
      <c r="L76" s="62" t="s">
        <v>460</v>
      </c>
      <c r="M76" s="91"/>
      <c r="N76" s="333" t="s">
        <v>710</v>
      </c>
      <c r="O76" s="95"/>
      <c r="P76" s="97"/>
      <c r="Q76" s="100"/>
      <c r="R76" s="102">
        <v>45575.0</v>
      </c>
      <c r="S76" s="105">
        <v>45920.0</v>
      </c>
      <c r="T76" s="105"/>
      <c r="U76" s="73">
        <f t="shared" si="2"/>
        <v>4</v>
      </c>
      <c r="V76" s="75">
        <v>4.0</v>
      </c>
      <c r="W76" s="115">
        <v>45322.0</v>
      </c>
      <c r="X76" s="83" t="b">
        <v>1</v>
      </c>
      <c r="Y76" s="115">
        <v>45535.0</v>
      </c>
      <c r="Z76" s="83" t="b">
        <v>1</v>
      </c>
      <c r="AA76" s="115">
        <v>45723.0</v>
      </c>
      <c r="AB76" s="83" t="b">
        <v>1</v>
      </c>
      <c r="AC76" s="119">
        <v>45920.0</v>
      </c>
      <c r="AD76" s="68" t="b">
        <v>1</v>
      </c>
      <c r="AE76" s="119"/>
      <c r="AF76" s="68" t="b">
        <v>0</v>
      </c>
      <c r="AG76" s="182"/>
      <c r="AH76" s="68" t="b">
        <v>0</v>
      </c>
      <c r="AI76" s="182"/>
      <c r="AJ76" s="68" t="b">
        <v>0</v>
      </c>
      <c r="AK76" s="182"/>
      <c r="AL76" s="68" t="b">
        <v>0</v>
      </c>
      <c r="AM76" s="68"/>
      <c r="AN76" s="68"/>
      <c r="AO76" s="68"/>
      <c r="AP76" s="68"/>
      <c r="AQ76" s="68"/>
      <c r="AR76" s="68"/>
      <c r="AS76" s="68"/>
      <c r="AT76" s="68"/>
      <c r="AU76" s="108"/>
      <c r="AV76" s="110"/>
    </row>
    <row r="77" ht="24.0" hidden="1" customHeight="1">
      <c r="A77" s="58">
        <f t="shared" si="5"/>
        <v>19</v>
      </c>
      <c r="B77" s="62" t="s">
        <v>713</v>
      </c>
      <c r="C77" s="67">
        <v>12.48</v>
      </c>
      <c r="D77" s="67"/>
      <c r="E77" s="67"/>
      <c r="F77" s="147"/>
      <c r="G77" s="79" t="s">
        <v>84</v>
      </c>
      <c r="H77" s="82" t="b">
        <v>0</v>
      </c>
      <c r="I77" s="148"/>
      <c r="J77" s="82" t="b">
        <v>0</v>
      </c>
      <c r="K77" s="149"/>
      <c r="L77" s="147"/>
      <c r="M77" s="150"/>
      <c r="N77" s="151"/>
      <c r="O77" s="152"/>
      <c r="P77" s="154">
        <v>46107.0</v>
      </c>
      <c r="Q77" s="155"/>
      <c r="R77" s="156">
        <v>46837.0</v>
      </c>
      <c r="S77" s="751"/>
      <c r="T77" s="160"/>
      <c r="U77" s="73">
        <f t="shared" si="2"/>
        <v>1</v>
      </c>
      <c r="V77" s="161">
        <v>4.0</v>
      </c>
      <c r="W77" s="162">
        <v>46262.0</v>
      </c>
      <c r="X77" s="83" t="b">
        <v>1</v>
      </c>
      <c r="Y77" s="163">
        <v>46444.0</v>
      </c>
      <c r="Z77" s="83" t="b">
        <v>0</v>
      </c>
      <c r="AA77" s="163">
        <v>46626.0</v>
      </c>
      <c r="AB77" s="83" t="b">
        <v>0</v>
      </c>
      <c r="AC77" s="163">
        <v>46808.0</v>
      </c>
      <c r="AD77" s="68" t="b">
        <v>0</v>
      </c>
      <c r="AE77" s="166"/>
      <c r="AF77" s="167"/>
      <c r="AG77" s="166"/>
      <c r="AH77" s="167"/>
      <c r="AI77" s="166"/>
      <c r="AJ77" s="167"/>
      <c r="AK77" s="166"/>
      <c r="AL77" s="167"/>
      <c r="AM77" s="167"/>
      <c r="AN77" s="167"/>
      <c r="AO77" s="167"/>
      <c r="AP77" s="167"/>
      <c r="AQ77" s="168"/>
      <c r="AR77" s="168"/>
      <c r="AS77" s="168"/>
      <c r="AT77" s="168"/>
      <c r="AU77" s="169"/>
      <c r="AV77" s="110"/>
    </row>
    <row r="78" ht="24.75" hidden="1" customHeight="1">
      <c r="A78" s="410">
        <f t="shared" si="5"/>
        <v>19</v>
      </c>
      <c r="B78" s="170" t="s">
        <v>350</v>
      </c>
      <c r="C78" s="67"/>
      <c r="D78" s="67" t="s">
        <v>465</v>
      </c>
      <c r="E78" s="67" t="s">
        <v>426</v>
      </c>
      <c r="F78" s="67"/>
      <c r="G78" s="79" t="s">
        <v>55</v>
      </c>
      <c r="H78" s="82" t="b">
        <v>1</v>
      </c>
      <c r="I78" s="459">
        <v>45797.0</v>
      </c>
      <c r="J78" s="82" t="b">
        <v>0</v>
      </c>
      <c r="K78" s="89"/>
      <c r="L78" s="62" t="s">
        <v>467</v>
      </c>
      <c r="M78" s="91" t="s">
        <v>427</v>
      </c>
      <c r="N78" s="94"/>
      <c r="O78" s="95"/>
      <c r="P78" s="97"/>
      <c r="Q78" s="100"/>
      <c r="R78" s="222">
        <v>45569.0</v>
      </c>
      <c r="S78" s="104">
        <v>45734.0</v>
      </c>
      <c r="T78" s="105"/>
      <c r="U78" s="73">
        <f t="shared" si="2"/>
        <v>4</v>
      </c>
      <c r="V78" s="75">
        <v>4.0</v>
      </c>
      <c r="W78" s="114">
        <v>45019.0</v>
      </c>
      <c r="X78" s="83" t="b">
        <v>1</v>
      </c>
      <c r="Y78" s="115">
        <v>45201.0</v>
      </c>
      <c r="Z78" s="83" t="b">
        <v>1</v>
      </c>
      <c r="AA78" s="115">
        <v>45384.0</v>
      </c>
      <c r="AB78" s="83" t="b">
        <v>1</v>
      </c>
      <c r="AC78" s="119">
        <v>45734.0</v>
      </c>
      <c r="AD78" s="68" t="b">
        <v>1</v>
      </c>
      <c r="AE78" s="119">
        <v>45902.0</v>
      </c>
      <c r="AF78" s="68" t="b">
        <v>0</v>
      </c>
      <c r="AG78" s="119">
        <v>46084.0</v>
      </c>
      <c r="AH78" s="68" t="b">
        <v>0</v>
      </c>
      <c r="AI78" s="119">
        <v>46266.0</v>
      </c>
      <c r="AJ78" s="68" t="b">
        <v>0</v>
      </c>
      <c r="AK78" s="119">
        <v>46449.0</v>
      </c>
      <c r="AL78" s="68" t="b">
        <v>0</v>
      </c>
      <c r="AM78" s="68"/>
      <c r="AN78" s="68"/>
      <c r="AO78" s="68"/>
      <c r="AP78" s="68"/>
      <c r="AQ78" s="68"/>
      <c r="AR78" s="68"/>
      <c r="AS78" s="68"/>
      <c r="AT78" s="68"/>
      <c r="AU78" s="277"/>
      <c r="AV78" s="110"/>
    </row>
    <row r="79" ht="22.5" hidden="1" customHeight="1">
      <c r="A79" s="58">
        <f t="shared" si="5"/>
        <v>19</v>
      </c>
      <c r="B79" s="62" t="s">
        <v>720</v>
      </c>
      <c r="C79" s="67">
        <v>10.0</v>
      </c>
      <c r="D79" s="67" t="s">
        <v>721</v>
      </c>
      <c r="E79" s="67"/>
      <c r="F79" s="147"/>
      <c r="G79" s="79" t="s">
        <v>84</v>
      </c>
      <c r="H79" s="82" t="b">
        <v>0</v>
      </c>
      <c r="I79" s="148"/>
      <c r="J79" s="82" t="b">
        <v>0</v>
      </c>
      <c r="K79" s="149"/>
      <c r="L79" s="147"/>
      <c r="M79" s="150"/>
      <c r="N79" s="151"/>
      <c r="O79" s="152"/>
      <c r="P79" s="154">
        <v>45968.0</v>
      </c>
      <c r="Q79" s="155"/>
      <c r="R79" s="156">
        <v>46697.0</v>
      </c>
      <c r="S79" s="192"/>
      <c r="T79" s="160"/>
      <c r="U79" s="73">
        <f t="shared" si="2"/>
        <v>0</v>
      </c>
      <c r="V79" s="161">
        <v>4.0</v>
      </c>
      <c r="W79" s="328">
        <v>46241.0</v>
      </c>
      <c r="X79" s="746" t="b">
        <v>0</v>
      </c>
      <c r="Y79" s="303">
        <v>46371.0</v>
      </c>
      <c r="Z79" s="746" t="b">
        <v>0</v>
      </c>
      <c r="AA79" s="303">
        <v>46553.0</v>
      </c>
      <c r="AB79" s="746" t="b">
        <v>0</v>
      </c>
      <c r="AC79" s="328">
        <v>46742.0</v>
      </c>
      <c r="AD79" s="68" t="b">
        <v>0</v>
      </c>
      <c r="AE79" s="166"/>
      <c r="AF79" s="167"/>
      <c r="AG79" s="275"/>
      <c r="AH79" s="167"/>
      <c r="AI79" s="275"/>
      <c r="AJ79" s="167"/>
      <c r="AK79" s="275"/>
      <c r="AL79" s="167"/>
      <c r="AM79" s="167"/>
      <c r="AN79" s="167"/>
      <c r="AO79" s="167"/>
      <c r="AP79" s="167"/>
      <c r="AQ79" s="168"/>
      <c r="AR79" s="168"/>
      <c r="AS79" s="168"/>
      <c r="AT79" s="168"/>
      <c r="AU79" s="169"/>
      <c r="AV79" s="194"/>
    </row>
    <row r="80" ht="22.5" hidden="1" customHeight="1">
      <c r="A80" s="58">
        <f t="shared" si="5"/>
        <v>19</v>
      </c>
      <c r="B80" s="62" t="s">
        <v>364</v>
      </c>
      <c r="C80" s="67">
        <v>52.8</v>
      </c>
      <c r="D80" s="67" t="s">
        <v>498</v>
      </c>
      <c r="E80" s="67" t="s">
        <v>499</v>
      </c>
      <c r="F80" s="67"/>
      <c r="G80" s="79" t="s">
        <v>243</v>
      </c>
      <c r="H80" s="82" t="b">
        <v>0</v>
      </c>
      <c r="I80" s="85"/>
      <c r="J80" s="82" t="b">
        <v>0</v>
      </c>
      <c r="K80" s="89"/>
      <c r="L80" s="62" t="s">
        <v>725</v>
      </c>
      <c r="M80" s="91">
        <v>9.49671461E8</v>
      </c>
      <c r="N80" s="94" t="s">
        <v>726</v>
      </c>
      <c r="O80" s="458"/>
      <c r="P80" s="97"/>
      <c r="Q80" s="100"/>
      <c r="R80" s="102">
        <v>46130.0</v>
      </c>
      <c r="S80" s="463">
        <v>46121.0</v>
      </c>
      <c r="T80" s="769" t="s">
        <v>727</v>
      </c>
      <c r="U80" s="73">
        <f t="shared" si="2"/>
        <v>3</v>
      </c>
      <c r="V80" s="75">
        <v>4.0</v>
      </c>
      <c r="W80" s="114">
        <v>45736.0</v>
      </c>
      <c r="X80" s="83" t="b">
        <v>1</v>
      </c>
      <c r="Y80" s="115">
        <v>45845.0</v>
      </c>
      <c r="Z80" s="83" t="b">
        <v>1</v>
      </c>
      <c r="AA80" s="115">
        <v>46121.0</v>
      </c>
      <c r="AB80" s="83" t="b">
        <v>1</v>
      </c>
      <c r="AC80" s="119">
        <v>46282.0</v>
      </c>
      <c r="AD80" s="137" t="b">
        <v>0</v>
      </c>
      <c r="AE80" s="115"/>
      <c r="AF80" s="143"/>
      <c r="AG80" s="115"/>
      <c r="AH80" s="143"/>
      <c r="AI80" s="115"/>
      <c r="AJ80" s="143"/>
      <c r="AK80" s="115"/>
      <c r="AL80" s="143"/>
      <c r="AM80" s="68"/>
      <c r="AN80" s="143"/>
      <c r="AO80" s="68"/>
      <c r="AP80" s="143"/>
      <c r="AQ80" s="143"/>
      <c r="AR80" s="143"/>
      <c r="AS80" s="143"/>
      <c r="AT80" s="143"/>
      <c r="AU80" s="108"/>
      <c r="AV80" s="194"/>
    </row>
    <row r="81" ht="22.5" hidden="1" customHeight="1">
      <c r="A81" s="58">
        <f t="shared" si="5"/>
        <v>19</v>
      </c>
      <c r="B81" s="62" t="s">
        <v>366</v>
      </c>
      <c r="C81" s="67">
        <v>52.8</v>
      </c>
      <c r="D81" s="67" t="s">
        <v>498</v>
      </c>
      <c r="E81" s="67" t="s">
        <v>499</v>
      </c>
      <c r="F81" s="67"/>
      <c r="G81" s="79" t="s">
        <v>243</v>
      </c>
      <c r="H81" s="82" t="b">
        <v>0</v>
      </c>
      <c r="I81" s="85"/>
      <c r="J81" s="82" t="b">
        <v>0</v>
      </c>
      <c r="K81" s="89"/>
      <c r="L81" s="62" t="s">
        <v>732</v>
      </c>
      <c r="M81" s="91">
        <v>8.73921252E8</v>
      </c>
      <c r="N81" s="94" t="s">
        <v>733</v>
      </c>
      <c r="O81" s="458"/>
      <c r="P81" s="97"/>
      <c r="Q81" s="100"/>
      <c r="R81" s="102">
        <v>46130.0</v>
      </c>
      <c r="S81" s="463">
        <v>46121.0</v>
      </c>
      <c r="T81" s="769" t="s">
        <v>727</v>
      </c>
      <c r="U81" s="73">
        <f t="shared" si="2"/>
        <v>3</v>
      </c>
      <c r="V81" s="75">
        <v>4.0</v>
      </c>
      <c r="W81" s="115">
        <v>45736.0</v>
      </c>
      <c r="X81" s="68" t="b">
        <v>1</v>
      </c>
      <c r="Y81" s="115">
        <v>45845.0</v>
      </c>
      <c r="Z81" s="83" t="b">
        <v>1</v>
      </c>
      <c r="AA81" s="115">
        <v>46121.0</v>
      </c>
      <c r="AB81" s="83" t="b">
        <v>1</v>
      </c>
      <c r="AC81" s="119">
        <v>46282.0</v>
      </c>
      <c r="AD81" s="137" t="b">
        <v>0</v>
      </c>
      <c r="AE81" s="115"/>
      <c r="AF81" s="143"/>
      <c r="AG81" s="115"/>
      <c r="AH81" s="143"/>
      <c r="AI81" s="115"/>
      <c r="AJ81" s="143"/>
      <c r="AK81" s="115"/>
      <c r="AL81" s="143"/>
      <c r="AM81" s="143"/>
      <c r="AN81" s="143"/>
      <c r="AO81" s="143"/>
      <c r="AP81" s="143"/>
      <c r="AQ81" s="143"/>
      <c r="AR81" s="143"/>
      <c r="AS81" s="143"/>
      <c r="AT81" s="143"/>
      <c r="AU81" s="108"/>
      <c r="AV81" s="194"/>
    </row>
    <row r="82" ht="22.5" customHeight="1">
      <c r="A82" s="58">
        <f t="shared" si="5"/>
        <v>20</v>
      </c>
      <c r="B82" s="431" t="s">
        <v>370</v>
      </c>
      <c r="C82" s="426">
        <v>12.48</v>
      </c>
      <c r="D82" s="426" t="s">
        <v>738</v>
      </c>
      <c r="E82" s="785"/>
      <c r="F82" s="428"/>
      <c r="G82" s="79" t="s">
        <v>105</v>
      </c>
      <c r="H82" s="82" t="b">
        <v>0</v>
      </c>
      <c r="I82" s="787"/>
      <c r="J82" s="82" t="b">
        <v>0</v>
      </c>
      <c r="K82" s="789"/>
      <c r="L82" s="428"/>
      <c r="M82" s="790" t="s">
        <v>742</v>
      </c>
      <c r="N82" s="434"/>
      <c r="O82" s="435"/>
      <c r="P82" s="97"/>
      <c r="Q82" s="371"/>
      <c r="R82" s="793">
        <v>46014.0</v>
      </c>
      <c r="S82" s="174">
        <v>46234.0</v>
      </c>
      <c r="T82" s="794" t="s">
        <v>744</v>
      </c>
      <c r="U82" s="73">
        <f t="shared" si="2"/>
        <v>4</v>
      </c>
      <c r="V82" s="75">
        <v>4.0</v>
      </c>
      <c r="W82" s="121">
        <v>45706.0</v>
      </c>
      <c r="X82" s="653" t="b">
        <v>1</v>
      </c>
      <c r="Y82" s="115">
        <v>45832.0</v>
      </c>
      <c r="Z82" s="484" t="b">
        <v>1</v>
      </c>
      <c r="AA82" s="119">
        <v>45973.0</v>
      </c>
      <c r="AB82" s="484" t="b">
        <v>1</v>
      </c>
      <c r="AC82" s="119">
        <v>46234.0</v>
      </c>
      <c r="AD82" s="137" t="b">
        <v>1</v>
      </c>
      <c r="AE82" s="378"/>
      <c r="AF82" s="379"/>
      <c r="AG82" s="378"/>
      <c r="AH82" s="379"/>
      <c r="AI82" s="378"/>
      <c r="AJ82" s="379"/>
      <c r="AK82" s="378"/>
      <c r="AL82" s="379"/>
      <c r="AM82" s="379"/>
      <c r="AN82" s="379"/>
      <c r="AO82" s="379"/>
      <c r="AP82" s="379"/>
      <c r="AQ82" s="215"/>
      <c r="AR82" s="215"/>
      <c r="AS82" s="215"/>
      <c r="AT82" s="215"/>
      <c r="AU82" s="216"/>
      <c r="AV82" s="110"/>
    </row>
    <row r="83" ht="22.5" hidden="1" customHeight="1">
      <c r="A83" s="247">
        <f t="shared" si="5"/>
        <v>20</v>
      </c>
      <c r="B83" s="72" t="s">
        <v>375</v>
      </c>
      <c r="C83" s="797">
        <v>12.6</v>
      </c>
      <c r="D83" s="797" t="s">
        <v>472</v>
      </c>
      <c r="E83" s="798"/>
      <c r="F83" s="798">
        <v>45313.0</v>
      </c>
      <c r="G83" s="79" t="s">
        <v>55</v>
      </c>
      <c r="H83" s="82" t="b">
        <v>1</v>
      </c>
      <c r="I83" s="459">
        <v>45859.0</v>
      </c>
      <c r="J83" s="82" t="b">
        <v>0</v>
      </c>
      <c r="K83" s="89"/>
      <c r="L83" s="62" t="s">
        <v>441</v>
      </c>
      <c r="M83" s="799" t="s">
        <v>442</v>
      </c>
      <c r="N83" s="800" t="s">
        <v>347</v>
      </c>
      <c r="O83" s="801"/>
      <c r="P83" s="97"/>
      <c r="Q83" s="100"/>
      <c r="R83" s="547">
        <v>45450.0</v>
      </c>
      <c r="S83" s="104">
        <v>45490.0</v>
      </c>
      <c r="T83" s="105"/>
      <c r="U83" s="73">
        <f t="shared" si="2"/>
        <v>4</v>
      </c>
      <c r="V83" s="75">
        <v>4.0</v>
      </c>
      <c r="W83" s="115">
        <v>44562.0</v>
      </c>
      <c r="X83" s="484" t="b">
        <v>1</v>
      </c>
      <c r="Y83" s="115">
        <v>45091.0</v>
      </c>
      <c r="Z83" s="68" t="b">
        <v>1</v>
      </c>
      <c r="AA83" s="115">
        <v>45313.0</v>
      </c>
      <c r="AB83" s="68" t="b">
        <v>1</v>
      </c>
      <c r="AC83" s="119">
        <v>45490.0</v>
      </c>
      <c r="AD83" s="137" t="b">
        <v>1</v>
      </c>
      <c r="AE83" s="119"/>
      <c r="AF83" s="68"/>
      <c r="AG83" s="119"/>
      <c r="AH83" s="68"/>
      <c r="AI83" s="119"/>
      <c r="AJ83" s="68"/>
      <c r="AK83" s="119"/>
      <c r="AL83" s="68"/>
      <c r="AM83" s="68"/>
      <c r="AN83" s="68"/>
      <c r="AO83" s="68"/>
      <c r="AP83" s="68"/>
      <c r="AQ83" s="68"/>
      <c r="AR83" s="68"/>
      <c r="AS83" s="68"/>
      <c r="AT83" s="68"/>
      <c r="AU83" s="277"/>
      <c r="AV83" s="110"/>
    </row>
    <row r="84" ht="22.5" hidden="1" customHeight="1">
      <c r="A84" s="58">
        <f t="shared" si="5"/>
        <v>20</v>
      </c>
      <c r="B84" s="62" t="s">
        <v>381</v>
      </c>
      <c r="C84" s="803" t="s">
        <v>752</v>
      </c>
      <c r="D84" s="67" t="s">
        <v>510</v>
      </c>
      <c r="E84" s="67"/>
      <c r="F84" s="67"/>
      <c r="G84" s="79" t="s">
        <v>243</v>
      </c>
      <c r="H84" s="82" t="b">
        <v>0</v>
      </c>
      <c r="I84" s="85"/>
      <c r="J84" s="82" t="b">
        <v>0</v>
      </c>
      <c r="K84" s="89"/>
      <c r="L84" s="62" t="s">
        <v>511</v>
      </c>
      <c r="M84" s="91" t="s">
        <v>753</v>
      </c>
      <c r="N84" s="94"/>
      <c r="O84" s="458"/>
      <c r="P84" s="97"/>
      <c r="Q84" s="100"/>
      <c r="R84" s="102">
        <v>46119.0</v>
      </c>
      <c r="S84" s="174">
        <v>45950.0</v>
      </c>
      <c r="T84" s="175" t="s">
        <v>512</v>
      </c>
      <c r="U84" s="73">
        <f t="shared" si="2"/>
        <v>3</v>
      </c>
      <c r="V84" s="75">
        <v>4.0</v>
      </c>
      <c r="W84" s="114">
        <v>45566.0</v>
      </c>
      <c r="X84" s="83" t="b">
        <v>1</v>
      </c>
      <c r="Y84" s="115">
        <v>45740.0</v>
      </c>
      <c r="Z84" s="83" t="b">
        <v>1</v>
      </c>
      <c r="AA84" s="115">
        <v>45950.0</v>
      </c>
      <c r="AB84" s="83" t="b">
        <v>1</v>
      </c>
      <c r="AC84" s="119">
        <v>46119.0</v>
      </c>
      <c r="AD84" s="137" t="b">
        <v>0</v>
      </c>
      <c r="AE84" s="115"/>
      <c r="AF84" s="143"/>
      <c r="AG84" s="115"/>
      <c r="AH84" s="143"/>
      <c r="AI84" s="115"/>
      <c r="AJ84" s="143"/>
      <c r="AK84" s="115"/>
      <c r="AL84" s="143"/>
      <c r="AM84" s="143"/>
      <c r="AN84" s="143"/>
      <c r="AO84" s="143"/>
      <c r="AP84" s="143"/>
      <c r="AQ84" s="143"/>
      <c r="AR84" s="143"/>
      <c r="AS84" s="143"/>
      <c r="AT84" s="143"/>
      <c r="AU84" s="108"/>
      <c r="AV84" s="110"/>
    </row>
    <row r="85" ht="22.5" hidden="1" customHeight="1">
      <c r="A85" s="58">
        <f t="shared" si="5"/>
        <v>20</v>
      </c>
      <c r="B85" s="62" t="s">
        <v>383</v>
      </c>
      <c r="C85" s="67">
        <v>10.0</v>
      </c>
      <c r="D85" s="67" t="s">
        <v>111</v>
      </c>
      <c r="E85" s="807" t="s">
        <v>516</v>
      </c>
      <c r="F85" s="67"/>
      <c r="G85" s="79" t="s">
        <v>243</v>
      </c>
      <c r="H85" s="82" t="b">
        <v>0</v>
      </c>
      <c r="I85" s="85"/>
      <c r="J85" s="82" t="b">
        <v>0</v>
      </c>
      <c r="K85" s="89"/>
      <c r="L85" s="62" t="s">
        <v>757</v>
      </c>
      <c r="M85" s="341" t="s">
        <v>759</v>
      </c>
      <c r="N85" s="94" t="s">
        <v>760</v>
      </c>
      <c r="O85" s="95"/>
      <c r="P85" s="97"/>
      <c r="Q85" s="100"/>
      <c r="R85" s="102">
        <v>46003.0</v>
      </c>
      <c r="S85" s="463">
        <v>46034.0</v>
      </c>
      <c r="T85" s="135" t="s">
        <v>518</v>
      </c>
      <c r="U85" s="73">
        <f t="shared" si="2"/>
        <v>3</v>
      </c>
      <c r="V85" s="75">
        <v>4.0</v>
      </c>
      <c r="W85" s="114">
        <v>45460.0</v>
      </c>
      <c r="X85" s="83" t="b">
        <v>1</v>
      </c>
      <c r="Y85" s="115">
        <v>45799.0</v>
      </c>
      <c r="Z85" s="83" t="b">
        <v>1</v>
      </c>
      <c r="AA85" s="115">
        <v>46034.0</v>
      </c>
      <c r="AB85" s="83" t="b">
        <v>1</v>
      </c>
      <c r="AC85" s="119">
        <v>46157.0</v>
      </c>
      <c r="AD85" s="137" t="b">
        <v>0</v>
      </c>
      <c r="AE85" s="119"/>
      <c r="AF85" s="68"/>
      <c r="AG85" s="119"/>
      <c r="AH85" s="68"/>
      <c r="AI85" s="119"/>
      <c r="AJ85" s="68"/>
      <c r="AK85" s="119"/>
      <c r="AL85" s="68"/>
      <c r="AM85" s="68"/>
      <c r="AN85" s="68"/>
      <c r="AO85" s="68"/>
      <c r="AP85" s="68"/>
      <c r="AQ85" s="68"/>
      <c r="AR85" s="68"/>
      <c r="AS85" s="68"/>
      <c r="AT85" s="68"/>
      <c r="AU85" s="108"/>
      <c r="AV85" s="110"/>
    </row>
    <row r="86" ht="22.5" hidden="1" customHeight="1">
      <c r="A86" s="58">
        <f t="shared" si="5"/>
        <v>20</v>
      </c>
      <c r="B86" s="72" t="s">
        <v>386</v>
      </c>
      <c r="C86" s="67">
        <v>12.5</v>
      </c>
      <c r="D86" s="67" t="s">
        <v>111</v>
      </c>
      <c r="E86" s="807" t="s">
        <v>516</v>
      </c>
      <c r="F86" s="67"/>
      <c r="G86" s="79" t="s">
        <v>55</v>
      </c>
      <c r="H86" s="82" t="b">
        <v>1</v>
      </c>
      <c r="I86" s="459">
        <v>45825.0</v>
      </c>
      <c r="J86" s="82" t="b">
        <v>0</v>
      </c>
      <c r="K86" s="89"/>
      <c r="L86" s="62" t="s">
        <v>445</v>
      </c>
      <c r="M86" s="91" t="s">
        <v>763</v>
      </c>
      <c r="N86" s="644" t="s">
        <v>764</v>
      </c>
      <c r="O86" s="95"/>
      <c r="P86" s="97"/>
      <c r="Q86" s="100"/>
      <c r="R86" s="547">
        <v>45039.0</v>
      </c>
      <c r="S86" s="104">
        <v>45039.0</v>
      </c>
      <c r="T86" s="105"/>
      <c r="U86" s="73">
        <f t="shared" si="2"/>
        <v>3</v>
      </c>
      <c r="V86" s="75">
        <v>2.0</v>
      </c>
      <c r="W86" s="115">
        <v>44868.0</v>
      </c>
      <c r="X86" s="484" t="b">
        <v>1</v>
      </c>
      <c r="Y86" s="115">
        <v>45008.0</v>
      </c>
      <c r="Z86" s="68" t="b">
        <v>1</v>
      </c>
      <c r="AA86" s="115">
        <v>45460.0</v>
      </c>
      <c r="AB86" s="68" t="b">
        <v>1</v>
      </c>
      <c r="AC86" s="119"/>
      <c r="AD86" s="143" t="b">
        <v>0</v>
      </c>
      <c r="AE86" s="119"/>
      <c r="AF86" s="143" t="b">
        <v>0</v>
      </c>
      <c r="AG86" s="119"/>
      <c r="AH86" s="143" t="b">
        <v>0</v>
      </c>
      <c r="AI86" s="119"/>
      <c r="AJ86" s="68"/>
      <c r="AK86" s="119"/>
      <c r="AL86" s="68"/>
      <c r="AM86" s="143"/>
      <c r="AN86" s="143"/>
      <c r="AO86" s="143"/>
      <c r="AP86" s="143"/>
      <c r="AQ86" s="68"/>
      <c r="AR86" s="68"/>
      <c r="AS86" s="68"/>
      <c r="AT86" s="68"/>
      <c r="AU86" s="444" t="s">
        <v>390</v>
      </c>
      <c r="AV86" s="110"/>
    </row>
    <row r="87" ht="22.5" hidden="1" customHeight="1">
      <c r="A87" s="58">
        <f t="shared" si="5"/>
        <v>20</v>
      </c>
      <c r="B87" s="570" t="s">
        <v>214</v>
      </c>
      <c r="C87" s="826">
        <v>6.75</v>
      </c>
      <c r="D87" s="826" t="s">
        <v>111</v>
      </c>
      <c r="E87" s="828" t="s">
        <v>516</v>
      </c>
      <c r="F87" s="129" t="s">
        <v>0</v>
      </c>
      <c r="G87" s="830" t="s">
        <v>243</v>
      </c>
      <c r="H87" s="82" t="b">
        <v>0</v>
      </c>
      <c r="I87" s="833"/>
      <c r="J87" s="82" t="b">
        <v>0</v>
      </c>
      <c r="K87" s="836"/>
      <c r="L87" s="289" t="s">
        <v>521</v>
      </c>
      <c r="M87" s="799" t="s">
        <v>216</v>
      </c>
      <c r="N87" s="839" t="s">
        <v>99</v>
      </c>
      <c r="O87" s="840"/>
      <c r="P87" s="97"/>
      <c r="Q87" s="842">
        <v>44944.0</v>
      </c>
      <c r="R87" s="102">
        <v>45857.0</v>
      </c>
      <c r="S87" s="104">
        <v>45678.0</v>
      </c>
      <c r="T87" s="135" t="s">
        <v>518</v>
      </c>
      <c r="U87" s="73">
        <f t="shared" si="2"/>
        <v>5</v>
      </c>
      <c r="V87" s="75">
        <v>6.0</v>
      </c>
      <c r="W87" s="115">
        <v>44868.0</v>
      </c>
      <c r="X87" s="484" t="b">
        <v>1</v>
      </c>
      <c r="Y87" s="115">
        <v>45008.0</v>
      </c>
      <c r="Z87" s="484" t="b">
        <v>1</v>
      </c>
      <c r="AA87" s="115">
        <v>45266.0</v>
      </c>
      <c r="AB87" s="484" t="b">
        <v>1</v>
      </c>
      <c r="AC87" s="119">
        <v>45460.0</v>
      </c>
      <c r="AD87" s="68" t="b">
        <v>1</v>
      </c>
      <c r="AE87" s="119">
        <v>45678.0</v>
      </c>
      <c r="AF87" s="68" t="b">
        <v>1</v>
      </c>
      <c r="AG87" s="119">
        <v>46157.0</v>
      </c>
      <c r="AH87" s="68" t="b">
        <v>0</v>
      </c>
      <c r="AI87" s="119"/>
      <c r="AJ87" s="68"/>
      <c r="AK87" s="119"/>
      <c r="AL87" s="68"/>
      <c r="AM87" s="68"/>
      <c r="AN87" s="68"/>
      <c r="AO87" s="68"/>
      <c r="AP87" s="68"/>
      <c r="AQ87" s="68"/>
      <c r="AR87" s="68"/>
      <c r="AS87" s="68"/>
      <c r="AT87" s="68"/>
      <c r="AU87" s="444" t="s">
        <v>393</v>
      </c>
      <c r="AV87" s="110"/>
    </row>
    <row r="88" ht="22.5" hidden="1" customHeight="1">
      <c r="A88" s="58">
        <f t="shared" si="5"/>
        <v>20</v>
      </c>
      <c r="B88" s="846" t="s">
        <v>394</v>
      </c>
      <c r="C88" s="129">
        <v>9.9</v>
      </c>
      <c r="D88" s="129" t="s">
        <v>111</v>
      </c>
      <c r="E88" s="828" t="s">
        <v>516</v>
      </c>
      <c r="F88" s="129"/>
      <c r="G88" s="830" t="s">
        <v>55</v>
      </c>
      <c r="H88" s="82" t="b">
        <v>1</v>
      </c>
      <c r="I88" s="833">
        <v>45827.0</v>
      </c>
      <c r="J88" s="82" t="b">
        <v>0</v>
      </c>
      <c r="K88" s="836"/>
      <c r="L88" s="289" t="s">
        <v>450</v>
      </c>
      <c r="M88" s="851"/>
      <c r="N88" s="853" t="s">
        <v>529</v>
      </c>
      <c r="O88" s="840"/>
      <c r="P88" s="97"/>
      <c r="Q88" s="856"/>
      <c r="R88" s="479">
        <v>45639.0</v>
      </c>
      <c r="S88" s="104">
        <v>45736.0</v>
      </c>
      <c r="T88" s="135" t="s">
        <v>518</v>
      </c>
      <c r="U88" s="73">
        <f t="shared" si="2"/>
        <v>4</v>
      </c>
      <c r="V88" s="75">
        <v>4.0</v>
      </c>
      <c r="W88" s="115">
        <v>45008.0</v>
      </c>
      <c r="X88" s="484" t="b">
        <v>1</v>
      </c>
      <c r="Y88" s="115">
        <v>45296.0</v>
      </c>
      <c r="Z88" s="484" t="b">
        <v>1</v>
      </c>
      <c r="AA88" s="115">
        <v>45460.0</v>
      </c>
      <c r="AB88" s="484" t="b">
        <v>1</v>
      </c>
      <c r="AC88" s="119">
        <v>45678.0</v>
      </c>
      <c r="AD88" s="68" t="b">
        <v>1</v>
      </c>
      <c r="AE88" s="119"/>
      <c r="AF88" s="68"/>
      <c r="AG88" s="119"/>
      <c r="AH88" s="68"/>
      <c r="AI88" s="119"/>
      <c r="AJ88" s="68"/>
      <c r="AK88" s="119"/>
      <c r="AL88" s="68"/>
      <c r="AM88" s="68"/>
      <c r="AN88" s="68"/>
      <c r="AO88" s="68"/>
      <c r="AP88" s="68"/>
      <c r="AQ88" s="68"/>
      <c r="AR88" s="68"/>
      <c r="AS88" s="68"/>
      <c r="AT88" s="68"/>
      <c r="AU88" s="277"/>
      <c r="AV88" s="110"/>
    </row>
    <row r="89" ht="22.5" hidden="1" customHeight="1">
      <c r="A89" s="58">
        <f t="shared" si="5"/>
        <v>20</v>
      </c>
      <c r="B89" s="864" t="s">
        <v>399</v>
      </c>
      <c r="C89" s="866">
        <v>20.16</v>
      </c>
      <c r="D89" s="866" t="s">
        <v>498</v>
      </c>
      <c r="E89" s="129"/>
      <c r="F89" s="129"/>
      <c r="G89" s="830" t="s">
        <v>55</v>
      </c>
      <c r="H89" s="82" t="b">
        <v>1</v>
      </c>
      <c r="I89" s="833">
        <v>45827.0</v>
      </c>
      <c r="J89" s="82" t="b">
        <v>0</v>
      </c>
      <c r="K89" s="836"/>
      <c r="L89" s="289" t="s">
        <v>532</v>
      </c>
      <c r="M89" s="868" t="s">
        <v>533</v>
      </c>
      <c r="N89" s="872" t="s">
        <v>398</v>
      </c>
      <c r="O89" s="840"/>
      <c r="P89" s="97"/>
      <c r="Q89" s="100"/>
      <c r="R89" s="102">
        <v>45677.0</v>
      </c>
      <c r="S89" s="174">
        <v>45958.0</v>
      </c>
      <c r="T89" s="135" t="s">
        <v>535</v>
      </c>
      <c r="U89" s="73">
        <f t="shared" si="2"/>
        <v>5</v>
      </c>
      <c r="V89" s="75">
        <v>4.0</v>
      </c>
      <c r="W89" s="115">
        <v>45008.0</v>
      </c>
      <c r="X89" s="484" t="b">
        <v>1</v>
      </c>
      <c r="Y89" s="115">
        <v>45306.0</v>
      </c>
      <c r="Z89" s="484" t="b">
        <v>1</v>
      </c>
      <c r="AA89" s="115">
        <v>45495.0</v>
      </c>
      <c r="AB89" s="484" t="b">
        <v>1</v>
      </c>
      <c r="AC89" s="119">
        <v>45705.0</v>
      </c>
      <c r="AD89" s="68" t="b">
        <v>1</v>
      </c>
      <c r="AE89" s="119">
        <v>45958.0</v>
      </c>
      <c r="AF89" s="137" t="b">
        <v>1</v>
      </c>
      <c r="AG89" s="119"/>
      <c r="AH89" s="137" t="b">
        <v>0</v>
      </c>
      <c r="AI89" s="119"/>
      <c r="AJ89" s="137" t="b">
        <v>0</v>
      </c>
      <c r="AK89" s="119"/>
      <c r="AL89" s="137" t="b">
        <v>0</v>
      </c>
      <c r="AM89" s="68"/>
      <c r="AN89" s="68"/>
      <c r="AO89" s="68"/>
      <c r="AP89" s="68"/>
      <c r="AQ89" s="68"/>
      <c r="AR89" s="68"/>
      <c r="AS89" s="68"/>
      <c r="AT89" s="68"/>
      <c r="AU89" s="277"/>
      <c r="AV89" s="110"/>
    </row>
    <row r="90" ht="22.5" hidden="1" customHeight="1">
      <c r="A90" s="58">
        <f t="shared" si="5"/>
        <v>20</v>
      </c>
      <c r="B90" s="875" t="s">
        <v>401</v>
      </c>
      <c r="C90" s="826">
        <v>9.9</v>
      </c>
      <c r="D90" s="826" t="s">
        <v>346</v>
      </c>
      <c r="E90" s="129" t="s">
        <v>801</v>
      </c>
      <c r="F90" s="876"/>
      <c r="G90" s="79" t="s">
        <v>84</v>
      </c>
      <c r="H90" s="82" t="b">
        <v>1</v>
      </c>
      <c r="I90" s="833">
        <v>46072.0</v>
      </c>
      <c r="J90" s="82" t="b">
        <v>1</v>
      </c>
      <c r="K90" s="836">
        <v>46077.0</v>
      </c>
      <c r="L90" s="289" t="s">
        <v>263</v>
      </c>
      <c r="M90" s="799" t="s">
        <v>558</v>
      </c>
      <c r="N90" s="800" t="s">
        <v>559</v>
      </c>
      <c r="O90" s="840"/>
      <c r="P90" s="97"/>
      <c r="Q90" s="100">
        <v>46077.0</v>
      </c>
      <c r="R90" s="102">
        <v>46441.0</v>
      </c>
      <c r="S90" s="104">
        <v>45794.0</v>
      </c>
      <c r="T90" s="135" t="s">
        <v>560</v>
      </c>
      <c r="U90" s="73">
        <f t="shared" si="2"/>
        <v>6</v>
      </c>
      <c r="V90" s="75">
        <v>14.0</v>
      </c>
      <c r="W90" s="114">
        <v>44880.0</v>
      </c>
      <c r="X90" s="484" t="b">
        <v>1</v>
      </c>
      <c r="Y90" s="115">
        <v>45015.0</v>
      </c>
      <c r="Z90" s="484" t="b">
        <v>1</v>
      </c>
      <c r="AA90" s="115">
        <v>45254.0</v>
      </c>
      <c r="AB90" s="484" t="b">
        <v>1</v>
      </c>
      <c r="AC90" s="119">
        <v>45470.0</v>
      </c>
      <c r="AD90" s="68" t="b">
        <v>1</v>
      </c>
      <c r="AE90" s="119">
        <v>45626.0</v>
      </c>
      <c r="AF90" s="68" t="b">
        <v>1</v>
      </c>
      <c r="AG90" s="119">
        <v>45794.0</v>
      </c>
      <c r="AH90" s="68" t="b">
        <v>1</v>
      </c>
      <c r="AI90" s="119">
        <v>46122.0</v>
      </c>
      <c r="AJ90" s="68" t="b">
        <v>0</v>
      </c>
      <c r="AK90" s="119">
        <v>46304.0</v>
      </c>
      <c r="AL90" s="68" t="b">
        <v>0</v>
      </c>
      <c r="AM90" s="881">
        <v>46486.0</v>
      </c>
      <c r="AN90" s="68" t="b">
        <v>0</v>
      </c>
      <c r="AO90" s="881">
        <v>46668.0</v>
      </c>
      <c r="AP90" s="68" t="b">
        <v>0</v>
      </c>
      <c r="AQ90" s="68"/>
      <c r="AR90" s="68"/>
      <c r="AS90" s="68"/>
      <c r="AT90" s="68"/>
      <c r="AU90" s="108"/>
      <c r="AV90" s="110"/>
    </row>
    <row r="91" ht="22.5" hidden="1" customHeight="1">
      <c r="A91" s="58">
        <v>84.0</v>
      </c>
      <c r="B91" s="289" t="s">
        <v>531</v>
      </c>
      <c r="C91" s="129"/>
      <c r="D91" s="129" t="s">
        <v>334</v>
      </c>
      <c r="E91" s="129"/>
      <c r="F91" s="129"/>
      <c r="G91" s="79" t="s">
        <v>84</v>
      </c>
      <c r="H91" s="82" t="b">
        <v>0</v>
      </c>
      <c r="I91" s="833"/>
      <c r="J91" s="82" t="b">
        <v>0</v>
      </c>
      <c r="K91" s="836"/>
      <c r="L91" s="289" t="s">
        <v>729</v>
      </c>
      <c r="M91" s="799">
        <v>8.35295991E8</v>
      </c>
      <c r="N91" s="800"/>
      <c r="O91" s="883"/>
      <c r="P91" s="97"/>
      <c r="Q91" s="100"/>
      <c r="R91" s="102">
        <v>46029.0</v>
      </c>
      <c r="S91" s="463">
        <v>46032.0</v>
      </c>
      <c r="T91" s="634" t="s">
        <v>238</v>
      </c>
      <c r="U91" s="73">
        <f t="shared" si="2"/>
        <v>4</v>
      </c>
      <c r="V91" s="75">
        <v>10.0</v>
      </c>
      <c r="W91" s="114">
        <v>45632.0</v>
      </c>
      <c r="X91" s="484" t="b">
        <v>1</v>
      </c>
      <c r="Y91" s="119">
        <v>45829.0</v>
      </c>
      <c r="Z91" s="484" t="b">
        <v>1</v>
      </c>
      <c r="AA91" s="115">
        <v>46032.0</v>
      </c>
      <c r="AB91" s="68" t="b">
        <v>1</v>
      </c>
      <c r="AC91" s="115">
        <v>46247.0</v>
      </c>
      <c r="AD91" s="137" t="b">
        <v>1</v>
      </c>
      <c r="AE91" s="182">
        <v>46408.0</v>
      </c>
      <c r="AF91" s="137" t="b">
        <v>0</v>
      </c>
      <c r="AG91" s="182">
        <v>46408.0</v>
      </c>
      <c r="AH91" s="137" t="b">
        <v>0</v>
      </c>
      <c r="AI91" s="881">
        <v>46583.0</v>
      </c>
      <c r="AJ91" s="137" t="b">
        <v>0</v>
      </c>
      <c r="AK91" s="881">
        <v>46772.0</v>
      </c>
      <c r="AL91" s="137" t="b">
        <v>0</v>
      </c>
      <c r="AM91" s="450">
        <v>46954.0</v>
      </c>
      <c r="AN91" s="137" t="b">
        <v>0</v>
      </c>
      <c r="AO91" s="450">
        <v>47136.0</v>
      </c>
      <c r="AP91" s="137" t="b">
        <v>0</v>
      </c>
      <c r="AQ91" s="881">
        <v>47318.0</v>
      </c>
      <c r="AR91" s="68"/>
      <c r="AS91" s="68"/>
      <c r="AT91" s="68"/>
      <c r="AU91" s="108"/>
      <c r="AV91" s="110"/>
    </row>
    <row r="92" ht="22.5" hidden="1" customHeight="1">
      <c r="A92" s="58">
        <f t="shared" ref="A92:A273" si="6">SUBTOTAL(3,$B$4:B92)</f>
        <v>20</v>
      </c>
      <c r="B92" s="885" t="s">
        <v>403</v>
      </c>
      <c r="C92" s="887">
        <v>6.0</v>
      </c>
      <c r="D92" s="888" t="s">
        <v>111</v>
      </c>
      <c r="E92" s="889"/>
      <c r="F92" s="889"/>
      <c r="G92" s="289" t="s">
        <v>243</v>
      </c>
      <c r="H92" s="68" t="b">
        <v>0</v>
      </c>
      <c r="I92" s="892"/>
      <c r="J92" s="812" t="b">
        <v>0</v>
      </c>
      <c r="K92" s="893"/>
      <c r="L92" s="889"/>
      <c r="M92" s="894"/>
      <c r="N92" s="895"/>
      <c r="O92" s="896"/>
      <c r="P92" s="897">
        <v>45642.0</v>
      </c>
      <c r="Q92" s="898"/>
      <c r="R92" s="899">
        <v>45641.0</v>
      </c>
      <c r="S92" s="901">
        <v>45972.0</v>
      </c>
      <c r="T92" s="902"/>
      <c r="U92" s="903">
        <f t="shared" si="2"/>
        <v>3</v>
      </c>
      <c r="V92" s="75">
        <v>4.0</v>
      </c>
      <c r="W92" s="904">
        <v>45798.0</v>
      </c>
      <c r="X92" s="905" t="b">
        <v>1</v>
      </c>
      <c r="Y92" s="906">
        <v>45972.0</v>
      </c>
      <c r="Z92" s="905" t="b">
        <v>1</v>
      </c>
      <c r="AA92" s="906">
        <v>46185.0</v>
      </c>
      <c r="AB92" s="905" t="b">
        <v>1</v>
      </c>
      <c r="AC92" s="907">
        <v>46352.0</v>
      </c>
      <c r="AD92" s="909" t="b">
        <v>0</v>
      </c>
      <c r="AE92" s="911"/>
      <c r="AF92" s="913"/>
      <c r="AG92" s="911"/>
      <c r="AH92" s="913"/>
      <c r="AI92" s="911"/>
      <c r="AJ92" s="913"/>
      <c r="AK92" s="911"/>
      <c r="AL92" s="913"/>
      <c r="AM92" s="913"/>
      <c r="AN92" s="913"/>
      <c r="AO92" s="913"/>
      <c r="AP92" s="913"/>
      <c r="AQ92" s="913"/>
      <c r="AR92" s="913"/>
      <c r="AS92" s="913"/>
      <c r="AT92" s="913"/>
      <c r="AU92" s="917"/>
      <c r="AV92" s="110"/>
    </row>
    <row r="93" ht="22.5" hidden="1" customHeight="1">
      <c r="A93" s="58">
        <f t="shared" si="6"/>
        <v>20</v>
      </c>
      <c r="B93" s="306" t="s">
        <v>404</v>
      </c>
      <c r="C93" s="469">
        <v>16.2</v>
      </c>
      <c r="D93" s="469" t="s">
        <v>564</v>
      </c>
      <c r="E93" s="469"/>
      <c r="F93" s="469"/>
      <c r="G93" s="471" t="s">
        <v>243</v>
      </c>
      <c r="H93" s="82" t="b">
        <v>0</v>
      </c>
      <c r="I93" s="921"/>
      <c r="J93" s="82" t="b">
        <v>0</v>
      </c>
      <c r="K93" s="923"/>
      <c r="L93" s="924" t="s">
        <v>565</v>
      </c>
      <c r="M93" s="925" t="s">
        <v>566</v>
      </c>
      <c r="N93" s="926" t="s">
        <v>361</v>
      </c>
      <c r="O93" s="840"/>
      <c r="P93" s="97"/>
      <c r="Q93" s="100"/>
      <c r="R93" s="927">
        <v>45338.0</v>
      </c>
      <c r="S93" s="104">
        <v>45701.0</v>
      </c>
      <c r="T93" s="928" t="s">
        <v>823</v>
      </c>
      <c r="U93" s="73">
        <f t="shared" si="2"/>
        <v>9</v>
      </c>
      <c r="V93" s="258">
        <v>12.0</v>
      </c>
      <c r="W93" s="119">
        <v>44881.0</v>
      </c>
      <c r="X93" s="653" t="b">
        <v>1</v>
      </c>
      <c r="Y93" s="119">
        <v>44999.0</v>
      </c>
      <c r="Z93" s="137" t="b">
        <v>1</v>
      </c>
      <c r="AA93" s="119">
        <v>45120.0</v>
      </c>
      <c r="AB93" s="137" t="b">
        <v>1</v>
      </c>
      <c r="AC93" s="119">
        <v>45338.0</v>
      </c>
      <c r="AD93" s="137" t="b">
        <v>1</v>
      </c>
      <c r="AE93" s="119">
        <v>45610.0</v>
      </c>
      <c r="AF93" s="68" t="b">
        <v>1</v>
      </c>
      <c r="AG93" s="119">
        <v>45701.0</v>
      </c>
      <c r="AH93" s="68" t="b">
        <v>1</v>
      </c>
      <c r="AI93" s="119">
        <v>45787.0</v>
      </c>
      <c r="AJ93" s="68" t="b">
        <v>1</v>
      </c>
      <c r="AK93" s="119">
        <v>45975.0</v>
      </c>
      <c r="AL93" s="68" t="b">
        <v>1</v>
      </c>
      <c r="AM93" s="932">
        <v>46242.0</v>
      </c>
      <c r="AN93" s="68" t="b">
        <v>1</v>
      </c>
      <c r="AO93" s="450">
        <v>46065.0</v>
      </c>
      <c r="AP93" s="68" t="b">
        <v>0</v>
      </c>
      <c r="AQ93" s="456">
        <v>46156.0</v>
      </c>
      <c r="AR93" s="68" t="b">
        <v>0</v>
      </c>
      <c r="AS93" s="456">
        <v>46247.0</v>
      </c>
      <c r="AT93" s="68" t="b">
        <v>0</v>
      </c>
      <c r="AU93" s="263"/>
      <c r="AV93" s="165" t="s">
        <v>204</v>
      </c>
    </row>
    <row r="94" ht="22.5" hidden="1" customHeight="1">
      <c r="A94" s="58">
        <f t="shared" si="6"/>
        <v>20</v>
      </c>
      <c r="B94" s="648" t="s">
        <v>411</v>
      </c>
      <c r="C94" s="129">
        <v>12.6</v>
      </c>
      <c r="D94" s="129" t="s">
        <v>472</v>
      </c>
      <c r="E94" s="129" t="s">
        <v>571</v>
      </c>
      <c r="F94" s="129"/>
      <c r="G94" s="830" t="s">
        <v>55</v>
      </c>
      <c r="H94" s="82" t="b">
        <v>1</v>
      </c>
      <c r="I94" s="937">
        <v>45827.0</v>
      </c>
      <c r="J94" s="82" t="b">
        <v>0</v>
      </c>
      <c r="K94" s="938"/>
      <c r="L94" s="939" t="s">
        <v>572</v>
      </c>
      <c r="M94" s="799" t="s">
        <v>574</v>
      </c>
      <c r="N94" s="940" t="s">
        <v>576</v>
      </c>
      <c r="O94" s="840" t="s">
        <v>577</v>
      </c>
      <c r="P94" s="97"/>
      <c r="Q94" s="100"/>
      <c r="R94" s="102">
        <v>45685.0</v>
      </c>
      <c r="S94" s="104">
        <v>45793.0</v>
      </c>
      <c r="T94" s="175" t="s">
        <v>578</v>
      </c>
      <c r="U94" s="73">
        <f t="shared" si="2"/>
        <v>4</v>
      </c>
      <c r="V94" s="75">
        <v>4.0</v>
      </c>
      <c r="W94" s="114">
        <v>45120.0</v>
      </c>
      <c r="X94" s="484" t="b">
        <v>1</v>
      </c>
      <c r="Y94" s="115">
        <v>45316.0</v>
      </c>
      <c r="Z94" s="484" t="b">
        <v>1</v>
      </c>
      <c r="AA94" s="115">
        <v>45496.0</v>
      </c>
      <c r="AB94" s="484" t="b">
        <v>1</v>
      </c>
      <c r="AC94" s="119">
        <v>45793.0</v>
      </c>
      <c r="AD94" s="68" t="b">
        <v>1</v>
      </c>
      <c r="AE94" s="119"/>
      <c r="AF94" s="68"/>
      <c r="AG94" s="119"/>
      <c r="AH94" s="68"/>
      <c r="AI94" s="119"/>
      <c r="AJ94" s="68"/>
      <c r="AK94" s="119"/>
      <c r="AL94" s="68"/>
      <c r="AM94" s="68"/>
      <c r="AN94" s="68"/>
      <c r="AO94" s="68"/>
      <c r="AP94" s="68"/>
      <c r="AQ94" s="68"/>
      <c r="AR94" s="68"/>
      <c r="AS94" s="68"/>
      <c r="AT94" s="68"/>
      <c r="AU94" s="277"/>
      <c r="AV94" s="110"/>
    </row>
    <row r="95" ht="22.5" hidden="1" customHeight="1">
      <c r="A95" s="58">
        <f t="shared" si="6"/>
        <v>20</v>
      </c>
      <c r="B95" s="537" t="s">
        <v>831</v>
      </c>
      <c r="C95" s="639">
        <v>18.24</v>
      </c>
      <c r="D95" s="639" t="s">
        <v>48</v>
      </c>
      <c r="E95" s="639" t="s">
        <v>833</v>
      </c>
      <c r="F95" s="931"/>
      <c r="G95" s="830" t="s">
        <v>84</v>
      </c>
      <c r="H95" s="82" t="b">
        <v>0</v>
      </c>
      <c r="I95" s="945"/>
      <c r="J95" s="82" t="b">
        <v>0</v>
      </c>
      <c r="K95" s="946"/>
      <c r="L95" s="931"/>
      <c r="M95" s="947"/>
      <c r="N95" s="948"/>
      <c r="O95" s="949"/>
      <c r="P95" s="370"/>
      <c r="Q95" s="633"/>
      <c r="R95" s="406">
        <v>46465.0</v>
      </c>
      <c r="S95" s="950">
        <v>46133.0</v>
      </c>
      <c r="T95" s="634"/>
      <c r="U95" s="515">
        <f t="shared" si="2"/>
        <v>2</v>
      </c>
      <c r="V95" s="75">
        <v>4.0</v>
      </c>
      <c r="W95" s="114">
        <v>45919.0</v>
      </c>
      <c r="X95" s="484" t="b">
        <v>1</v>
      </c>
      <c r="Y95" s="115">
        <v>46133.0</v>
      </c>
      <c r="Z95" s="653" t="b">
        <v>1</v>
      </c>
      <c r="AA95" s="198">
        <v>46283.0</v>
      </c>
      <c r="AB95" s="951" t="b">
        <v>0</v>
      </c>
      <c r="AC95" s="198">
        <v>46465.0</v>
      </c>
      <c r="AD95" s="200" t="b">
        <v>0</v>
      </c>
      <c r="AE95" s="378"/>
      <c r="AF95" s="379"/>
      <c r="AG95" s="378"/>
      <c r="AH95" s="379"/>
      <c r="AI95" s="378"/>
      <c r="AJ95" s="379"/>
      <c r="AK95" s="378"/>
      <c r="AL95" s="379"/>
      <c r="AM95" s="379"/>
      <c r="AN95" s="379"/>
      <c r="AO95" s="379"/>
      <c r="AP95" s="379"/>
      <c r="AQ95" s="189"/>
      <c r="AR95" s="189"/>
      <c r="AS95" s="189"/>
      <c r="AT95" s="189"/>
      <c r="AU95" s="546"/>
      <c r="AV95" s="110"/>
    </row>
    <row r="96" ht="22.5" hidden="1" customHeight="1">
      <c r="A96" s="58">
        <f t="shared" si="6"/>
        <v>20</v>
      </c>
      <c r="B96" s="289" t="s">
        <v>842</v>
      </c>
      <c r="C96" s="129">
        <v>25.5</v>
      </c>
      <c r="D96" s="129"/>
      <c r="E96" s="129"/>
      <c r="F96" s="954"/>
      <c r="G96" s="830" t="s">
        <v>84</v>
      </c>
      <c r="H96" s="82" t="b">
        <v>0</v>
      </c>
      <c r="I96" s="743"/>
      <c r="J96" s="82" t="b">
        <v>0</v>
      </c>
      <c r="K96" s="956"/>
      <c r="L96" s="954"/>
      <c r="M96" s="957"/>
      <c r="N96" s="958"/>
      <c r="O96" s="959"/>
      <c r="P96" s="154">
        <v>46253.0</v>
      </c>
      <c r="Q96" s="155"/>
      <c r="R96" s="156">
        <v>46983.0</v>
      </c>
      <c r="S96" s="192"/>
      <c r="T96" s="160"/>
      <c r="U96" s="515">
        <f t="shared" si="2"/>
        <v>0</v>
      </c>
      <c r="V96" s="161">
        <v>4.0</v>
      </c>
      <c r="W96" s="960"/>
      <c r="X96" s="259" t="b">
        <v>0</v>
      </c>
      <c r="Y96" s="960"/>
      <c r="Z96" s="484" t="b">
        <v>0</v>
      </c>
      <c r="AA96" s="163"/>
      <c r="AB96" s="484" t="b">
        <v>0</v>
      </c>
      <c r="AC96" s="163"/>
      <c r="AD96" s="68" t="b">
        <v>0</v>
      </c>
      <c r="AE96" s="166"/>
      <c r="AF96" s="167"/>
      <c r="AG96" s="166"/>
      <c r="AH96" s="167"/>
      <c r="AI96" s="166"/>
      <c r="AJ96" s="167"/>
      <c r="AK96" s="166"/>
      <c r="AL96" s="167"/>
      <c r="AM96" s="167"/>
      <c r="AN96" s="167"/>
      <c r="AO96" s="167"/>
      <c r="AP96" s="167"/>
      <c r="AQ96" s="168"/>
      <c r="AR96" s="168"/>
      <c r="AS96" s="168"/>
      <c r="AT96" s="168"/>
      <c r="AU96" s="962"/>
      <c r="AV96" s="110"/>
    </row>
    <row r="97" ht="22.5" hidden="1" customHeight="1">
      <c r="A97" s="58">
        <f t="shared" si="6"/>
        <v>20</v>
      </c>
      <c r="B97" s="289" t="s">
        <v>852</v>
      </c>
      <c r="C97" s="129">
        <v>14.4</v>
      </c>
      <c r="D97" s="129" t="s">
        <v>295</v>
      </c>
      <c r="E97" s="129" t="s">
        <v>853</v>
      </c>
      <c r="F97" s="954"/>
      <c r="G97" s="830" t="s">
        <v>84</v>
      </c>
      <c r="H97" s="82" t="b">
        <v>0</v>
      </c>
      <c r="I97" s="743"/>
      <c r="J97" s="82" t="b">
        <v>0</v>
      </c>
      <c r="K97" s="956"/>
      <c r="L97" s="954"/>
      <c r="M97" s="957"/>
      <c r="N97" s="958"/>
      <c r="O97" s="964"/>
      <c r="P97" s="154">
        <v>45958.0</v>
      </c>
      <c r="Q97" s="155"/>
      <c r="R97" s="156">
        <v>46687.0</v>
      </c>
      <c r="S97" s="192"/>
      <c r="T97" s="160"/>
      <c r="U97" s="515">
        <f t="shared" si="2"/>
        <v>1</v>
      </c>
      <c r="V97" s="161">
        <v>4.0</v>
      </c>
      <c r="W97" s="966">
        <v>46118.0</v>
      </c>
      <c r="X97" s="259" t="b">
        <v>1</v>
      </c>
      <c r="Y97" s="330">
        <v>46304.0</v>
      </c>
      <c r="Z97" s="967" t="b">
        <v>0</v>
      </c>
      <c r="AA97" s="330">
        <v>46486.0</v>
      </c>
      <c r="AB97" s="967" t="b">
        <v>0</v>
      </c>
      <c r="AC97" s="330">
        <v>46668.0</v>
      </c>
      <c r="AD97" s="68" t="b">
        <v>0</v>
      </c>
      <c r="AE97" s="256"/>
      <c r="AF97" s="167"/>
      <c r="AG97" s="256"/>
      <c r="AH97" s="167"/>
      <c r="AI97" s="256"/>
      <c r="AJ97" s="167"/>
      <c r="AK97" s="256"/>
      <c r="AL97" s="167"/>
      <c r="AM97" s="256"/>
      <c r="AN97" s="167"/>
      <c r="AO97" s="256"/>
      <c r="AP97" s="167"/>
      <c r="AQ97" s="168"/>
      <c r="AR97" s="168"/>
      <c r="AS97" s="168"/>
      <c r="AT97" s="168"/>
      <c r="AU97" s="962"/>
      <c r="AV97" s="110"/>
    </row>
    <row r="98" ht="22.5" hidden="1" customHeight="1">
      <c r="A98" s="58">
        <f t="shared" si="6"/>
        <v>20</v>
      </c>
      <c r="B98" s="648" t="s">
        <v>413</v>
      </c>
      <c r="C98" s="129"/>
      <c r="D98" s="129" t="s">
        <v>579</v>
      </c>
      <c r="E98" s="129"/>
      <c r="F98" s="129" t="s">
        <v>581</v>
      </c>
      <c r="G98" s="830" t="s">
        <v>55</v>
      </c>
      <c r="H98" s="82" t="b">
        <v>1</v>
      </c>
      <c r="I98" s="833">
        <v>45805.0</v>
      </c>
      <c r="J98" s="82" t="b">
        <v>0</v>
      </c>
      <c r="K98" s="836"/>
      <c r="L98" s="289" t="s">
        <v>582</v>
      </c>
      <c r="M98" s="799">
        <v>9.52565912E8</v>
      </c>
      <c r="N98" s="800" t="s">
        <v>862</v>
      </c>
      <c r="O98" s="840"/>
      <c r="P98" s="97"/>
      <c r="Q98" s="100"/>
      <c r="R98" s="102">
        <v>45798.0</v>
      </c>
      <c r="S98" s="104">
        <v>45798.0</v>
      </c>
      <c r="T98" s="105"/>
      <c r="U98" s="515">
        <f t="shared" si="2"/>
        <v>4</v>
      </c>
      <c r="V98" s="75">
        <v>4.0</v>
      </c>
      <c r="W98" s="343">
        <v>45255.0</v>
      </c>
      <c r="X98" s="259" t="b">
        <v>1</v>
      </c>
      <c r="Y98" s="343">
        <v>45467.0</v>
      </c>
      <c r="Z98" s="259" t="b">
        <v>1</v>
      </c>
      <c r="AA98" s="343">
        <v>45616.0</v>
      </c>
      <c r="AB98" s="484" t="b">
        <v>1</v>
      </c>
      <c r="AC98" s="119">
        <v>45798.0</v>
      </c>
      <c r="AD98" s="484" t="b">
        <v>1</v>
      </c>
      <c r="AE98" s="119">
        <v>45911.0</v>
      </c>
      <c r="AF98" s="137" t="b">
        <v>0</v>
      </c>
      <c r="AG98" s="119">
        <v>46092.0</v>
      </c>
      <c r="AH98" s="137" t="b">
        <v>0</v>
      </c>
      <c r="AI98" s="119">
        <v>46276.0</v>
      </c>
      <c r="AJ98" s="137" t="b">
        <v>0</v>
      </c>
      <c r="AK98" s="119">
        <v>46457.0</v>
      </c>
      <c r="AL98" s="137" t="b">
        <v>0</v>
      </c>
      <c r="AM98" s="68"/>
      <c r="AN98" s="68"/>
      <c r="AO98" s="68"/>
      <c r="AP98" s="68"/>
      <c r="AQ98" s="68"/>
      <c r="AR98" s="68"/>
      <c r="AS98" s="68"/>
      <c r="AT98" s="68"/>
      <c r="AU98" s="525"/>
      <c r="AV98" s="110"/>
    </row>
    <row r="99" ht="22.5" hidden="1" customHeight="1">
      <c r="A99" s="977">
        <f t="shared" si="6"/>
        <v>20</v>
      </c>
      <c r="B99" s="875" t="s">
        <v>865</v>
      </c>
      <c r="C99" s="129">
        <v>12.6</v>
      </c>
      <c r="D99" s="129" t="s">
        <v>585</v>
      </c>
      <c r="E99" s="129"/>
      <c r="F99" s="129"/>
      <c r="G99" s="830" t="s">
        <v>84</v>
      </c>
      <c r="H99" s="82" t="b">
        <v>1</v>
      </c>
      <c r="I99" s="978">
        <v>45804.0</v>
      </c>
      <c r="J99" s="82" t="b">
        <v>1</v>
      </c>
      <c r="K99" s="836">
        <v>45805.0</v>
      </c>
      <c r="L99" s="289" t="s">
        <v>586</v>
      </c>
      <c r="M99" s="799" t="s">
        <v>587</v>
      </c>
      <c r="N99" s="800"/>
      <c r="O99" s="840"/>
      <c r="P99" s="97"/>
      <c r="Q99" s="100"/>
      <c r="R99" s="102">
        <v>45646.0</v>
      </c>
      <c r="S99" s="104">
        <v>45836.0</v>
      </c>
      <c r="T99" s="135" t="s">
        <v>589</v>
      </c>
      <c r="U99" s="515">
        <f t="shared" si="2"/>
        <v>7</v>
      </c>
      <c r="V99" s="534">
        <v>4.0</v>
      </c>
      <c r="W99" s="343">
        <v>45104.0</v>
      </c>
      <c r="X99" s="259" t="b">
        <v>1</v>
      </c>
      <c r="Y99" s="343">
        <v>45320.0</v>
      </c>
      <c r="Z99" s="259" t="b">
        <v>1</v>
      </c>
      <c r="AA99" s="343">
        <v>45471.0</v>
      </c>
      <c r="AB99" s="259" t="b">
        <v>1</v>
      </c>
      <c r="AC99" s="182">
        <v>45637.0</v>
      </c>
      <c r="AD99" s="68" t="b">
        <v>1</v>
      </c>
      <c r="AE99" s="119">
        <v>45836.0</v>
      </c>
      <c r="AF99" s="68" t="b">
        <v>1</v>
      </c>
      <c r="AG99" s="119">
        <v>46045.0</v>
      </c>
      <c r="AH99" s="68" t="b">
        <v>1</v>
      </c>
      <c r="AI99" s="984">
        <v>46239.0</v>
      </c>
      <c r="AJ99" s="68" t="b">
        <v>1</v>
      </c>
      <c r="AK99" s="119">
        <v>46383.0</v>
      </c>
      <c r="AL99" s="68" t="b">
        <v>0</v>
      </c>
      <c r="AM99" s="68"/>
      <c r="AN99" s="68"/>
      <c r="AO99" s="68"/>
      <c r="AP99" s="68"/>
      <c r="AQ99" s="68"/>
      <c r="AR99" s="68"/>
      <c r="AS99" s="68"/>
      <c r="AT99" s="68"/>
      <c r="AU99" s="990"/>
      <c r="AV99" s="110"/>
    </row>
    <row r="100" ht="22.5" hidden="1" customHeight="1">
      <c r="A100" s="58">
        <f t="shared" si="6"/>
        <v>20</v>
      </c>
      <c r="B100" s="995" t="s">
        <v>417</v>
      </c>
      <c r="C100" s="129"/>
      <c r="D100" s="129" t="s">
        <v>95</v>
      </c>
      <c r="E100" s="997"/>
      <c r="F100" s="997"/>
      <c r="G100" s="830" t="s">
        <v>555</v>
      </c>
      <c r="H100" s="82" t="b">
        <v>0</v>
      </c>
      <c r="I100" s="833"/>
      <c r="J100" s="82" t="b">
        <v>0</v>
      </c>
      <c r="K100" s="836"/>
      <c r="L100" s="289" t="s">
        <v>593</v>
      </c>
      <c r="M100" s="1001" t="s">
        <v>595</v>
      </c>
      <c r="N100" s="800"/>
      <c r="O100" s="840"/>
      <c r="P100" s="97"/>
      <c r="Q100" s="100"/>
      <c r="R100" s="102"/>
      <c r="S100" s="104">
        <v>45632.0</v>
      </c>
      <c r="T100" s="105">
        <v>45402.0</v>
      </c>
      <c r="U100" s="515">
        <f t="shared" si="2"/>
        <v>2</v>
      </c>
      <c r="V100" s="534">
        <v>2.0</v>
      </c>
      <c r="W100" s="343">
        <v>45463.0</v>
      </c>
      <c r="X100" s="259" t="b">
        <v>1</v>
      </c>
      <c r="Y100" s="343">
        <v>45632.0</v>
      </c>
      <c r="Z100" s="259" t="b">
        <v>1</v>
      </c>
      <c r="AA100" s="343"/>
      <c r="AB100" s="259"/>
      <c r="AC100" s="182"/>
      <c r="AD100" s="68"/>
      <c r="AE100" s="119"/>
      <c r="AF100" s="68"/>
      <c r="AG100" s="119"/>
      <c r="AH100" s="68"/>
      <c r="AI100" s="182"/>
      <c r="AJ100" s="83"/>
      <c r="AK100" s="119"/>
      <c r="AL100" s="68"/>
      <c r="AM100" s="68"/>
      <c r="AN100" s="68"/>
      <c r="AO100" s="68"/>
      <c r="AP100" s="68"/>
      <c r="AQ100" s="68"/>
      <c r="AR100" s="68"/>
      <c r="AS100" s="68"/>
      <c r="AT100" s="68"/>
      <c r="AU100" s="525" t="s">
        <v>423</v>
      </c>
      <c r="AV100" s="110"/>
    </row>
    <row r="101" ht="22.5" hidden="1" customHeight="1">
      <c r="A101" s="58">
        <f t="shared" si="6"/>
        <v>20</v>
      </c>
      <c r="B101" s="1009" t="s">
        <v>424</v>
      </c>
      <c r="C101" s="666">
        <v>48.63</v>
      </c>
      <c r="D101" s="666" t="s">
        <v>65</v>
      </c>
      <c r="E101" s="129"/>
      <c r="F101" s="1010" t="s">
        <v>597</v>
      </c>
      <c r="G101" s="830" t="s">
        <v>55</v>
      </c>
      <c r="H101" s="82" t="b">
        <v>1</v>
      </c>
      <c r="I101" s="833">
        <v>46017.0</v>
      </c>
      <c r="J101" s="82" t="b">
        <v>0</v>
      </c>
      <c r="K101" s="836"/>
      <c r="L101" s="289" t="s">
        <v>606</v>
      </c>
      <c r="M101" s="799" t="s">
        <v>607</v>
      </c>
      <c r="N101" s="457"/>
      <c r="O101" s="840"/>
      <c r="P101" s="97"/>
      <c r="Q101" s="100"/>
      <c r="R101" s="102">
        <v>45807.0</v>
      </c>
      <c r="S101" s="104">
        <v>45787.0</v>
      </c>
      <c r="T101" s="135" t="s">
        <v>227</v>
      </c>
      <c r="U101" s="515">
        <f t="shared" si="2"/>
        <v>4</v>
      </c>
      <c r="V101" s="534">
        <v>4.0</v>
      </c>
      <c r="W101" s="343">
        <v>45227.0</v>
      </c>
      <c r="X101" s="259" t="b">
        <v>1</v>
      </c>
      <c r="Y101" s="343">
        <v>45449.0</v>
      </c>
      <c r="Z101" s="259" t="b">
        <v>1</v>
      </c>
      <c r="AA101" s="343">
        <v>45628.0</v>
      </c>
      <c r="AB101" s="259" t="b">
        <v>1</v>
      </c>
      <c r="AC101" s="182">
        <v>45787.0</v>
      </c>
      <c r="AD101" s="68" t="b">
        <v>1</v>
      </c>
      <c r="AE101" s="119"/>
      <c r="AF101" s="68"/>
      <c r="AG101" s="119"/>
      <c r="AH101" s="68"/>
      <c r="AI101" s="182"/>
      <c r="AJ101" s="83"/>
      <c r="AK101" s="182"/>
      <c r="AL101" s="68"/>
      <c r="AM101" s="68"/>
      <c r="AN101" s="68"/>
      <c r="AO101" s="68"/>
      <c r="AP101" s="68"/>
      <c r="AQ101" s="68"/>
      <c r="AR101" s="68"/>
      <c r="AS101" s="68"/>
      <c r="AT101" s="68"/>
      <c r="AU101" s="62"/>
      <c r="AV101" s="83" t="b">
        <v>0</v>
      </c>
    </row>
    <row r="102" ht="27.75" hidden="1" customHeight="1">
      <c r="A102" s="58">
        <f t="shared" si="6"/>
        <v>20</v>
      </c>
      <c r="B102" s="1014" t="s">
        <v>428</v>
      </c>
      <c r="C102" s="665"/>
      <c r="D102" s="666" t="s">
        <v>111</v>
      </c>
      <c r="E102" s="129"/>
      <c r="F102" s="129"/>
      <c r="G102" s="1018" t="s">
        <v>555</v>
      </c>
      <c r="H102" s="82" t="b">
        <v>0</v>
      </c>
      <c r="I102" s="1020"/>
      <c r="J102" s="82" t="b">
        <v>0</v>
      </c>
      <c r="K102" s="1021"/>
      <c r="L102" s="289" t="s">
        <v>616</v>
      </c>
      <c r="M102" s="799" t="s">
        <v>617</v>
      </c>
      <c r="N102" s="800"/>
      <c r="O102" s="840"/>
      <c r="P102" s="97"/>
      <c r="Q102" s="100"/>
      <c r="R102" s="547">
        <v>45086.0</v>
      </c>
      <c r="S102" s="104"/>
      <c r="T102" s="105"/>
      <c r="U102" s="554">
        <f t="shared" si="2"/>
        <v>2</v>
      </c>
      <c r="V102" s="555">
        <v>2.0</v>
      </c>
      <c r="W102" s="343">
        <v>44562.0</v>
      </c>
      <c r="X102" s="259" t="b">
        <v>1</v>
      </c>
      <c r="Y102" s="343">
        <v>45086.0</v>
      </c>
      <c r="Z102" s="259" t="b">
        <v>1</v>
      </c>
      <c r="AA102" s="343"/>
      <c r="AB102" s="259"/>
      <c r="AC102" s="182"/>
      <c r="AD102" s="83"/>
      <c r="AE102" s="119"/>
      <c r="AF102" s="68"/>
      <c r="AG102" s="119"/>
      <c r="AH102" s="68"/>
      <c r="AI102" s="182"/>
      <c r="AJ102" s="68"/>
      <c r="AK102" s="119"/>
      <c r="AL102" s="68"/>
      <c r="AM102" s="68"/>
      <c r="AN102" s="68"/>
      <c r="AO102" s="68"/>
      <c r="AP102" s="68"/>
      <c r="AQ102" s="68"/>
      <c r="AR102" s="68"/>
      <c r="AS102" s="68"/>
      <c r="AT102" s="68"/>
      <c r="AU102" s="558" t="s">
        <v>58</v>
      </c>
      <c r="AV102" s="110"/>
    </row>
    <row r="103" ht="22.5" hidden="1" customHeight="1">
      <c r="A103" s="58">
        <f t="shared" si="6"/>
        <v>20</v>
      </c>
      <c r="B103" s="289" t="s">
        <v>434</v>
      </c>
      <c r="C103" s="129">
        <v>10.0</v>
      </c>
      <c r="D103" s="129" t="s">
        <v>295</v>
      </c>
      <c r="E103" s="129"/>
      <c r="F103" s="1010" t="s">
        <v>620</v>
      </c>
      <c r="G103" s="830" t="s">
        <v>243</v>
      </c>
      <c r="H103" s="82" t="b">
        <v>0</v>
      </c>
      <c r="I103" s="833"/>
      <c r="J103" s="82" t="b">
        <v>0</v>
      </c>
      <c r="K103" s="836"/>
      <c r="L103" s="289" t="s">
        <v>893</v>
      </c>
      <c r="M103" s="799" t="s">
        <v>894</v>
      </c>
      <c r="N103" s="800"/>
      <c r="O103" s="435"/>
      <c r="P103" s="97">
        <v>45583.0</v>
      </c>
      <c r="Q103" s="100"/>
      <c r="R103" s="102">
        <v>45487.0</v>
      </c>
      <c r="S103" s="463">
        <v>46039.0</v>
      </c>
      <c r="T103" s="175" t="s">
        <v>271</v>
      </c>
      <c r="U103" s="515">
        <f t="shared" si="2"/>
        <v>3</v>
      </c>
      <c r="V103" s="534">
        <v>4.0</v>
      </c>
      <c r="W103" s="343">
        <v>45628.0</v>
      </c>
      <c r="X103" s="259" t="b">
        <v>1</v>
      </c>
      <c r="Y103" s="343">
        <v>45825.0</v>
      </c>
      <c r="Z103" s="259" t="b">
        <v>1</v>
      </c>
      <c r="AA103" s="182">
        <v>46039.0</v>
      </c>
      <c r="AB103" s="618" t="b">
        <v>1</v>
      </c>
      <c r="AC103" s="182">
        <v>46237.0</v>
      </c>
      <c r="AD103" s="68" t="b">
        <v>0</v>
      </c>
      <c r="AE103" s="119"/>
      <c r="AF103" s="68"/>
      <c r="AG103" s="119"/>
      <c r="AH103" s="68"/>
      <c r="AI103" s="119"/>
      <c r="AJ103" s="68"/>
      <c r="AK103" s="119"/>
      <c r="AL103" s="68"/>
      <c r="AM103" s="68"/>
      <c r="AN103" s="68"/>
      <c r="AO103" s="68"/>
      <c r="AP103" s="68"/>
      <c r="AQ103" s="68"/>
      <c r="AR103" s="68"/>
      <c r="AS103" s="68"/>
      <c r="AT103" s="68"/>
      <c r="AU103" s="990"/>
      <c r="AV103" s="110"/>
    </row>
    <row r="104" ht="22.5" hidden="1" customHeight="1">
      <c r="A104" s="58">
        <f t="shared" si="6"/>
        <v>20</v>
      </c>
      <c r="B104" s="648" t="s">
        <v>438</v>
      </c>
      <c r="C104" s="129"/>
      <c r="D104" s="129" t="s">
        <v>629</v>
      </c>
      <c r="E104" s="129"/>
      <c r="F104" s="129" t="s">
        <v>630</v>
      </c>
      <c r="G104" s="830" t="s">
        <v>55</v>
      </c>
      <c r="H104" s="82" t="b">
        <v>1</v>
      </c>
      <c r="I104" s="833">
        <v>45903.0</v>
      </c>
      <c r="J104" s="82" t="b">
        <v>0</v>
      </c>
      <c r="K104" s="836"/>
      <c r="L104" s="289" t="s">
        <v>631</v>
      </c>
      <c r="M104" s="799">
        <v>8.98119674E8</v>
      </c>
      <c r="N104" s="800"/>
      <c r="O104" s="840"/>
      <c r="P104" s="97"/>
      <c r="Q104" s="100"/>
      <c r="R104" s="547">
        <v>45388.0</v>
      </c>
      <c r="S104" s="104">
        <v>45388.0</v>
      </c>
      <c r="T104" s="105"/>
      <c r="U104" s="515">
        <f t="shared" si="2"/>
        <v>3</v>
      </c>
      <c r="V104" s="534">
        <v>4.0</v>
      </c>
      <c r="W104" s="343">
        <v>44874.0</v>
      </c>
      <c r="X104" s="259" t="b">
        <v>1</v>
      </c>
      <c r="Y104" s="343">
        <v>44927.0</v>
      </c>
      <c r="Z104" s="259" t="b">
        <v>0</v>
      </c>
      <c r="AA104" s="343">
        <v>45082.0</v>
      </c>
      <c r="AB104" s="259" t="b">
        <v>1</v>
      </c>
      <c r="AC104" s="182">
        <v>45357.0</v>
      </c>
      <c r="AD104" s="68" t="b">
        <v>1</v>
      </c>
      <c r="AE104" s="119">
        <v>45915.0</v>
      </c>
      <c r="AF104" s="137" t="b">
        <v>0</v>
      </c>
      <c r="AG104" s="119">
        <v>46097.0</v>
      </c>
      <c r="AH104" s="137" t="b">
        <v>0</v>
      </c>
      <c r="AI104" s="119">
        <v>46280.0</v>
      </c>
      <c r="AJ104" s="137" t="b">
        <v>0</v>
      </c>
      <c r="AK104" s="119">
        <v>46461.0</v>
      </c>
      <c r="AL104" s="137" t="b">
        <v>0</v>
      </c>
      <c r="AM104" s="68"/>
      <c r="AN104" s="68"/>
      <c r="AO104" s="68"/>
      <c r="AP104" s="68"/>
      <c r="AQ104" s="68"/>
      <c r="AR104" s="68"/>
      <c r="AS104" s="68"/>
      <c r="AT104" s="68"/>
      <c r="AU104" s="525"/>
      <c r="AV104" s="110"/>
    </row>
    <row r="105" ht="22.5" hidden="1" customHeight="1">
      <c r="A105" s="58">
        <f t="shared" si="6"/>
        <v>20</v>
      </c>
      <c r="B105" s="289" t="s">
        <v>900</v>
      </c>
      <c r="C105" s="129">
        <v>3.06</v>
      </c>
      <c r="D105" s="129" t="s">
        <v>48</v>
      </c>
      <c r="E105" s="129"/>
      <c r="F105" s="954"/>
      <c r="G105" s="830" t="s">
        <v>84</v>
      </c>
      <c r="H105" s="82" t="b">
        <v>0</v>
      </c>
      <c r="I105" s="743"/>
      <c r="J105" s="82" t="b">
        <v>0</v>
      </c>
      <c r="K105" s="956"/>
      <c r="L105" s="954"/>
      <c r="M105" s="957"/>
      <c r="N105" s="958"/>
      <c r="O105" s="959"/>
      <c r="P105" s="154">
        <v>46221.0</v>
      </c>
      <c r="Q105" s="155"/>
      <c r="R105" s="156">
        <v>46951.0</v>
      </c>
      <c r="S105" s="192"/>
      <c r="T105" s="160"/>
      <c r="U105" s="515">
        <f t="shared" si="2"/>
        <v>0</v>
      </c>
      <c r="V105" s="1030">
        <v>4.0</v>
      </c>
      <c r="W105" s="328">
        <v>46405.0</v>
      </c>
      <c r="X105" s="746" t="b">
        <v>0</v>
      </c>
      <c r="Y105" s="303">
        <v>46587.0</v>
      </c>
      <c r="Z105" s="746" t="b">
        <v>0</v>
      </c>
      <c r="AA105" s="303">
        <v>46769.0</v>
      </c>
      <c r="AB105" s="746" t="b">
        <v>0</v>
      </c>
      <c r="AC105" s="303">
        <v>46951.0</v>
      </c>
      <c r="AD105" s="296" t="b">
        <v>0</v>
      </c>
      <c r="AE105" s="166"/>
      <c r="AF105" s="167"/>
      <c r="AG105" s="166"/>
      <c r="AH105" s="167"/>
      <c r="AI105" s="166"/>
      <c r="AJ105" s="167"/>
      <c r="AK105" s="166"/>
      <c r="AL105" s="167"/>
      <c r="AM105" s="167"/>
      <c r="AN105" s="167"/>
      <c r="AO105" s="167"/>
      <c r="AP105" s="167"/>
      <c r="AQ105" s="168"/>
      <c r="AR105" s="168"/>
      <c r="AS105" s="168"/>
      <c r="AT105" s="168"/>
      <c r="AU105" s="962"/>
      <c r="AV105" s="110"/>
    </row>
    <row r="106" ht="22.5" hidden="1" customHeight="1">
      <c r="A106" s="58">
        <f t="shared" si="6"/>
        <v>20</v>
      </c>
      <c r="B106" s="289" t="s">
        <v>902</v>
      </c>
      <c r="C106" s="129">
        <v>7.14</v>
      </c>
      <c r="D106" s="129" t="s">
        <v>903</v>
      </c>
      <c r="E106" s="129"/>
      <c r="F106" s="954"/>
      <c r="G106" s="830" t="s">
        <v>84</v>
      </c>
      <c r="H106" s="82" t="b">
        <v>0</v>
      </c>
      <c r="I106" s="743"/>
      <c r="J106" s="82" t="b">
        <v>0</v>
      </c>
      <c r="K106" s="956"/>
      <c r="L106" s="954"/>
      <c r="M106" s="957"/>
      <c r="N106" s="958"/>
      <c r="O106" s="959" t="s">
        <v>219</v>
      </c>
      <c r="P106" s="154">
        <v>46197.0</v>
      </c>
      <c r="Q106" s="155"/>
      <c r="R106" s="156">
        <v>46927.0</v>
      </c>
      <c r="S106" s="192"/>
      <c r="T106" s="160"/>
      <c r="U106" s="515">
        <f t="shared" si="2"/>
        <v>0</v>
      </c>
      <c r="V106" s="1030">
        <v>4.0</v>
      </c>
      <c r="W106" s="330">
        <v>46405.0</v>
      </c>
      <c r="X106" s="967" t="b">
        <v>0</v>
      </c>
      <c r="Y106" s="330">
        <v>46587.0</v>
      </c>
      <c r="Z106" s="967" t="b">
        <v>0</v>
      </c>
      <c r="AA106" s="330">
        <v>46769.0</v>
      </c>
      <c r="AB106" s="967" t="b">
        <v>0</v>
      </c>
      <c r="AC106" s="330">
        <v>46951.0</v>
      </c>
      <c r="AD106" s="296" t="b">
        <v>0</v>
      </c>
      <c r="AE106" s="166"/>
      <c r="AF106" s="167"/>
      <c r="AG106" s="166"/>
      <c r="AH106" s="167"/>
      <c r="AI106" s="166"/>
      <c r="AJ106" s="167"/>
      <c r="AK106" s="166"/>
      <c r="AL106" s="167"/>
      <c r="AM106" s="167"/>
      <c r="AN106" s="167"/>
      <c r="AO106" s="167"/>
      <c r="AP106" s="167"/>
      <c r="AQ106" s="168"/>
      <c r="AR106" s="168"/>
      <c r="AS106" s="168"/>
      <c r="AT106" s="168"/>
      <c r="AU106" s="962"/>
      <c r="AV106" s="110"/>
    </row>
    <row r="107" ht="22.5" hidden="1" customHeight="1">
      <c r="A107" s="58">
        <f t="shared" si="6"/>
        <v>20</v>
      </c>
      <c r="B107" s="537" t="s">
        <v>904</v>
      </c>
      <c r="C107" s="639">
        <v>12.48</v>
      </c>
      <c r="D107" s="639" t="s">
        <v>48</v>
      </c>
      <c r="E107" s="639"/>
      <c r="F107" s="931"/>
      <c r="G107" s="830" t="s">
        <v>84</v>
      </c>
      <c r="H107" s="82" t="b">
        <v>0</v>
      </c>
      <c r="I107" s="393"/>
      <c r="J107" s="82" t="b">
        <v>0</v>
      </c>
      <c r="K107" s="946"/>
      <c r="L107" s="931"/>
      <c r="M107" s="947"/>
      <c r="N107" s="1038"/>
      <c r="O107" s="949"/>
      <c r="P107" s="370">
        <v>45835.0</v>
      </c>
      <c r="Q107" s="633"/>
      <c r="R107" s="406">
        <v>46564.0</v>
      </c>
      <c r="S107" s="408">
        <v>45924.0</v>
      </c>
      <c r="T107" s="634"/>
      <c r="U107" s="515">
        <f t="shared" si="2"/>
        <v>2</v>
      </c>
      <c r="V107" s="534">
        <v>4.0</v>
      </c>
      <c r="W107" s="343">
        <v>45924.0</v>
      </c>
      <c r="X107" s="403" t="b">
        <v>1</v>
      </c>
      <c r="Y107" s="182">
        <v>46092.0</v>
      </c>
      <c r="Z107" s="502" t="b">
        <v>1</v>
      </c>
      <c r="AA107" s="626">
        <v>46276.0</v>
      </c>
      <c r="AB107" s="1044" t="b">
        <v>0</v>
      </c>
      <c r="AC107" s="626">
        <v>46457.0</v>
      </c>
      <c r="AD107" s="200" t="b">
        <v>0</v>
      </c>
      <c r="AE107" s="378"/>
      <c r="AF107" s="379"/>
      <c r="AG107" s="378"/>
      <c r="AH107" s="379"/>
      <c r="AI107" s="378"/>
      <c r="AJ107" s="379"/>
      <c r="AK107" s="378"/>
      <c r="AL107" s="379"/>
      <c r="AM107" s="379"/>
      <c r="AN107" s="379"/>
      <c r="AO107" s="379"/>
      <c r="AP107" s="379"/>
      <c r="AQ107" s="189"/>
      <c r="AR107" s="189"/>
      <c r="AS107" s="189"/>
      <c r="AT107" s="189"/>
      <c r="AU107" s="546"/>
      <c r="AV107" s="110"/>
    </row>
    <row r="108" ht="22.5" hidden="1" customHeight="1">
      <c r="A108" s="58">
        <f t="shared" si="6"/>
        <v>20</v>
      </c>
      <c r="B108" s="570" t="s">
        <v>443</v>
      </c>
      <c r="C108" s="129">
        <v>8.1</v>
      </c>
      <c r="D108" s="129" t="s">
        <v>638</v>
      </c>
      <c r="E108" s="876"/>
      <c r="F108" s="876"/>
      <c r="G108" s="830" t="s">
        <v>84</v>
      </c>
      <c r="H108" s="82" t="b">
        <v>1</v>
      </c>
      <c r="I108" s="833">
        <v>45828.0</v>
      </c>
      <c r="J108" s="82" t="b">
        <v>0</v>
      </c>
      <c r="K108" s="836">
        <v>45836.0</v>
      </c>
      <c r="L108" s="289" t="s">
        <v>487</v>
      </c>
      <c r="M108" s="799" t="s">
        <v>488</v>
      </c>
      <c r="N108" s="800" t="s">
        <v>148</v>
      </c>
      <c r="O108" s="840"/>
      <c r="P108" s="97"/>
      <c r="Q108" s="100">
        <v>45025.0</v>
      </c>
      <c r="R108" s="102">
        <v>45811.0</v>
      </c>
      <c r="S108" s="104">
        <v>45796.0</v>
      </c>
      <c r="T108" s="175" t="s">
        <v>104</v>
      </c>
      <c r="U108" s="515">
        <f t="shared" si="2"/>
        <v>9</v>
      </c>
      <c r="V108" s="534">
        <v>12.0</v>
      </c>
      <c r="W108" s="343">
        <v>44562.0</v>
      </c>
      <c r="X108" s="259" t="b">
        <v>1</v>
      </c>
      <c r="Y108" s="343">
        <v>44679.0</v>
      </c>
      <c r="Z108" s="259" t="b">
        <v>1</v>
      </c>
      <c r="AA108" s="343">
        <v>44876.0</v>
      </c>
      <c r="AB108" s="259" t="b">
        <v>1</v>
      </c>
      <c r="AC108" s="343">
        <v>45055.0</v>
      </c>
      <c r="AD108" s="68" t="b">
        <v>1</v>
      </c>
      <c r="AE108" s="182">
        <v>45313.0</v>
      </c>
      <c r="AF108" s="68" t="b">
        <v>1</v>
      </c>
      <c r="AG108" s="343">
        <v>45492.0</v>
      </c>
      <c r="AH108" s="68" t="b">
        <v>1</v>
      </c>
      <c r="AI108" s="115">
        <v>45633.0</v>
      </c>
      <c r="AJ108" s="68" t="b">
        <v>1</v>
      </c>
      <c r="AK108" s="119">
        <v>45796.0</v>
      </c>
      <c r="AL108" s="68" t="b">
        <v>1</v>
      </c>
      <c r="AM108" s="1056">
        <v>46209.0</v>
      </c>
      <c r="AN108" s="68" t="b">
        <v>1</v>
      </c>
      <c r="AO108" s="68"/>
      <c r="AP108" s="68" t="b">
        <v>0</v>
      </c>
      <c r="AQ108" s="68"/>
      <c r="AR108" s="68" t="b">
        <v>0</v>
      </c>
      <c r="AS108" s="68"/>
      <c r="AT108" s="68" t="b">
        <v>0</v>
      </c>
      <c r="AU108" s="525"/>
      <c r="AV108" s="110"/>
    </row>
    <row r="109" ht="22.5" customHeight="1">
      <c r="A109" s="58">
        <f t="shared" si="6"/>
        <v>21</v>
      </c>
      <c r="B109" s="648" t="s">
        <v>446</v>
      </c>
      <c r="C109" s="129">
        <v>5.76</v>
      </c>
      <c r="D109" s="129" t="s">
        <v>101</v>
      </c>
      <c r="E109" s="129" t="s">
        <v>643</v>
      </c>
      <c r="F109" s="129"/>
      <c r="G109" s="830" t="s">
        <v>105</v>
      </c>
      <c r="H109" s="82" t="b">
        <v>0</v>
      </c>
      <c r="I109" s="833"/>
      <c r="J109" s="82" t="b">
        <v>0</v>
      </c>
      <c r="K109" s="836"/>
      <c r="L109" s="289" t="s">
        <v>446</v>
      </c>
      <c r="M109" s="868" t="s">
        <v>644</v>
      </c>
      <c r="N109" s="1061"/>
      <c r="O109" s="840"/>
      <c r="P109" s="97"/>
      <c r="Q109" s="100"/>
      <c r="R109" s="102">
        <v>46031.0</v>
      </c>
      <c r="S109" s="104">
        <v>45849.0</v>
      </c>
      <c r="T109" s="175" t="s">
        <v>645</v>
      </c>
      <c r="U109" s="515">
        <f t="shared" si="2"/>
        <v>4</v>
      </c>
      <c r="V109" s="534">
        <v>4.0</v>
      </c>
      <c r="W109" s="182">
        <v>45485.0</v>
      </c>
      <c r="X109" s="259" t="b">
        <v>1</v>
      </c>
      <c r="Y109" s="182">
        <v>45667.0</v>
      </c>
      <c r="Z109" s="259" t="b">
        <v>1</v>
      </c>
      <c r="AA109" s="182">
        <v>45849.0</v>
      </c>
      <c r="AB109" s="259" t="b">
        <v>1</v>
      </c>
      <c r="AC109" s="182">
        <v>46073.0</v>
      </c>
      <c r="AD109" s="137" t="b">
        <v>1</v>
      </c>
      <c r="AE109" s="182"/>
      <c r="AF109" s="83"/>
      <c r="AG109" s="182"/>
      <c r="AH109" s="83"/>
      <c r="AI109" s="119"/>
      <c r="AJ109" s="68"/>
      <c r="AK109" s="119"/>
      <c r="AL109" s="68"/>
      <c r="AM109" s="68"/>
      <c r="AN109" s="68"/>
      <c r="AO109" s="79"/>
      <c r="AP109" s="68"/>
      <c r="AQ109" s="68"/>
      <c r="AR109" s="68"/>
      <c r="AS109" s="68"/>
      <c r="AT109" s="68"/>
      <c r="AU109" s="525"/>
      <c r="AV109" s="110"/>
    </row>
    <row r="110" ht="22.5" hidden="1" customHeight="1">
      <c r="A110" s="58">
        <f t="shared" si="6"/>
        <v>21</v>
      </c>
      <c r="B110" s="537" t="s">
        <v>448</v>
      </c>
      <c r="C110" s="426">
        <v>14.4</v>
      </c>
      <c r="D110" s="426" t="s">
        <v>911</v>
      </c>
      <c r="E110" s="426" t="s">
        <v>912</v>
      </c>
      <c r="F110" s="931"/>
      <c r="G110" s="830" t="s">
        <v>243</v>
      </c>
      <c r="H110" s="82" t="b">
        <v>0</v>
      </c>
      <c r="I110" s="945"/>
      <c r="J110" s="82" t="b">
        <v>0</v>
      </c>
      <c r="K110" s="946"/>
      <c r="L110" s="931"/>
      <c r="M110" s="1062"/>
      <c r="N110" s="800"/>
      <c r="O110" s="1063"/>
      <c r="P110" s="370">
        <v>45594.0</v>
      </c>
      <c r="Q110" s="404"/>
      <c r="R110" s="406">
        <v>46174.0</v>
      </c>
      <c r="S110" s="463">
        <v>46060.0</v>
      </c>
      <c r="T110" s="1064" t="s">
        <v>915</v>
      </c>
      <c r="U110" s="515">
        <f t="shared" si="2"/>
        <v>3</v>
      </c>
      <c r="V110" s="534">
        <v>4.0</v>
      </c>
      <c r="W110" s="343">
        <v>45639.0</v>
      </c>
      <c r="X110" s="259" t="b">
        <v>1</v>
      </c>
      <c r="Y110" s="343">
        <v>45780.0</v>
      </c>
      <c r="Z110" s="259" t="b">
        <v>1</v>
      </c>
      <c r="AA110" s="343">
        <v>46060.0</v>
      </c>
      <c r="AB110" s="259" t="b">
        <v>1</v>
      </c>
      <c r="AC110" s="182">
        <v>46220.0</v>
      </c>
      <c r="AD110" s="137" t="b">
        <v>0</v>
      </c>
      <c r="AE110" s="378"/>
      <c r="AF110" s="379"/>
      <c r="AG110" s="378"/>
      <c r="AH110" s="379"/>
      <c r="AI110" s="378"/>
      <c r="AJ110" s="379"/>
      <c r="AK110" s="378"/>
      <c r="AL110" s="379"/>
      <c r="AM110" s="379"/>
      <c r="AN110" s="379"/>
      <c r="AO110" s="379"/>
      <c r="AP110" s="379"/>
      <c r="AQ110" s="189"/>
      <c r="AR110" s="189"/>
      <c r="AS110" s="189"/>
      <c r="AT110" s="189"/>
      <c r="AU110" s="546"/>
      <c r="AV110" s="110"/>
    </row>
    <row r="111" ht="22.5" hidden="1" customHeight="1">
      <c r="A111" s="58">
        <f t="shared" si="6"/>
        <v>21</v>
      </c>
      <c r="B111" s="537" t="s">
        <v>918</v>
      </c>
      <c r="C111" s="639">
        <v>57.33</v>
      </c>
      <c r="D111" s="639" t="s">
        <v>919</v>
      </c>
      <c r="E111" s="639"/>
      <c r="F111" s="931"/>
      <c r="G111" s="830" t="s">
        <v>84</v>
      </c>
      <c r="H111" s="82" t="b">
        <v>0</v>
      </c>
      <c r="I111" s="945"/>
      <c r="J111" s="82" t="b">
        <v>0</v>
      </c>
      <c r="K111" s="946"/>
      <c r="L111" s="1065" t="s">
        <v>920</v>
      </c>
      <c r="M111" s="1066" t="s">
        <v>921</v>
      </c>
      <c r="N111" s="948"/>
      <c r="O111" s="949"/>
      <c r="P111" s="370">
        <v>45868.0</v>
      </c>
      <c r="Q111" s="633"/>
      <c r="R111" s="406">
        <v>46520.0</v>
      </c>
      <c r="S111" s="408">
        <v>46153.0</v>
      </c>
      <c r="T111" s="634"/>
      <c r="U111" s="515">
        <f t="shared" si="2"/>
        <v>2</v>
      </c>
      <c r="V111" s="534">
        <v>4.0</v>
      </c>
      <c r="W111" s="343">
        <v>45976.0</v>
      </c>
      <c r="X111" s="259" t="b">
        <v>1</v>
      </c>
      <c r="Y111" s="182">
        <v>46153.0</v>
      </c>
      <c r="Z111" s="259" t="b">
        <v>1</v>
      </c>
      <c r="AA111" s="626">
        <v>46339.0</v>
      </c>
      <c r="AB111" s="1067" t="b">
        <v>0</v>
      </c>
      <c r="AC111" s="626">
        <v>46520.0</v>
      </c>
      <c r="AD111" s="200" t="b">
        <v>0</v>
      </c>
      <c r="AE111" s="1068"/>
      <c r="AF111" s="379"/>
      <c r="AG111" s="1068"/>
      <c r="AH111" s="379"/>
      <c r="AI111" s="1068"/>
      <c r="AJ111" s="379"/>
      <c r="AK111" s="378"/>
      <c r="AL111" s="379"/>
      <c r="AM111" s="379"/>
      <c r="AN111" s="379"/>
      <c r="AO111" s="379"/>
      <c r="AP111" s="379"/>
      <c r="AQ111" s="189"/>
      <c r="AR111" s="189"/>
      <c r="AS111" s="189"/>
      <c r="AT111" s="189"/>
      <c r="AU111" s="546"/>
      <c r="AV111" s="110"/>
    </row>
    <row r="112" ht="22.5" hidden="1" customHeight="1">
      <c r="A112" s="58">
        <f t="shared" si="6"/>
        <v>21</v>
      </c>
      <c r="B112" s="537" t="s">
        <v>453</v>
      </c>
      <c r="C112" s="639">
        <v>24.0</v>
      </c>
      <c r="D112" s="639" t="s">
        <v>465</v>
      </c>
      <c r="E112" s="1069"/>
      <c r="F112" s="931"/>
      <c r="G112" s="830" t="s">
        <v>243</v>
      </c>
      <c r="H112" s="82" t="b">
        <v>0</v>
      </c>
      <c r="I112" s="945"/>
      <c r="J112" s="82" t="b">
        <v>0</v>
      </c>
      <c r="K112" s="946"/>
      <c r="L112" s="1065" t="s">
        <v>924</v>
      </c>
      <c r="M112" s="1066" t="s">
        <v>925</v>
      </c>
      <c r="N112" s="948"/>
      <c r="O112" s="949"/>
      <c r="P112" s="370">
        <v>45642.0</v>
      </c>
      <c r="Q112" s="404"/>
      <c r="R112" s="406">
        <v>45641.0</v>
      </c>
      <c r="S112" s="174">
        <v>46160.0</v>
      </c>
      <c r="T112" s="498"/>
      <c r="U112" s="515">
        <f t="shared" si="2"/>
        <v>3</v>
      </c>
      <c r="V112" s="534">
        <v>4.0</v>
      </c>
      <c r="W112" s="1070">
        <v>45794.0</v>
      </c>
      <c r="X112" s="259" t="b">
        <v>1</v>
      </c>
      <c r="Y112" s="1070">
        <v>45973.0</v>
      </c>
      <c r="Z112" s="259" t="b">
        <v>1</v>
      </c>
      <c r="AA112" s="1070">
        <v>46160.0</v>
      </c>
      <c r="AB112" s="259" t="b">
        <v>1</v>
      </c>
      <c r="AC112" s="438">
        <v>46343.0</v>
      </c>
      <c r="AD112" s="200" t="b">
        <v>0</v>
      </c>
      <c r="AE112" s="378"/>
      <c r="AF112" s="379"/>
      <c r="AG112" s="378"/>
      <c r="AH112" s="379"/>
      <c r="AI112" s="378"/>
      <c r="AJ112" s="379"/>
      <c r="AK112" s="378"/>
      <c r="AL112" s="379"/>
      <c r="AM112" s="379"/>
      <c r="AN112" s="379"/>
      <c r="AO112" s="379"/>
      <c r="AP112" s="379"/>
      <c r="AQ112" s="189"/>
      <c r="AR112" s="189"/>
      <c r="AS112" s="189"/>
      <c r="AT112" s="189"/>
      <c r="AU112" s="546"/>
      <c r="AV112" s="607"/>
    </row>
    <row r="113" ht="22.5" hidden="1" customHeight="1">
      <c r="A113" s="58">
        <f t="shared" si="6"/>
        <v>21</v>
      </c>
      <c r="B113" s="648" t="s">
        <v>454</v>
      </c>
      <c r="C113" s="129">
        <v>7.2</v>
      </c>
      <c r="D113" s="129" t="s">
        <v>648</v>
      </c>
      <c r="E113" s="129" t="s">
        <v>931</v>
      </c>
      <c r="F113" s="129"/>
      <c r="G113" s="830" t="s">
        <v>55</v>
      </c>
      <c r="H113" s="82" t="b">
        <v>1</v>
      </c>
      <c r="I113" s="833">
        <v>46058.0</v>
      </c>
      <c r="J113" s="82" t="b">
        <v>0</v>
      </c>
      <c r="K113" s="836"/>
      <c r="L113" s="289" t="s">
        <v>649</v>
      </c>
      <c r="M113" s="799" t="s">
        <v>650</v>
      </c>
      <c r="N113" s="800"/>
      <c r="O113" s="840"/>
      <c r="P113" s="97"/>
      <c r="Q113" s="100"/>
      <c r="R113" s="102">
        <v>46700.0</v>
      </c>
      <c r="S113" s="104">
        <v>45878.0</v>
      </c>
      <c r="T113" s="105"/>
      <c r="U113" s="515">
        <f t="shared" si="2"/>
        <v>8</v>
      </c>
      <c r="V113" s="534">
        <v>6.0</v>
      </c>
      <c r="W113" s="343">
        <v>44833.0</v>
      </c>
      <c r="X113" s="259" t="b">
        <v>1</v>
      </c>
      <c r="Y113" s="343">
        <v>45014.0</v>
      </c>
      <c r="Z113" s="259" t="b">
        <v>1</v>
      </c>
      <c r="AA113" s="343">
        <v>45328.0</v>
      </c>
      <c r="AB113" s="259" t="b">
        <v>1</v>
      </c>
      <c r="AC113" s="182">
        <v>45545.0</v>
      </c>
      <c r="AD113" s="137" t="b">
        <v>1</v>
      </c>
      <c r="AE113" s="119">
        <v>45728.0</v>
      </c>
      <c r="AF113" s="68" t="b">
        <v>1</v>
      </c>
      <c r="AG113" s="119">
        <v>45878.0</v>
      </c>
      <c r="AH113" s="137" t="b">
        <v>1</v>
      </c>
      <c r="AI113" s="450"/>
      <c r="AJ113" s="137" t="b">
        <v>0</v>
      </c>
      <c r="AK113" s="450">
        <v>45910.0</v>
      </c>
      <c r="AL113" s="137" t="b">
        <v>1</v>
      </c>
      <c r="AM113" s="1075">
        <v>46254.0</v>
      </c>
      <c r="AN113" s="137" t="b">
        <v>1</v>
      </c>
      <c r="AO113" s="119">
        <v>46424.0</v>
      </c>
      <c r="AP113" s="137" t="b">
        <v>0</v>
      </c>
      <c r="AQ113" s="68"/>
      <c r="AR113" s="137" t="b">
        <v>0</v>
      </c>
      <c r="AS113" s="68"/>
      <c r="AT113" s="137" t="b">
        <v>0</v>
      </c>
      <c r="AU113" s="522"/>
      <c r="AV113" s="110"/>
    </row>
    <row r="114" ht="26.25" hidden="1" customHeight="1">
      <c r="A114" s="58">
        <f t="shared" si="6"/>
        <v>21</v>
      </c>
      <c r="B114" s="1078" t="s">
        <v>458</v>
      </c>
      <c r="C114" s="1079">
        <v>15.84</v>
      </c>
      <c r="D114" s="129" t="s">
        <v>654</v>
      </c>
      <c r="E114" s="67"/>
      <c r="F114" s="129"/>
      <c r="G114" s="830" t="s">
        <v>84</v>
      </c>
      <c r="H114" s="82" t="b">
        <v>1</v>
      </c>
      <c r="I114" s="833">
        <v>46072.0</v>
      </c>
      <c r="J114" s="82" t="b">
        <v>1</v>
      </c>
      <c r="K114" s="836">
        <v>46073.0</v>
      </c>
      <c r="L114" s="289" t="s">
        <v>494</v>
      </c>
      <c r="M114" s="868" t="s">
        <v>655</v>
      </c>
      <c r="N114" s="1080" t="s">
        <v>497</v>
      </c>
      <c r="O114" s="840"/>
      <c r="P114" s="97"/>
      <c r="Q114" s="100">
        <v>46074.0</v>
      </c>
      <c r="R114" s="102">
        <v>46701.0</v>
      </c>
      <c r="S114" s="174">
        <v>46154.0</v>
      </c>
      <c r="T114" s="105"/>
      <c r="U114" s="515">
        <f t="shared" si="2"/>
        <v>5</v>
      </c>
      <c r="V114" s="534">
        <v>4.0</v>
      </c>
      <c r="W114" s="343">
        <v>45490.0</v>
      </c>
      <c r="X114" s="259" t="b">
        <v>1</v>
      </c>
      <c r="Y114" s="115">
        <v>45618.0</v>
      </c>
      <c r="Z114" s="83" t="b">
        <v>1</v>
      </c>
      <c r="AA114" s="115">
        <v>45786.0</v>
      </c>
      <c r="AB114" s="259" t="b">
        <v>1</v>
      </c>
      <c r="AC114" s="119">
        <v>45888.0</v>
      </c>
      <c r="AD114" s="137" t="b">
        <v>1</v>
      </c>
      <c r="AE114" s="1082">
        <v>46154.0</v>
      </c>
      <c r="AF114" s="68" t="b">
        <v>1</v>
      </c>
      <c r="AG114" s="1082">
        <v>46340.0</v>
      </c>
      <c r="AH114" s="143" t="b">
        <v>0</v>
      </c>
      <c r="AI114" s="143">
        <v>46515.0</v>
      </c>
      <c r="AJ114" s="143" t="b">
        <v>0</v>
      </c>
      <c r="AK114" s="143">
        <v>46704.0</v>
      </c>
      <c r="AL114" s="143" t="b">
        <v>0</v>
      </c>
      <c r="AM114" s="445"/>
      <c r="AN114" s="68"/>
      <c r="AO114" s="445"/>
      <c r="AP114" s="68"/>
      <c r="AQ114" s="68"/>
      <c r="AR114" s="68"/>
      <c r="AS114" s="68"/>
      <c r="AT114" s="68"/>
      <c r="AU114" s="525"/>
      <c r="AV114" s="110"/>
    </row>
    <row r="115" ht="22.5" hidden="1" customHeight="1">
      <c r="A115" s="1083">
        <f t="shared" si="6"/>
        <v>21</v>
      </c>
      <c r="B115" s="431" t="s">
        <v>462</v>
      </c>
      <c r="C115" s="426">
        <v>23.04</v>
      </c>
      <c r="D115" s="426" t="s">
        <v>295</v>
      </c>
      <c r="E115" s="426" t="s">
        <v>941</v>
      </c>
      <c r="F115" s="428"/>
      <c r="G115" s="830" t="s">
        <v>84</v>
      </c>
      <c r="H115" s="82" t="b">
        <v>0</v>
      </c>
      <c r="I115" s="429"/>
      <c r="J115" s="82" t="b">
        <v>0</v>
      </c>
      <c r="K115" s="430"/>
      <c r="L115" s="431"/>
      <c r="M115" s="1084"/>
      <c r="N115" s="1085"/>
      <c r="O115" s="435"/>
      <c r="P115" s="97"/>
      <c r="Q115" s="1087">
        <v>45609.0</v>
      </c>
      <c r="R115" s="102">
        <v>46338.0</v>
      </c>
      <c r="S115" s="174">
        <v>46149.0</v>
      </c>
      <c r="T115" s="374"/>
      <c r="U115" s="515">
        <f t="shared" si="2"/>
        <v>4</v>
      </c>
      <c r="V115" s="534">
        <v>4.0</v>
      </c>
      <c r="W115" s="449">
        <v>45786.0</v>
      </c>
      <c r="X115" s="68" t="b">
        <v>1</v>
      </c>
      <c r="Y115" s="196">
        <v>45974.0</v>
      </c>
      <c r="Z115" s="137" t="b">
        <v>1</v>
      </c>
      <c r="AA115" s="411">
        <v>46149.0</v>
      </c>
      <c r="AB115" s="68" t="b">
        <v>1</v>
      </c>
      <c r="AC115" s="287">
        <v>46339.0</v>
      </c>
      <c r="AD115" s="213" t="b">
        <v>1</v>
      </c>
      <c r="AE115" s="1068"/>
      <c r="AF115" s="379"/>
      <c r="AG115" s="1068"/>
      <c r="AH115" s="379"/>
      <c r="AI115" s="378"/>
      <c r="AJ115" s="379"/>
      <c r="AK115" s="378"/>
      <c r="AL115" s="379"/>
      <c r="AM115" s="379"/>
      <c r="AN115" s="379"/>
      <c r="AO115" s="379"/>
      <c r="AP115" s="379"/>
      <c r="AQ115" s="215"/>
      <c r="AR115" s="215"/>
      <c r="AS115" s="215"/>
      <c r="AT115" s="215"/>
      <c r="AU115" s="1090"/>
      <c r="AV115" s="110"/>
    </row>
    <row r="116" ht="22.5" hidden="1" customHeight="1">
      <c r="A116" s="58">
        <f t="shared" si="6"/>
        <v>21</v>
      </c>
      <c r="B116" s="537" t="s">
        <v>466</v>
      </c>
      <c r="C116" s="639"/>
      <c r="D116" s="639" t="s">
        <v>295</v>
      </c>
      <c r="E116" s="639" t="s">
        <v>941</v>
      </c>
      <c r="F116" s="931"/>
      <c r="G116" s="830" t="s">
        <v>945</v>
      </c>
      <c r="H116" s="82" t="b">
        <v>0</v>
      </c>
      <c r="I116" s="945"/>
      <c r="J116" s="82" t="b">
        <v>0</v>
      </c>
      <c r="K116" s="946"/>
      <c r="L116" s="931"/>
      <c r="M116" s="947"/>
      <c r="N116" s="948"/>
      <c r="O116" s="949"/>
      <c r="P116" s="1092"/>
      <c r="Q116" s="404"/>
      <c r="R116" s="1093"/>
      <c r="S116" s="721"/>
      <c r="T116" s="498"/>
      <c r="U116" s="515">
        <f t="shared" si="2"/>
        <v>0</v>
      </c>
      <c r="V116" s="534">
        <v>4.0</v>
      </c>
      <c r="W116" s="1068"/>
      <c r="X116" s="1094" t="b">
        <v>0</v>
      </c>
      <c r="Y116" s="378"/>
      <c r="Z116" s="412" t="b">
        <v>0</v>
      </c>
      <c r="AA116" s="378"/>
      <c r="AB116" s="197" t="b">
        <v>0</v>
      </c>
      <c r="AC116" s="1096"/>
      <c r="AD116" s="200" t="b">
        <v>0</v>
      </c>
      <c r="AE116" s="378"/>
      <c r="AF116" s="379"/>
      <c r="AG116" s="378"/>
      <c r="AH116" s="379"/>
      <c r="AI116" s="378"/>
      <c r="AJ116" s="379"/>
      <c r="AK116" s="378"/>
      <c r="AL116" s="379"/>
      <c r="AM116" s="379"/>
      <c r="AN116" s="379"/>
      <c r="AO116" s="379"/>
      <c r="AP116" s="379"/>
      <c r="AQ116" s="189"/>
      <c r="AR116" s="189"/>
      <c r="AS116" s="189"/>
      <c r="AT116" s="189"/>
      <c r="AU116" s="546"/>
      <c r="AV116" s="110"/>
    </row>
    <row r="117" ht="22.5" hidden="1" customHeight="1">
      <c r="A117" s="58">
        <f t="shared" si="6"/>
        <v>21</v>
      </c>
      <c r="B117" s="537" t="s">
        <v>470</v>
      </c>
      <c r="C117" s="639"/>
      <c r="D117" s="639" t="s">
        <v>295</v>
      </c>
      <c r="E117" s="639" t="s">
        <v>941</v>
      </c>
      <c r="F117" s="931"/>
      <c r="G117" s="830" t="s">
        <v>945</v>
      </c>
      <c r="H117" s="82" t="b">
        <v>0</v>
      </c>
      <c r="I117" s="945"/>
      <c r="J117" s="82" t="b">
        <v>0</v>
      </c>
      <c r="K117" s="946"/>
      <c r="L117" s="931"/>
      <c r="M117" s="947"/>
      <c r="N117" s="948"/>
      <c r="O117" s="949"/>
      <c r="P117" s="1092"/>
      <c r="Q117" s="404"/>
      <c r="R117" s="1093"/>
      <c r="S117" s="721"/>
      <c r="T117" s="498"/>
      <c r="U117" s="515">
        <f t="shared" si="2"/>
        <v>0</v>
      </c>
      <c r="V117" s="534">
        <v>4.0</v>
      </c>
      <c r="W117" s="1070"/>
      <c r="X117" s="259" t="b">
        <v>0</v>
      </c>
      <c r="Y117" s="1070"/>
      <c r="Z117" s="197" t="b">
        <v>0</v>
      </c>
      <c r="AA117" s="438"/>
      <c r="AB117" s="1098" t="b">
        <v>0</v>
      </c>
      <c r="AC117" s="1099"/>
      <c r="AD117" s="200" t="b">
        <v>0</v>
      </c>
      <c r="AE117" s="378"/>
      <c r="AF117" s="379"/>
      <c r="AG117" s="378"/>
      <c r="AH117" s="379"/>
      <c r="AI117" s="378"/>
      <c r="AJ117" s="379"/>
      <c r="AK117" s="378"/>
      <c r="AL117" s="379"/>
      <c r="AM117" s="379"/>
      <c r="AN117" s="379"/>
      <c r="AO117" s="379"/>
      <c r="AP117" s="379"/>
      <c r="AQ117" s="189"/>
      <c r="AR117" s="189"/>
      <c r="AS117" s="189"/>
      <c r="AT117" s="189"/>
      <c r="AU117" s="546"/>
      <c r="AV117" s="110"/>
    </row>
    <row r="118" ht="22.5" hidden="1" customHeight="1">
      <c r="A118" s="58">
        <f t="shared" si="6"/>
        <v>21</v>
      </c>
      <c r="B118" s="1101" t="s">
        <v>473</v>
      </c>
      <c r="C118" s="639">
        <v>24.0</v>
      </c>
      <c r="D118" s="639" t="s">
        <v>295</v>
      </c>
      <c r="E118" s="639" t="s">
        <v>941</v>
      </c>
      <c r="F118" s="931"/>
      <c r="G118" s="830" t="s">
        <v>243</v>
      </c>
      <c r="H118" s="82" t="b">
        <v>0</v>
      </c>
      <c r="I118" s="945"/>
      <c r="J118" s="82" t="b">
        <v>0</v>
      </c>
      <c r="K118" s="946"/>
      <c r="L118" s="1065" t="s">
        <v>951</v>
      </c>
      <c r="M118" s="947"/>
      <c r="N118" s="948"/>
      <c r="O118" s="949"/>
      <c r="P118" s="1092"/>
      <c r="Q118" s="404"/>
      <c r="R118" s="406">
        <v>46339.0</v>
      </c>
      <c r="S118" s="174">
        <v>46149.0</v>
      </c>
      <c r="T118" s="498"/>
      <c r="U118" s="515">
        <f t="shared" si="2"/>
        <v>2</v>
      </c>
      <c r="V118" s="534">
        <v>4.0</v>
      </c>
      <c r="W118" s="343">
        <v>45786.0</v>
      </c>
      <c r="X118" s="259" t="b">
        <v>1</v>
      </c>
      <c r="Y118" s="119">
        <v>45975.0</v>
      </c>
      <c r="Z118" s="454" t="b">
        <v>0</v>
      </c>
      <c r="AA118" s="411">
        <v>46149.0</v>
      </c>
      <c r="AB118" s="259" t="b">
        <v>1</v>
      </c>
      <c r="AC118" s="287">
        <v>46339.0</v>
      </c>
      <c r="AD118" s="200" t="b">
        <v>0</v>
      </c>
      <c r="AE118" s="378"/>
      <c r="AF118" s="379"/>
      <c r="AG118" s="378"/>
      <c r="AH118" s="379"/>
      <c r="AI118" s="378"/>
      <c r="AJ118" s="379"/>
      <c r="AK118" s="378"/>
      <c r="AL118" s="379"/>
      <c r="AM118" s="379"/>
      <c r="AN118" s="379"/>
      <c r="AO118" s="379"/>
      <c r="AP118" s="379"/>
      <c r="AQ118" s="189"/>
      <c r="AR118" s="189"/>
      <c r="AS118" s="189"/>
      <c r="AT118" s="189"/>
      <c r="AU118" s="546"/>
      <c r="AV118" s="110"/>
    </row>
    <row r="119" ht="29.25" hidden="1" customHeight="1">
      <c r="A119" s="58">
        <f t="shared" si="6"/>
        <v>21</v>
      </c>
      <c r="B119" s="1110" t="s">
        <v>475</v>
      </c>
      <c r="C119" s="129"/>
      <c r="D119" s="129" t="s">
        <v>660</v>
      </c>
      <c r="E119" s="129"/>
      <c r="F119" s="129"/>
      <c r="G119" s="830" t="s">
        <v>243</v>
      </c>
      <c r="H119" s="82" t="b">
        <v>0</v>
      </c>
      <c r="I119" s="833"/>
      <c r="J119" s="82" t="b">
        <v>0</v>
      </c>
      <c r="K119" s="836"/>
      <c r="L119" s="289" t="s">
        <v>491</v>
      </c>
      <c r="M119" s="799" t="s">
        <v>661</v>
      </c>
      <c r="N119" s="800"/>
      <c r="O119" s="840"/>
      <c r="P119" s="1117"/>
      <c r="Q119" s="100"/>
      <c r="R119" s="1122"/>
      <c r="S119" s="104">
        <v>45723.0</v>
      </c>
      <c r="T119" s="634" t="s">
        <v>664</v>
      </c>
      <c r="U119" s="515">
        <f t="shared" si="2"/>
        <v>6</v>
      </c>
      <c r="V119" s="534">
        <v>12.0</v>
      </c>
      <c r="W119" s="343">
        <v>45139.0</v>
      </c>
      <c r="X119" s="259" t="b">
        <v>1</v>
      </c>
      <c r="Y119" s="343">
        <v>45324.0</v>
      </c>
      <c r="Z119" s="83" t="b">
        <v>1</v>
      </c>
      <c r="AA119" s="343">
        <v>45541.0</v>
      </c>
      <c r="AB119" s="259" t="b">
        <v>1</v>
      </c>
      <c r="AC119" s="115">
        <v>45723.0</v>
      </c>
      <c r="AD119" s="68" t="b">
        <v>1</v>
      </c>
      <c r="AE119" s="119">
        <v>45922.0</v>
      </c>
      <c r="AF119" s="68" t="b">
        <v>1</v>
      </c>
      <c r="AG119" s="115">
        <v>46087.0</v>
      </c>
      <c r="AH119" s="68" t="b">
        <v>1</v>
      </c>
      <c r="AI119" s="119">
        <v>46269.0</v>
      </c>
      <c r="AJ119" s="68" t="b">
        <v>0</v>
      </c>
      <c r="AK119" s="119"/>
      <c r="AL119" s="68"/>
      <c r="AM119" s="68"/>
      <c r="AN119" s="68"/>
      <c r="AO119" s="68"/>
      <c r="AP119" s="68"/>
      <c r="AQ119" s="68"/>
      <c r="AR119" s="68"/>
      <c r="AS119" s="68"/>
      <c r="AT119" s="68"/>
      <c r="AU119" s="525"/>
      <c r="AV119" s="110"/>
    </row>
    <row r="120" ht="22.5" hidden="1" customHeight="1">
      <c r="A120" s="58">
        <f t="shared" si="6"/>
        <v>21</v>
      </c>
      <c r="B120" s="499" t="s">
        <v>478</v>
      </c>
      <c r="C120" s="129"/>
      <c r="D120" s="129" t="s">
        <v>660</v>
      </c>
      <c r="E120" s="129"/>
      <c r="F120" s="129"/>
      <c r="G120" s="830" t="s">
        <v>243</v>
      </c>
      <c r="H120" s="82" t="b">
        <v>0</v>
      </c>
      <c r="I120" s="833"/>
      <c r="J120" s="82" t="b">
        <v>0</v>
      </c>
      <c r="K120" s="836"/>
      <c r="L120" s="289" t="s">
        <v>491</v>
      </c>
      <c r="M120" s="799" t="s">
        <v>661</v>
      </c>
      <c r="N120" s="800"/>
      <c r="O120" s="840"/>
      <c r="P120" s="1117"/>
      <c r="Q120" s="100"/>
      <c r="R120" s="1134" t="s">
        <v>219</v>
      </c>
      <c r="S120" s="104">
        <v>45541.0</v>
      </c>
      <c r="T120" s="634" t="s">
        <v>664</v>
      </c>
      <c r="U120" s="73">
        <f t="shared" si="2"/>
        <v>8</v>
      </c>
      <c r="V120" s="534">
        <v>12.0</v>
      </c>
      <c r="W120" s="343">
        <v>44562.0</v>
      </c>
      <c r="X120" s="259" t="b">
        <v>1</v>
      </c>
      <c r="Y120" s="115">
        <v>44562.0</v>
      </c>
      <c r="Z120" s="68" t="b">
        <v>1</v>
      </c>
      <c r="AA120" s="343">
        <v>44562.0</v>
      </c>
      <c r="AB120" s="259" t="b">
        <v>1</v>
      </c>
      <c r="AC120" s="182">
        <v>45254.0</v>
      </c>
      <c r="AD120" s="68" t="b">
        <v>1</v>
      </c>
      <c r="AE120" s="343">
        <v>45557.0</v>
      </c>
      <c r="AF120" s="68" t="b">
        <v>1</v>
      </c>
      <c r="AG120" s="115">
        <v>45723.0</v>
      </c>
      <c r="AH120" s="68" t="b">
        <v>1</v>
      </c>
      <c r="AI120" s="119">
        <v>45922.0</v>
      </c>
      <c r="AJ120" s="68" t="b">
        <v>1</v>
      </c>
      <c r="AK120" s="115">
        <v>46087.0</v>
      </c>
      <c r="AL120" s="68" t="b">
        <v>1</v>
      </c>
      <c r="AM120" s="68"/>
      <c r="AN120" s="143" t="b">
        <v>0</v>
      </c>
      <c r="AO120" s="68"/>
      <c r="AP120" s="143" t="b">
        <v>0</v>
      </c>
      <c r="AQ120" s="143"/>
      <c r="AR120" s="143" t="b">
        <v>0</v>
      </c>
      <c r="AS120" s="143"/>
      <c r="AT120" s="143" t="b">
        <v>0</v>
      </c>
      <c r="AU120" s="1139"/>
      <c r="AV120" s="110"/>
    </row>
    <row r="121" ht="22.5" hidden="1" customHeight="1">
      <c r="A121" s="58">
        <f t="shared" si="6"/>
        <v>21</v>
      </c>
      <c r="B121" s="483" t="s">
        <v>495</v>
      </c>
      <c r="C121" s="129"/>
      <c r="D121" s="129" t="s">
        <v>660</v>
      </c>
      <c r="E121" s="129"/>
      <c r="F121" s="129"/>
      <c r="G121" s="830" t="s">
        <v>243</v>
      </c>
      <c r="H121" s="82" t="b">
        <v>0</v>
      </c>
      <c r="I121" s="833"/>
      <c r="J121" s="82" t="b">
        <v>0</v>
      </c>
      <c r="K121" s="836"/>
      <c r="L121" s="289" t="s">
        <v>491</v>
      </c>
      <c r="M121" s="799" t="s">
        <v>661</v>
      </c>
      <c r="N121" s="800"/>
      <c r="O121" s="840"/>
      <c r="P121" s="1117"/>
      <c r="Q121" s="100"/>
      <c r="R121" s="1134" t="s">
        <v>219</v>
      </c>
      <c r="S121" s="104">
        <v>45752.0</v>
      </c>
      <c r="T121" s="634" t="s">
        <v>664</v>
      </c>
      <c r="U121" s="73">
        <f t="shared" si="2"/>
        <v>5</v>
      </c>
      <c r="V121" s="534">
        <v>12.0</v>
      </c>
      <c r="W121" s="343">
        <v>45387.0</v>
      </c>
      <c r="X121" s="259" t="b">
        <v>1</v>
      </c>
      <c r="Y121" s="115">
        <v>45541.0</v>
      </c>
      <c r="Z121" s="83" t="b">
        <v>1</v>
      </c>
      <c r="AA121" s="115">
        <v>45721.0</v>
      </c>
      <c r="AB121" s="259" t="b">
        <v>1</v>
      </c>
      <c r="AC121" s="119">
        <v>45922.0</v>
      </c>
      <c r="AD121" s="68" t="b">
        <v>1</v>
      </c>
      <c r="AE121" s="115">
        <v>46087.0</v>
      </c>
      <c r="AF121" s="68" t="b">
        <v>1</v>
      </c>
      <c r="AG121" s="119">
        <v>46269.0</v>
      </c>
      <c r="AH121" s="68" t="b">
        <v>0</v>
      </c>
      <c r="AI121" s="115"/>
      <c r="AJ121" s="68"/>
      <c r="AK121" s="119"/>
      <c r="AL121" s="68"/>
      <c r="AM121" s="68"/>
      <c r="AN121" s="68"/>
      <c r="AO121" s="68"/>
      <c r="AP121" s="68"/>
      <c r="AQ121" s="68"/>
      <c r="AR121" s="68"/>
      <c r="AS121" s="68"/>
      <c r="AT121" s="68"/>
      <c r="AU121" s="525"/>
      <c r="AV121" s="110"/>
    </row>
    <row r="122" ht="22.5" hidden="1" customHeight="1">
      <c r="A122" s="58">
        <f t="shared" si="6"/>
        <v>21</v>
      </c>
      <c r="B122" s="1143" t="s">
        <v>483</v>
      </c>
      <c r="C122" s="639"/>
      <c r="D122" s="639" t="s">
        <v>982</v>
      </c>
      <c r="E122" s="1069"/>
      <c r="F122" s="931"/>
      <c r="G122" s="830"/>
      <c r="H122" s="82" t="b">
        <v>0</v>
      </c>
      <c r="I122" s="945"/>
      <c r="J122" s="82" t="b">
        <v>0</v>
      </c>
      <c r="K122" s="946"/>
      <c r="L122" s="931"/>
      <c r="M122" s="947"/>
      <c r="N122" s="496"/>
      <c r="O122" s="949"/>
      <c r="P122" s="1149">
        <v>45635.0</v>
      </c>
      <c r="Q122" s="404"/>
      <c r="R122" s="1093"/>
      <c r="S122" s="721"/>
      <c r="T122" s="498"/>
      <c r="U122" s="515">
        <f t="shared" si="2"/>
        <v>0</v>
      </c>
      <c r="V122" s="534">
        <v>10.0</v>
      </c>
      <c r="W122" s="1068"/>
      <c r="X122" s="1094" t="b">
        <v>0</v>
      </c>
      <c r="Y122" s="1068"/>
      <c r="Z122" s="1094" t="b">
        <v>0</v>
      </c>
      <c r="AA122" s="1068"/>
      <c r="AB122" s="1067" t="b">
        <v>0</v>
      </c>
      <c r="AC122" s="1099"/>
      <c r="AD122" s="200" t="b">
        <v>0</v>
      </c>
      <c r="AE122" s="378"/>
      <c r="AF122" s="379"/>
      <c r="AG122" s="378"/>
      <c r="AH122" s="379"/>
      <c r="AI122" s="378"/>
      <c r="AJ122" s="379"/>
      <c r="AK122" s="378"/>
      <c r="AL122" s="379"/>
      <c r="AM122" s="379"/>
      <c r="AN122" s="379"/>
      <c r="AO122" s="379"/>
      <c r="AP122" s="379"/>
      <c r="AQ122" s="189"/>
      <c r="AR122" s="189"/>
      <c r="AS122" s="189"/>
      <c r="AT122" s="189"/>
      <c r="AU122" s="546"/>
      <c r="AV122" s="110"/>
    </row>
    <row r="123" ht="33.75" hidden="1" customHeight="1">
      <c r="A123" s="58">
        <f t="shared" si="6"/>
        <v>21</v>
      </c>
      <c r="B123" s="648" t="s">
        <v>92</v>
      </c>
      <c r="C123" s="129">
        <v>56.64</v>
      </c>
      <c r="D123" s="129" t="s">
        <v>93</v>
      </c>
      <c r="E123" s="129"/>
      <c r="F123" s="1010" t="s">
        <v>94</v>
      </c>
      <c r="G123" s="830" t="s">
        <v>55</v>
      </c>
      <c r="H123" s="82" t="b">
        <v>1</v>
      </c>
      <c r="I123" s="833">
        <v>46133.0</v>
      </c>
      <c r="J123" s="82" t="b">
        <v>0</v>
      </c>
      <c r="K123" s="836"/>
      <c r="L123" s="289" t="s">
        <v>671</v>
      </c>
      <c r="M123" s="799" t="s">
        <v>672</v>
      </c>
      <c r="N123" s="94"/>
      <c r="O123" s="840"/>
      <c r="P123" s="1117"/>
      <c r="Q123" s="100"/>
      <c r="R123" s="102">
        <v>45769.0</v>
      </c>
      <c r="S123" s="104">
        <v>45785.0</v>
      </c>
      <c r="T123" s="135" t="s">
        <v>415</v>
      </c>
      <c r="U123" s="515">
        <f t="shared" si="2"/>
        <v>4</v>
      </c>
      <c r="V123" s="534">
        <v>4.0</v>
      </c>
      <c r="W123" s="343">
        <v>45226.0</v>
      </c>
      <c r="X123" s="259" t="b">
        <v>1</v>
      </c>
      <c r="Y123" s="343">
        <v>45412.0</v>
      </c>
      <c r="Z123" s="259" t="b">
        <v>1</v>
      </c>
      <c r="AA123" s="343">
        <v>45588.0</v>
      </c>
      <c r="AB123" s="259" t="b">
        <v>1</v>
      </c>
      <c r="AC123" s="182">
        <v>45785.0</v>
      </c>
      <c r="AD123" s="68" t="b">
        <v>1</v>
      </c>
      <c r="AE123" s="182">
        <v>45877.0</v>
      </c>
      <c r="AF123" s="471" t="b">
        <v>0</v>
      </c>
      <c r="AG123" s="182">
        <v>46066.0</v>
      </c>
      <c r="AH123" s="471" t="b">
        <v>0</v>
      </c>
      <c r="AI123" s="182">
        <v>46248.0</v>
      </c>
      <c r="AJ123" s="471" t="b">
        <v>0</v>
      </c>
      <c r="AK123" s="182">
        <v>46430.0</v>
      </c>
      <c r="AL123" s="471" t="b">
        <v>0</v>
      </c>
      <c r="AM123" s="68"/>
      <c r="AN123" s="68"/>
      <c r="AO123" s="68"/>
      <c r="AP123" s="68"/>
      <c r="AQ123" s="68"/>
      <c r="AR123" s="68"/>
      <c r="AS123" s="68"/>
      <c r="AT123" s="68"/>
      <c r="AU123" s="525"/>
      <c r="AV123" s="110"/>
    </row>
    <row r="124" ht="22.5" hidden="1" customHeight="1">
      <c r="A124" s="58">
        <f t="shared" si="6"/>
        <v>21</v>
      </c>
      <c r="B124" s="537" t="s">
        <v>889</v>
      </c>
      <c r="C124" s="639">
        <v>348.0</v>
      </c>
      <c r="D124" s="639" t="s">
        <v>111</v>
      </c>
      <c r="E124" s="1069"/>
      <c r="F124" s="931"/>
      <c r="G124" s="830" t="s">
        <v>243</v>
      </c>
      <c r="H124" s="82" t="b">
        <v>0</v>
      </c>
      <c r="I124" s="945"/>
      <c r="J124" s="82" t="b">
        <v>0</v>
      </c>
      <c r="K124" s="946"/>
      <c r="L124" s="931"/>
      <c r="M124" s="947"/>
      <c r="N124" s="496"/>
      <c r="O124" s="949"/>
      <c r="P124" s="1092"/>
      <c r="Q124" s="404"/>
      <c r="R124" s="406">
        <v>47460.0</v>
      </c>
      <c r="S124" s="1158">
        <v>45836.0</v>
      </c>
      <c r="T124" s="769" t="s">
        <v>995</v>
      </c>
      <c r="U124" s="515"/>
      <c r="V124" s="534"/>
      <c r="W124" s="1070">
        <v>45836.0</v>
      </c>
      <c r="X124" s="259" t="b">
        <v>1</v>
      </c>
      <c r="Y124" s="1070">
        <v>46008.0</v>
      </c>
      <c r="Z124" s="259" t="b">
        <v>1</v>
      </c>
      <c r="AA124" s="1160">
        <v>46240.0</v>
      </c>
      <c r="AB124" s="259" t="b">
        <v>1</v>
      </c>
      <c r="AC124" s="438">
        <v>46368.0</v>
      </c>
      <c r="AD124" s="213" t="b">
        <v>0</v>
      </c>
      <c r="AE124" s="287">
        <v>46550.0</v>
      </c>
      <c r="AF124" s="213" t="b">
        <v>0</v>
      </c>
      <c r="AG124" s="287">
        <v>46732.0</v>
      </c>
      <c r="AH124" s="213" t="b">
        <v>0</v>
      </c>
      <c r="AI124" s="287">
        <v>46914.0</v>
      </c>
      <c r="AJ124" s="213" t="b">
        <v>0</v>
      </c>
      <c r="AK124" s="287">
        <v>47096.0</v>
      </c>
      <c r="AL124" s="213" t="b">
        <v>0</v>
      </c>
      <c r="AM124" s="1161">
        <v>47278.0</v>
      </c>
      <c r="AN124" s="213" t="b">
        <v>0</v>
      </c>
      <c r="AO124" s="1161">
        <v>47460.0</v>
      </c>
      <c r="AP124" s="143" t="b">
        <v>0</v>
      </c>
      <c r="AQ124" s="189"/>
      <c r="AR124" s="189"/>
      <c r="AS124" s="189"/>
      <c r="AT124" s="189"/>
      <c r="AU124" s="546"/>
      <c r="AV124" s="110"/>
    </row>
    <row r="125" ht="33.75" customHeight="1">
      <c r="A125" s="58">
        <f t="shared" si="6"/>
        <v>22</v>
      </c>
      <c r="B125" s="648" t="s">
        <v>998</v>
      </c>
      <c r="C125" s="129"/>
      <c r="D125" s="129" t="s">
        <v>276</v>
      </c>
      <c r="E125" s="129"/>
      <c r="F125" s="129"/>
      <c r="G125" s="830" t="s">
        <v>105</v>
      </c>
      <c r="H125" s="82" t="b">
        <v>0</v>
      </c>
      <c r="I125" s="1162"/>
      <c r="J125" s="82" t="b">
        <v>0</v>
      </c>
      <c r="K125" s="1163"/>
      <c r="L125" s="1164" t="s">
        <v>677</v>
      </c>
      <c r="M125" s="799">
        <v>9.89087897E8</v>
      </c>
      <c r="N125" s="178" t="s">
        <v>681</v>
      </c>
      <c r="O125" s="840"/>
      <c r="P125" s="1117"/>
      <c r="Q125" s="100"/>
      <c r="R125" s="102">
        <v>45911.0</v>
      </c>
      <c r="S125" s="104">
        <v>45874.0</v>
      </c>
      <c r="T125" s="135" t="s">
        <v>282</v>
      </c>
      <c r="U125" s="515">
        <f t="shared" ref="U125:U166" si="7">COUNTIFS(W125:AU125,"True")</f>
        <v>4</v>
      </c>
      <c r="V125" s="534">
        <v>4.0</v>
      </c>
      <c r="W125" s="343">
        <v>45362.0</v>
      </c>
      <c r="X125" s="259" t="b">
        <v>1</v>
      </c>
      <c r="Y125" s="343">
        <v>45546.0</v>
      </c>
      <c r="Z125" s="259" t="b">
        <v>1</v>
      </c>
      <c r="AA125" s="343">
        <v>45707.0</v>
      </c>
      <c r="AB125" s="259" t="b">
        <v>1</v>
      </c>
      <c r="AC125" s="182">
        <v>45874.0</v>
      </c>
      <c r="AD125" s="137" t="b">
        <v>1</v>
      </c>
      <c r="AE125" s="119"/>
      <c r="AF125" s="68"/>
      <c r="AG125" s="119"/>
      <c r="AH125" s="68"/>
      <c r="AI125" s="119"/>
      <c r="AJ125" s="68"/>
      <c r="AK125" s="119"/>
      <c r="AL125" s="68"/>
      <c r="AM125" s="68"/>
      <c r="AN125" s="68"/>
      <c r="AO125" s="68"/>
      <c r="AP125" s="68"/>
      <c r="AQ125" s="68"/>
      <c r="AR125" s="68"/>
      <c r="AS125" s="68"/>
      <c r="AT125" s="68"/>
      <c r="AU125" s="525"/>
      <c r="AV125" s="110"/>
    </row>
    <row r="126" ht="27.75" hidden="1" customHeight="1">
      <c r="A126" s="58">
        <f t="shared" si="6"/>
        <v>22</v>
      </c>
      <c r="B126" s="570" t="s">
        <v>1005</v>
      </c>
      <c r="C126" s="639"/>
      <c r="D126" s="639" t="s">
        <v>276</v>
      </c>
      <c r="E126" s="639"/>
      <c r="F126" s="931"/>
      <c r="G126" s="830" t="s">
        <v>84</v>
      </c>
      <c r="H126" s="82" t="b">
        <v>0</v>
      </c>
      <c r="I126" s="945"/>
      <c r="J126" s="82" t="b">
        <v>0</v>
      </c>
      <c r="K126" s="946"/>
      <c r="L126" s="931"/>
      <c r="M126" s="947"/>
      <c r="N126" s="948"/>
      <c r="O126" s="949"/>
      <c r="P126" s="1149">
        <v>45694.0</v>
      </c>
      <c r="Q126" s="633"/>
      <c r="R126" s="406">
        <v>46423.0</v>
      </c>
      <c r="S126" s="463">
        <v>46042.0</v>
      </c>
      <c r="T126" s="498"/>
      <c r="U126" s="515">
        <f t="shared" si="7"/>
        <v>3</v>
      </c>
      <c r="V126" s="534">
        <v>4.0</v>
      </c>
      <c r="W126" s="414">
        <v>45874.0</v>
      </c>
      <c r="X126" s="484" t="b">
        <v>1</v>
      </c>
      <c r="Y126" s="1168">
        <v>46042.0</v>
      </c>
      <c r="Z126" s="484" t="b">
        <v>1</v>
      </c>
      <c r="AA126" s="1168">
        <v>46240.0</v>
      </c>
      <c r="AB126" s="484" t="b">
        <v>1</v>
      </c>
      <c r="AC126" s="1169">
        <v>46419.0</v>
      </c>
      <c r="AD126" s="1170" t="b">
        <v>0</v>
      </c>
      <c r="AE126" s="1171"/>
      <c r="AF126" s="1172"/>
      <c r="AG126" s="1171"/>
      <c r="AH126" s="1172"/>
      <c r="AI126" s="1171"/>
      <c r="AJ126" s="1172"/>
      <c r="AK126" s="1171"/>
      <c r="AL126" s="1172"/>
      <c r="AM126" s="379"/>
      <c r="AN126" s="379"/>
      <c r="AO126" s="379"/>
      <c r="AP126" s="379"/>
      <c r="AQ126" s="1174"/>
      <c r="AR126" s="189"/>
      <c r="AS126" s="189"/>
      <c r="AT126" s="189"/>
      <c r="AU126" s="546"/>
      <c r="AV126" s="110"/>
    </row>
    <row r="127" ht="28.5" hidden="1" customHeight="1">
      <c r="A127" s="58">
        <f t="shared" si="6"/>
        <v>22</v>
      </c>
      <c r="B127" s="1175" t="s">
        <v>492</v>
      </c>
      <c r="C127" s="1176">
        <v>8.0</v>
      </c>
      <c r="D127" s="385" t="s">
        <v>788</v>
      </c>
      <c r="E127" s="387"/>
      <c r="F127" s="391"/>
      <c r="G127" s="79" t="s">
        <v>243</v>
      </c>
      <c r="H127" s="82" t="b">
        <v>0</v>
      </c>
      <c r="I127" s="393"/>
      <c r="J127" s="82" t="b">
        <v>0</v>
      </c>
      <c r="K127" s="395"/>
      <c r="L127" s="391"/>
      <c r="M127" s="495"/>
      <c r="N127" s="496"/>
      <c r="O127" s="497"/>
      <c r="P127" s="1180">
        <v>45630.0</v>
      </c>
      <c r="Q127" s="404"/>
      <c r="R127" s="406">
        <v>46359.0</v>
      </c>
      <c r="S127" s="174">
        <v>46139.0</v>
      </c>
      <c r="T127" s="498"/>
      <c r="U127" s="73">
        <f t="shared" si="7"/>
        <v>3</v>
      </c>
      <c r="V127" s="555">
        <v>4.0</v>
      </c>
      <c r="W127" s="343">
        <v>45794.0</v>
      </c>
      <c r="X127" s="83" t="b">
        <v>1</v>
      </c>
      <c r="Y127" s="182">
        <v>45958.0</v>
      </c>
      <c r="Z127" s="454" t="b">
        <v>1</v>
      </c>
      <c r="AA127" s="1070">
        <v>46139.0</v>
      </c>
      <c r="AB127" s="83" t="b">
        <v>1</v>
      </c>
      <c r="AC127" s="438">
        <v>46339.0</v>
      </c>
      <c r="AD127" s="1183" t="b">
        <v>0</v>
      </c>
      <c r="AE127" s="1184"/>
      <c r="AF127" s="1185"/>
      <c r="AG127" s="1184"/>
      <c r="AH127" s="1185"/>
      <c r="AI127" s="1184"/>
      <c r="AJ127" s="1185"/>
      <c r="AK127" s="1184"/>
      <c r="AL127" s="1185"/>
      <c r="AM127" s="379"/>
      <c r="AN127" s="379"/>
      <c r="AO127" s="379"/>
      <c r="AP127" s="379"/>
      <c r="AQ127" s="189"/>
      <c r="AR127" s="189"/>
      <c r="AS127" s="189"/>
      <c r="AT127" s="189"/>
      <c r="AU127" s="191"/>
      <c r="AV127" s="110"/>
    </row>
    <row r="128" ht="27.75" hidden="1" customHeight="1">
      <c r="A128" s="58">
        <f t="shared" si="6"/>
        <v>22</v>
      </c>
      <c r="B128" s="552" t="s">
        <v>1017</v>
      </c>
      <c r="C128" s="665">
        <v>16.8</v>
      </c>
      <c r="D128" s="666"/>
      <c r="E128" s="666"/>
      <c r="F128" s="1188"/>
      <c r="G128" s="1018" t="s">
        <v>84</v>
      </c>
      <c r="H128" s="82" t="b">
        <v>0</v>
      </c>
      <c r="I128" s="1191"/>
      <c r="J128" s="82" t="b">
        <v>0</v>
      </c>
      <c r="K128" s="1192"/>
      <c r="L128" s="1193"/>
      <c r="M128" s="1194"/>
      <c r="O128" s="1193"/>
      <c r="P128" s="1195">
        <v>46063.0</v>
      </c>
      <c r="Q128" s="155"/>
      <c r="R128" s="156">
        <v>46792.0</v>
      </c>
      <c r="S128" s="192"/>
      <c r="T128" s="160"/>
      <c r="U128" s="554">
        <f t="shared" si="7"/>
        <v>0</v>
      </c>
      <c r="V128" s="1197">
        <v>4.0</v>
      </c>
      <c r="W128" s="960"/>
      <c r="X128" s="83" t="b">
        <v>0</v>
      </c>
      <c r="Y128" s="960"/>
      <c r="Z128" s="83" t="b">
        <v>0</v>
      </c>
      <c r="AA128" s="960"/>
      <c r="AB128" s="83" t="b">
        <v>0</v>
      </c>
      <c r="AC128" s="960"/>
      <c r="AD128" s="83" t="b">
        <v>0</v>
      </c>
      <c r="AE128" s="166"/>
      <c r="AF128" s="167"/>
      <c r="AG128" s="166"/>
      <c r="AH128" s="167"/>
      <c r="AI128" s="166"/>
      <c r="AJ128" s="167"/>
      <c r="AK128" s="166"/>
      <c r="AL128" s="167"/>
      <c r="AM128" s="167"/>
      <c r="AN128" s="167"/>
      <c r="AO128" s="167"/>
      <c r="AP128" s="167"/>
      <c r="AQ128" s="168"/>
      <c r="AR128" s="168"/>
      <c r="AS128" s="1198"/>
      <c r="AT128" s="168"/>
      <c r="AV128" s="110"/>
    </row>
    <row r="129" ht="27.75" hidden="1" customHeight="1">
      <c r="A129" s="58">
        <f t="shared" si="6"/>
        <v>22</v>
      </c>
      <c r="B129" s="1200" t="s">
        <v>500</v>
      </c>
      <c r="C129" s="666">
        <v>12.48</v>
      </c>
      <c r="D129" s="666" t="s">
        <v>683</v>
      </c>
      <c r="E129" s="666"/>
      <c r="F129" s="666"/>
      <c r="G129" s="1018" t="s">
        <v>55</v>
      </c>
      <c r="H129" s="82" t="b">
        <v>1</v>
      </c>
      <c r="I129" s="1201">
        <v>46072.0</v>
      </c>
      <c r="J129" s="82" t="b">
        <v>0</v>
      </c>
      <c r="K129" s="1203"/>
      <c r="L129" s="612" t="s">
        <v>684</v>
      </c>
      <c r="M129" s="1204" t="s">
        <v>685</v>
      </c>
      <c r="N129" s="1205" t="s">
        <v>686</v>
      </c>
      <c r="O129" s="1206"/>
      <c r="P129" s="1207"/>
      <c r="Q129" s="100"/>
      <c r="R129" s="102">
        <v>45933.0</v>
      </c>
      <c r="S129" s="1208">
        <v>45751.0</v>
      </c>
      <c r="T129" s="135" t="s">
        <v>687</v>
      </c>
      <c r="U129" s="554">
        <f t="shared" si="7"/>
        <v>4</v>
      </c>
      <c r="V129" s="555">
        <v>4.0</v>
      </c>
      <c r="W129" s="343">
        <v>45387.0</v>
      </c>
      <c r="X129" s="83" t="b">
        <v>1</v>
      </c>
      <c r="Y129" s="343">
        <v>45588.0</v>
      </c>
      <c r="Z129" s="83" t="b">
        <v>1</v>
      </c>
      <c r="AA129" s="343">
        <v>45751.0</v>
      </c>
      <c r="AB129" s="83" t="b">
        <v>1</v>
      </c>
      <c r="AC129" s="182">
        <v>45945.0</v>
      </c>
      <c r="AD129" s="454" t="b">
        <v>1</v>
      </c>
      <c r="AE129" s="119"/>
      <c r="AF129" s="68"/>
      <c r="AG129" s="119"/>
      <c r="AH129" s="68"/>
      <c r="AI129" s="119"/>
      <c r="AJ129" s="68"/>
      <c r="AK129" s="119"/>
      <c r="AL129" s="68"/>
      <c r="AM129" s="68"/>
      <c r="AN129" s="68"/>
      <c r="AO129" s="68"/>
      <c r="AP129" s="68"/>
      <c r="AQ129" s="68"/>
      <c r="AR129" s="68"/>
      <c r="AS129" s="68"/>
      <c r="AT129" s="68"/>
      <c r="AU129" s="558"/>
      <c r="AV129" s="110"/>
    </row>
    <row r="130" ht="27.75" customHeight="1">
      <c r="A130" s="58">
        <f t="shared" si="6"/>
        <v>23</v>
      </c>
      <c r="B130" s="202" t="s">
        <v>502</v>
      </c>
      <c r="C130" s="385"/>
      <c r="D130" s="385" t="s">
        <v>334</v>
      </c>
      <c r="E130" s="387"/>
      <c r="F130" s="391"/>
      <c r="G130" s="79" t="s">
        <v>105</v>
      </c>
      <c r="H130" s="82" t="b">
        <v>0</v>
      </c>
      <c r="I130" s="393"/>
      <c r="J130" s="82" t="b">
        <v>0</v>
      </c>
      <c r="K130" s="395"/>
      <c r="L130" s="391"/>
      <c r="M130" s="1213">
        <v>9.88679545E8</v>
      </c>
      <c r="N130" s="1214" t="s">
        <v>1040</v>
      </c>
      <c r="O130" s="1215"/>
      <c r="P130" s="97"/>
      <c r="Q130" s="404"/>
      <c r="R130" s="1217"/>
      <c r="S130" s="1219">
        <v>46241.0</v>
      </c>
      <c r="T130" s="1221" t="s">
        <v>1042</v>
      </c>
      <c r="U130" s="554">
        <f t="shared" si="7"/>
        <v>4</v>
      </c>
      <c r="V130" s="555">
        <v>4.0</v>
      </c>
      <c r="W130" s="343">
        <v>45685.0</v>
      </c>
      <c r="X130" s="259" t="b">
        <v>1</v>
      </c>
      <c r="Y130" s="343">
        <v>45860.0</v>
      </c>
      <c r="Z130" s="259" t="b">
        <v>1</v>
      </c>
      <c r="AA130" s="343">
        <v>46032.0</v>
      </c>
      <c r="AB130" s="259" t="b">
        <v>1</v>
      </c>
      <c r="AC130" s="182">
        <v>46241.0</v>
      </c>
      <c r="AD130" s="137" t="b">
        <v>1</v>
      </c>
      <c r="AE130" s="378"/>
      <c r="AF130" s="379"/>
      <c r="AG130" s="378"/>
      <c r="AH130" s="379"/>
      <c r="AI130" s="378"/>
      <c r="AJ130" s="379"/>
      <c r="AK130" s="378"/>
      <c r="AL130" s="379"/>
      <c r="AM130" s="68"/>
      <c r="AN130" s="379"/>
      <c r="AO130" s="68"/>
      <c r="AP130" s="379"/>
      <c r="AQ130" s="189"/>
      <c r="AR130" s="189"/>
      <c r="AS130" s="189"/>
      <c r="AT130" s="189"/>
      <c r="AU130" s="1225" t="s">
        <v>505</v>
      </c>
      <c r="AV130" s="110"/>
    </row>
    <row r="131" ht="27.75" customHeight="1">
      <c r="A131" s="58">
        <f t="shared" si="6"/>
        <v>24</v>
      </c>
      <c r="B131" s="1227" t="s">
        <v>506</v>
      </c>
      <c r="C131" s="67" t="s">
        <v>1043</v>
      </c>
      <c r="D131" s="67" t="s">
        <v>111</v>
      </c>
      <c r="E131" s="67"/>
      <c r="F131" s="67"/>
      <c r="G131" s="79" t="s">
        <v>105</v>
      </c>
      <c r="H131" s="82" t="b">
        <v>0</v>
      </c>
      <c r="I131" s="85"/>
      <c r="J131" s="82" t="b">
        <v>0</v>
      </c>
      <c r="K131" s="89"/>
      <c r="L131" s="62" t="s">
        <v>1045</v>
      </c>
      <c r="M131" s="91" t="s">
        <v>1046</v>
      </c>
      <c r="N131" s="1229"/>
      <c r="O131" s="1230" t="s">
        <v>1047</v>
      </c>
      <c r="P131" s="97"/>
      <c r="Q131" s="100"/>
      <c r="R131" s="102">
        <v>46031.0</v>
      </c>
      <c r="S131" s="631">
        <v>46242.0</v>
      </c>
      <c r="T131" s="135" t="s">
        <v>695</v>
      </c>
      <c r="U131" s="73">
        <f t="shared" si="7"/>
        <v>8</v>
      </c>
      <c r="V131" s="75">
        <v>8.0</v>
      </c>
      <c r="W131" s="114">
        <v>44743.0</v>
      </c>
      <c r="X131" s="83" t="b">
        <v>1</v>
      </c>
      <c r="Y131" s="115">
        <v>44939.0</v>
      </c>
      <c r="Z131" s="83" t="b">
        <v>1</v>
      </c>
      <c r="AA131" s="115">
        <v>45120.0</v>
      </c>
      <c r="AB131" s="83" t="b">
        <v>1</v>
      </c>
      <c r="AC131" s="119">
        <v>45305.0</v>
      </c>
      <c r="AD131" s="68" t="b">
        <v>1</v>
      </c>
      <c r="AE131" s="119">
        <v>45474.0</v>
      </c>
      <c r="AF131" s="68" t="b">
        <v>1</v>
      </c>
      <c r="AG131" s="119">
        <v>45798.0</v>
      </c>
      <c r="AH131" s="68" t="b">
        <v>1</v>
      </c>
      <c r="AI131" s="182">
        <v>45976.0</v>
      </c>
      <c r="AJ131" s="79" t="b">
        <v>1</v>
      </c>
      <c r="AK131" s="182">
        <v>46242.0</v>
      </c>
      <c r="AL131" s="79" t="b">
        <v>1</v>
      </c>
      <c r="AM131" s="79"/>
      <c r="AN131" s="79" t="b">
        <v>0</v>
      </c>
      <c r="AO131" s="79"/>
      <c r="AP131" s="79" t="b">
        <v>0</v>
      </c>
      <c r="AQ131" s="68"/>
      <c r="AR131" s="68" t="b">
        <v>0</v>
      </c>
      <c r="AS131" s="68"/>
      <c r="AT131" s="68" t="b">
        <v>0</v>
      </c>
      <c r="AU131" s="737"/>
      <c r="AV131" s="110"/>
    </row>
    <row r="132" ht="27.75" hidden="1" customHeight="1">
      <c r="A132" s="58">
        <f t="shared" si="6"/>
        <v>24</v>
      </c>
      <c r="B132" s="62" t="s">
        <v>226</v>
      </c>
      <c r="C132" s="67"/>
      <c r="D132" s="67" t="s">
        <v>48</v>
      </c>
      <c r="E132" s="1234"/>
      <c r="F132" s="1234"/>
      <c r="G132" s="79" t="s">
        <v>243</v>
      </c>
      <c r="H132" s="82" t="b">
        <v>0</v>
      </c>
      <c r="I132" s="1235"/>
      <c r="J132" s="82" t="b">
        <v>0</v>
      </c>
      <c r="K132" s="1238"/>
      <c r="L132" s="891"/>
      <c r="M132" s="1240"/>
      <c r="N132" s="1205"/>
      <c r="O132" s="1230"/>
      <c r="P132" s="97"/>
      <c r="Q132" s="100"/>
      <c r="R132" s="1134" t="s">
        <v>219</v>
      </c>
      <c r="S132" s="1208">
        <v>45594.0</v>
      </c>
      <c r="T132" s="105"/>
      <c r="U132" s="73">
        <f t="shared" si="7"/>
        <v>5</v>
      </c>
      <c r="V132" s="75">
        <v>12.0</v>
      </c>
      <c r="W132" s="114">
        <v>44562.0</v>
      </c>
      <c r="X132" s="83" t="b">
        <v>1</v>
      </c>
      <c r="Y132" s="114">
        <v>44623.0</v>
      </c>
      <c r="Z132" s="484" t="b">
        <v>1</v>
      </c>
      <c r="AA132" s="114">
        <v>45264.0</v>
      </c>
      <c r="AB132" s="83" t="b">
        <v>1</v>
      </c>
      <c r="AC132" s="121">
        <v>45385.0</v>
      </c>
      <c r="AD132" s="68" t="b">
        <v>1</v>
      </c>
      <c r="AE132" s="121">
        <v>45594.0</v>
      </c>
      <c r="AF132" s="693" t="b">
        <v>1</v>
      </c>
      <c r="AG132" s="119"/>
      <c r="AH132" s="68"/>
      <c r="AI132" s="119"/>
      <c r="AJ132" s="68"/>
      <c r="AK132" s="119"/>
      <c r="AL132" s="68"/>
      <c r="AM132" s="68"/>
      <c r="AN132" s="68"/>
      <c r="AO132" s="68"/>
      <c r="AP132" s="68"/>
      <c r="AQ132" s="68"/>
      <c r="AR132" s="68"/>
      <c r="AS132" s="68"/>
      <c r="AT132" s="68"/>
      <c r="AU132" s="558"/>
      <c r="AV132" s="110"/>
    </row>
    <row r="133" ht="27.75" hidden="1" customHeight="1">
      <c r="A133" s="58">
        <f t="shared" si="6"/>
        <v>24</v>
      </c>
      <c r="B133" s="62" t="s">
        <v>1056</v>
      </c>
      <c r="C133" s="67">
        <v>9.18</v>
      </c>
      <c r="D133" s="67" t="s">
        <v>1057</v>
      </c>
      <c r="E133" s="67" t="s">
        <v>1058</v>
      </c>
      <c r="F133" s="147"/>
      <c r="G133" s="79" t="s">
        <v>84</v>
      </c>
      <c r="H133" s="82" t="b">
        <v>0</v>
      </c>
      <c r="I133" s="148"/>
      <c r="J133" s="82" t="b">
        <v>0</v>
      </c>
      <c r="K133" s="149"/>
      <c r="L133" s="147"/>
      <c r="M133" s="150"/>
      <c r="N133" s="1241"/>
      <c r="O133" s="1242"/>
      <c r="P133" s="154">
        <v>46157.0</v>
      </c>
      <c r="Q133" s="155"/>
      <c r="R133" s="156">
        <v>46887.0</v>
      </c>
      <c r="S133" s="1244"/>
      <c r="T133" s="160"/>
      <c r="U133" s="73">
        <f t="shared" si="7"/>
        <v>0</v>
      </c>
      <c r="V133" s="161">
        <v>4.0</v>
      </c>
      <c r="W133" s="162">
        <v>46301.0</v>
      </c>
      <c r="X133" s="83" t="b">
        <v>0</v>
      </c>
      <c r="Y133" s="162">
        <v>46483.0</v>
      </c>
      <c r="Z133" s="484" t="b">
        <v>0</v>
      </c>
      <c r="AA133" s="162">
        <v>46665.0</v>
      </c>
      <c r="AB133" s="83" t="b">
        <v>0</v>
      </c>
      <c r="AC133" s="162">
        <v>46847.0</v>
      </c>
      <c r="AD133" s="68" t="b">
        <v>0</v>
      </c>
      <c r="AE133" s="275"/>
      <c r="AF133" s="1290"/>
      <c r="AG133" s="166"/>
      <c r="AH133" s="167"/>
      <c r="AI133" s="166"/>
      <c r="AJ133" s="167"/>
      <c r="AK133" s="166"/>
      <c r="AL133" s="167"/>
      <c r="AM133" s="167"/>
      <c r="AN133" s="167"/>
      <c r="AO133" s="167"/>
      <c r="AP133" s="167"/>
      <c r="AQ133" s="168"/>
      <c r="AR133" s="168"/>
      <c r="AS133" s="168"/>
      <c r="AT133" s="168"/>
      <c r="AU133" s="1198"/>
      <c r="AV133" s="110"/>
    </row>
    <row r="134" ht="27.75" hidden="1" customHeight="1">
      <c r="A134" s="58">
        <f t="shared" si="6"/>
        <v>24</v>
      </c>
      <c r="B134" s="72" t="s">
        <v>513</v>
      </c>
      <c r="C134" s="67"/>
      <c r="D134" s="67" t="s">
        <v>702</v>
      </c>
      <c r="E134" s="1291"/>
      <c r="F134" s="1292"/>
      <c r="G134" s="79" t="s">
        <v>55</v>
      </c>
      <c r="H134" s="82" t="b">
        <v>1</v>
      </c>
      <c r="I134" s="172">
        <v>46180.0</v>
      </c>
      <c r="J134" s="82" t="b">
        <v>0</v>
      </c>
      <c r="K134" s="89"/>
      <c r="L134" s="62" t="s">
        <v>514</v>
      </c>
      <c r="M134" s="91" t="s">
        <v>703</v>
      </c>
      <c r="N134" s="1295" t="s">
        <v>704</v>
      </c>
      <c r="O134" s="1296" t="s">
        <v>705</v>
      </c>
      <c r="P134" s="97"/>
      <c r="Q134" s="1297"/>
      <c r="R134" s="1122">
        <v>45585.0</v>
      </c>
      <c r="S134" s="1298">
        <v>45685.0</v>
      </c>
      <c r="T134" s="1299"/>
      <c r="U134" s="73">
        <f t="shared" si="7"/>
        <v>4</v>
      </c>
      <c r="V134" s="75">
        <v>4.0</v>
      </c>
      <c r="W134" s="114">
        <v>45040.0</v>
      </c>
      <c r="X134" s="83" t="b">
        <v>1</v>
      </c>
      <c r="Y134" s="114">
        <v>45317.0</v>
      </c>
      <c r="Z134" s="484" t="b">
        <v>1</v>
      </c>
      <c r="AA134" s="114">
        <v>45517.0</v>
      </c>
      <c r="AB134" s="83" t="b">
        <v>1</v>
      </c>
      <c r="AC134" s="121">
        <v>45685.0</v>
      </c>
      <c r="AD134" s="68" t="b">
        <v>1</v>
      </c>
      <c r="AE134" s="121">
        <v>45832.0</v>
      </c>
      <c r="AF134" s="915" t="b">
        <v>0</v>
      </c>
      <c r="AG134" s="119">
        <v>46014.0</v>
      </c>
      <c r="AH134" s="137" t="b">
        <v>0</v>
      </c>
      <c r="AI134" s="119">
        <v>46196.0</v>
      </c>
      <c r="AJ134" s="137" t="b">
        <v>0</v>
      </c>
      <c r="AK134" s="119">
        <v>46378.0</v>
      </c>
      <c r="AL134" s="137" t="b">
        <v>0</v>
      </c>
      <c r="AM134" s="68"/>
      <c r="AN134" s="68"/>
      <c r="AO134" s="68"/>
      <c r="AP134" s="68"/>
      <c r="AQ134" s="68"/>
      <c r="AR134" s="68"/>
      <c r="AS134" s="68"/>
      <c r="AT134" s="68"/>
      <c r="AU134" s="737"/>
      <c r="AV134" s="110"/>
    </row>
    <row r="135" ht="27.75" hidden="1" customHeight="1">
      <c r="A135" s="58">
        <f t="shared" si="6"/>
        <v>24</v>
      </c>
      <c r="B135" s="72" t="s">
        <v>108</v>
      </c>
      <c r="C135" s="67">
        <v>46.08</v>
      </c>
      <c r="D135" s="67" t="s">
        <v>1093</v>
      </c>
      <c r="E135" s="67"/>
      <c r="F135" s="488" t="s">
        <v>110</v>
      </c>
      <c r="G135" s="79" t="s">
        <v>55</v>
      </c>
      <c r="H135" s="82" t="b">
        <v>1</v>
      </c>
      <c r="I135" s="85">
        <v>46065.0</v>
      </c>
      <c r="J135" s="82" t="b">
        <v>0</v>
      </c>
      <c r="K135" s="89"/>
      <c r="L135" s="62" t="s">
        <v>722</v>
      </c>
      <c r="M135" s="91"/>
      <c r="N135" s="1295" t="s">
        <v>118</v>
      </c>
      <c r="O135" s="1321" t="s">
        <v>1101</v>
      </c>
      <c r="P135" s="97"/>
      <c r="Q135" s="100"/>
      <c r="R135" s="102">
        <v>45990.0</v>
      </c>
      <c r="S135" s="1208">
        <v>45875.0</v>
      </c>
      <c r="T135" s="1323"/>
      <c r="U135" s="73">
        <f t="shared" si="7"/>
        <v>4</v>
      </c>
      <c r="V135" s="75">
        <v>4.0</v>
      </c>
      <c r="W135" s="115">
        <v>45320.0</v>
      </c>
      <c r="X135" s="484" t="b">
        <v>1</v>
      </c>
      <c r="Y135" s="115">
        <v>45545.0</v>
      </c>
      <c r="Z135" s="484" t="b">
        <v>1</v>
      </c>
      <c r="AA135" s="115">
        <v>45707.0</v>
      </c>
      <c r="AB135" s="68" t="b">
        <v>1</v>
      </c>
      <c r="AC135" s="119">
        <v>45875.0</v>
      </c>
      <c r="AD135" s="68" t="b">
        <v>1</v>
      </c>
      <c r="AE135" s="121"/>
      <c r="AF135" s="693"/>
      <c r="AG135" s="119"/>
      <c r="AH135" s="68"/>
      <c r="AI135" s="119"/>
      <c r="AJ135" s="68"/>
      <c r="AK135" s="119"/>
      <c r="AL135" s="68"/>
      <c r="AM135" s="68"/>
      <c r="AN135" s="68"/>
      <c r="AO135" s="68"/>
      <c r="AP135" s="68"/>
      <c r="AQ135" s="68"/>
      <c r="AR135" s="68"/>
      <c r="AS135" s="68"/>
      <c r="AT135" s="68"/>
      <c r="AU135" s="558"/>
      <c r="AV135" s="110"/>
    </row>
    <row r="136" ht="27.75" hidden="1" customHeight="1">
      <c r="A136" s="58">
        <f t="shared" si="6"/>
        <v>24</v>
      </c>
      <c r="B136" s="177" t="s">
        <v>519</v>
      </c>
      <c r="C136" s="385">
        <v>28.8</v>
      </c>
      <c r="D136" s="385" t="s">
        <v>1102</v>
      </c>
      <c r="E136" s="387"/>
      <c r="F136" s="391"/>
      <c r="G136" s="79" t="s">
        <v>243</v>
      </c>
      <c r="H136" s="82" t="b">
        <v>0</v>
      </c>
      <c r="I136" s="393"/>
      <c r="J136" s="82" t="b">
        <v>0</v>
      </c>
      <c r="K136" s="395"/>
      <c r="L136" s="391"/>
      <c r="M136" s="495"/>
      <c r="N136" s="1326"/>
      <c r="O136" s="610"/>
      <c r="P136" s="370">
        <v>45651.0</v>
      </c>
      <c r="Q136" s="404"/>
      <c r="R136" s="406">
        <v>46380.0</v>
      </c>
      <c r="S136" s="631">
        <v>45974.0</v>
      </c>
      <c r="T136" s="498"/>
      <c r="U136" s="73">
        <f t="shared" si="7"/>
        <v>3</v>
      </c>
      <c r="V136" s="75">
        <v>4.0</v>
      </c>
      <c r="W136" s="411">
        <v>45798.0</v>
      </c>
      <c r="X136" s="484" t="b">
        <v>1</v>
      </c>
      <c r="Y136" s="411">
        <v>45974.0</v>
      </c>
      <c r="Z136" s="484" t="b">
        <v>1</v>
      </c>
      <c r="AA136" s="1327">
        <v>46254.0</v>
      </c>
      <c r="AB136" s="68" t="b">
        <v>1</v>
      </c>
      <c r="AC136" s="287">
        <v>46352.0</v>
      </c>
      <c r="AD136" s="200" t="b">
        <v>0</v>
      </c>
      <c r="AE136" s="1328"/>
      <c r="AF136" s="1329"/>
      <c r="AG136" s="378"/>
      <c r="AH136" s="379"/>
      <c r="AI136" s="378"/>
      <c r="AJ136" s="379"/>
      <c r="AK136" s="378"/>
      <c r="AL136" s="379"/>
      <c r="AM136" s="379"/>
      <c r="AN136" s="379"/>
      <c r="AO136" s="379"/>
      <c r="AP136" s="379"/>
      <c r="AQ136" s="189"/>
      <c r="AR136" s="189"/>
      <c r="AS136" s="189"/>
      <c r="AT136" s="189"/>
      <c r="AU136" s="282"/>
      <c r="AV136" s="110"/>
    </row>
    <row r="137" ht="27.75" hidden="1" customHeight="1">
      <c r="A137" s="58">
        <f t="shared" si="6"/>
        <v>24</v>
      </c>
      <c r="B137" s="62" t="s">
        <v>1103</v>
      </c>
      <c r="C137" s="67">
        <v>17.46</v>
      </c>
      <c r="D137" s="67" t="s">
        <v>191</v>
      </c>
      <c r="E137" s="666"/>
      <c r="F137" s="147"/>
      <c r="G137" s="79" t="s">
        <v>84</v>
      </c>
      <c r="H137" s="82" t="b">
        <v>0</v>
      </c>
      <c r="I137" s="148"/>
      <c r="J137" s="82" t="b">
        <v>0</v>
      </c>
      <c r="K137" s="149"/>
      <c r="L137" s="147"/>
      <c r="M137" s="150"/>
      <c r="N137" s="1241"/>
      <c r="O137" s="160"/>
      <c r="P137" s="154">
        <v>45981.0</v>
      </c>
      <c r="Q137" s="155"/>
      <c r="R137" s="156">
        <v>46710.0</v>
      </c>
      <c r="S137" s="1244"/>
      <c r="T137" s="160"/>
      <c r="U137" s="73">
        <f t="shared" si="7"/>
        <v>1</v>
      </c>
      <c r="V137" s="161">
        <v>4.0</v>
      </c>
      <c r="W137" s="162">
        <v>46178.0</v>
      </c>
      <c r="X137" s="484" t="b">
        <v>1</v>
      </c>
      <c r="Y137" s="162">
        <v>46360.0</v>
      </c>
      <c r="Z137" s="484" t="b">
        <v>0</v>
      </c>
      <c r="AA137" s="162">
        <v>46542.0</v>
      </c>
      <c r="AB137" s="68" t="b">
        <v>0</v>
      </c>
      <c r="AC137" s="162">
        <v>46724.0</v>
      </c>
      <c r="AD137" s="68" t="b">
        <v>0</v>
      </c>
      <c r="AE137" s="275"/>
      <c r="AF137" s="1290"/>
      <c r="AG137" s="166"/>
      <c r="AH137" s="167"/>
      <c r="AI137" s="166"/>
      <c r="AJ137" s="167"/>
      <c r="AK137" s="166"/>
      <c r="AL137" s="167"/>
      <c r="AM137" s="167"/>
      <c r="AN137" s="167"/>
      <c r="AO137" s="167"/>
      <c r="AP137" s="167"/>
      <c r="AQ137" s="168"/>
      <c r="AR137" s="168"/>
      <c r="AS137" s="168"/>
      <c r="AT137" s="168"/>
      <c r="AU137" s="1198"/>
      <c r="AV137" s="110"/>
    </row>
    <row r="138" ht="27.75" hidden="1" customHeight="1">
      <c r="A138" s="58">
        <f t="shared" si="6"/>
        <v>24</v>
      </c>
      <c r="B138" s="177" t="s">
        <v>528</v>
      </c>
      <c r="C138" s="385">
        <v>12.48</v>
      </c>
      <c r="D138" s="385" t="s">
        <v>191</v>
      </c>
      <c r="E138" s="387"/>
      <c r="F138" s="391"/>
      <c r="G138" s="79" t="s">
        <v>243</v>
      </c>
      <c r="H138" s="82" t="b">
        <v>0</v>
      </c>
      <c r="I138" s="393"/>
      <c r="J138" s="82" t="b">
        <v>0</v>
      </c>
      <c r="K138" s="395"/>
      <c r="L138" s="391"/>
      <c r="M138" s="1332"/>
      <c r="N138" s="1333"/>
      <c r="O138" s="1215"/>
      <c r="P138" s="370">
        <v>45644.0</v>
      </c>
      <c r="Q138" s="404"/>
      <c r="R138" s="406">
        <v>46373.0</v>
      </c>
      <c r="S138" s="631">
        <v>45975.0</v>
      </c>
      <c r="T138" s="498"/>
      <c r="U138" s="73">
        <f t="shared" si="7"/>
        <v>3</v>
      </c>
      <c r="V138" s="75">
        <v>4.0</v>
      </c>
      <c r="W138" s="411">
        <v>45793.0</v>
      </c>
      <c r="X138" s="484" t="b">
        <v>1</v>
      </c>
      <c r="Y138" s="411">
        <v>45975.0</v>
      </c>
      <c r="Z138" s="484" t="b">
        <v>1</v>
      </c>
      <c r="AA138" s="411">
        <v>46189.0</v>
      </c>
      <c r="AB138" s="68" t="b">
        <v>1</v>
      </c>
      <c r="AC138" s="287">
        <v>46347.0</v>
      </c>
      <c r="AD138" s="200" t="b">
        <v>0</v>
      </c>
      <c r="AE138" s="1328"/>
      <c r="AF138" s="1329"/>
      <c r="AG138" s="378"/>
      <c r="AH138" s="379"/>
      <c r="AI138" s="378"/>
      <c r="AJ138" s="379"/>
      <c r="AK138" s="378"/>
      <c r="AL138" s="379"/>
      <c r="AM138" s="379"/>
      <c r="AN138" s="379"/>
      <c r="AO138" s="379"/>
      <c r="AP138" s="379"/>
      <c r="AQ138" s="189"/>
      <c r="AR138" s="189"/>
      <c r="AS138" s="189"/>
      <c r="AT138" s="189"/>
      <c r="AU138" s="282"/>
      <c r="AV138" s="110"/>
    </row>
    <row r="139" ht="27.75" hidden="1" customHeight="1">
      <c r="A139" s="58">
        <f t="shared" si="6"/>
        <v>24</v>
      </c>
      <c r="B139" s="870" t="s">
        <v>1106</v>
      </c>
      <c r="C139" s="188">
        <v>7.68</v>
      </c>
      <c r="D139" s="188" t="s">
        <v>48</v>
      </c>
      <c r="E139" s="1188"/>
      <c r="F139" s="147"/>
      <c r="G139" s="79" t="s">
        <v>84</v>
      </c>
      <c r="H139" s="82" t="b">
        <v>0</v>
      </c>
      <c r="I139" s="148"/>
      <c r="J139" s="82" t="b">
        <v>0</v>
      </c>
      <c r="K139" s="149"/>
      <c r="L139" s="147"/>
      <c r="M139" s="150"/>
      <c r="N139" s="1241"/>
      <c r="O139" s="147"/>
      <c r="P139" s="1334">
        <v>45938.0</v>
      </c>
      <c r="Q139" s="155"/>
      <c r="R139" s="156">
        <v>46666.0</v>
      </c>
      <c r="S139" s="1244"/>
      <c r="T139" s="160"/>
      <c r="U139" s="73">
        <f t="shared" si="7"/>
        <v>1</v>
      </c>
      <c r="V139" s="161">
        <v>4.0</v>
      </c>
      <c r="W139" s="411">
        <v>46118.0</v>
      </c>
      <c r="X139" s="68" t="b">
        <v>1</v>
      </c>
      <c r="Y139" s="1070">
        <v>46301.0</v>
      </c>
      <c r="Z139" s="197" t="b">
        <v>0</v>
      </c>
      <c r="AA139" s="438">
        <v>46483.0</v>
      </c>
      <c r="AB139" s="200" t="b">
        <v>0</v>
      </c>
      <c r="AC139" s="411">
        <v>46666.0</v>
      </c>
      <c r="AD139" s="200" t="b">
        <v>0</v>
      </c>
      <c r="AE139" s="256"/>
      <c r="AF139" s="256"/>
      <c r="AG139" s="166"/>
      <c r="AH139" s="167"/>
      <c r="AI139" s="166"/>
      <c r="AJ139" s="167"/>
      <c r="AK139" s="166"/>
      <c r="AL139" s="167"/>
      <c r="AM139" s="167"/>
      <c r="AN139" s="167"/>
      <c r="AO139" s="167"/>
      <c r="AP139" s="167"/>
      <c r="AQ139" s="168"/>
      <c r="AR139" s="168"/>
      <c r="AS139" s="168"/>
      <c r="AT139" s="168"/>
      <c r="AU139" s="1198"/>
      <c r="AV139" s="110"/>
    </row>
    <row r="140" ht="27.75" hidden="1" customHeight="1">
      <c r="A140" s="58">
        <f t="shared" si="6"/>
        <v>24</v>
      </c>
      <c r="B140" s="62" t="s">
        <v>1107</v>
      </c>
      <c r="C140" s="67">
        <v>8.67</v>
      </c>
      <c r="D140" s="67"/>
      <c r="E140" s="67"/>
      <c r="F140" s="147"/>
      <c r="G140" s="79" t="s">
        <v>84</v>
      </c>
      <c r="H140" s="82" t="b">
        <v>0</v>
      </c>
      <c r="I140" s="148"/>
      <c r="J140" s="82" t="b">
        <v>0</v>
      </c>
      <c r="K140" s="149"/>
      <c r="L140" s="147"/>
      <c r="M140" s="150"/>
      <c r="N140" s="1241"/>
      <c r="O140" s="186"/>
      <c r="P140" s="1334">
        <v>46247.0</v>
      </c>
      <c r="Q140" s="155"/>
      <c r="R140" s="156">
        <v>46977.0</v>
      </c>
      <c r="S140" s="1244"/>
      <c r="T140" s="160"/>
      <c r="U140" s="73">
        <f t="shared" si="7"/>
        <v>0</v>
      </c>
      <c r="V140" s="161">
        <v>4.0</v>
      </c>
      <c r="W140" s="328"/>
      <c r="X140" s="296" t="b">
        <v>0</v>
      </c>
      <c r="Y140" s="303"/>
      <c r="Z140" s="296" t="b">
        <v>0</v>
      </c>
      <c r="AA140" s="330"/>
      <c r="AB140" s="296" t="b">
        <v>0</v>
      </c>
      <c r="AC140" s="330"/>
      <c r="AD140" s="68" t="b">
        <v>0</v>
      </c>
      <c r="AE140" s="256"/>
      <c r="AF140" s="256"/>
      <c r="AG140" s="166"/>
      <c r="AH140" s="167"/>
      <c r="AI140" s="166"/>
      <c r="AJ140" s="167"/>
      <c r="AK140" s="166"/>
      <c r="AL140" s="167"/>
      <c r="AM140" s="167"/>
      <c r="AN140" s="167"/>
      <c r="AO140" s="167"/>
      <c r="AP140" s="167"/>
      <c r="AQ140" s="168"/>
      <c r="AR140" s="168"/>
      <c r="AS140" s="168"/>
      <c r="AT140" s="168"/>
      <c r="AU140" s="1198"/>
      <c r="AV140" s="110"/>
    </row>
    <row r="141" ht="27.75" hidden="1" customHeight="1">
      <c r="A141" s="58">
        <f t="shared" si="6"/>
        <v>24</v>
      </c>
      <c r="B141" s="62" t="s">
        <v>1109</v>
      </c>
      <c r="C141" s="67">
        <v>7.14</v>
      </c>
      <c r="D141" s="67" t="s">
        <v>976</v>
      </c>
      <c r="E141" s="67" t="s">
        <v>1110</v>
      </c>
      <c r="F141" s="147"/>
      <c r="G141" s="79" t="s">
        <v>84</v>
      </c>
      <c r="H141" s="82" t="b">
        <v>0</v>
      </c>
      <c r="I141" s="148"/>
      <c r="J141" s="82" t="b">
        <v>0</v>
      </c>
      <c r="K141" s="149"/>
      <c r="L141" s="147"/>
      <c r="M141" s="150"/>
      <c r="N141" s="1241"/>
      <c r="O141" s="147"/>
      <c r="P141" s="1334">
        <v>46104.0</v>
      </c>
      <c r="Q141" s="155"/>
      <c r="R141" s="156">
        <v>46834.0</v>
      </c>
      <c r="S141" s="1244"/>
      <c r="T141" s="160"/>
      <c r="U141" s="73">
        <f t="shared" si="7"/>
        <v>0</v>
      </c>
      <c r="V141" s="161">
        <v>4.0</v>
      </c>
      <c r="W141" s="328">
        <v>46302.0</v>
      </c>
      <c r="X141" s="296" t="b">
        <v>0</v>
      </c>
      <c r="Y141" s="303">
        <v>46484.0</v>
      </c>
      <c r="Z141" s="296" t="b">
        <v>0</v>
      </c>
      <c r="AA141" s="330">
        <v>46666.0</v>
      </c>
      <c r="AB141" s="296" t="b">
        <v>0</v>
      </c>
      <c r="AC141" s="330">
        <v>46848.0</v>
      </c>
      <c r="AD141" s="68" t="b">
        <v>0</v>
      </c>
      <c r="AE141" s="256"/>
      <c r="AF141" s="256"/>
      <c r="AG141" s="166"/>
      <c r="AH141" s="167"/>
      <c r="AI141" s="166"/>
      <c r="AJ141" s="167"/>
      <c r="AK141" s="166"/>
      <c r="AL141" s="167"/>
      <c r="AM141" s="167"/>
      <c r="AN141" s="167"/>
      <c r="AO141" s="167"/>
      <c r="AP141" s="167"/>
      <c r="AQ141" s="168"/>
      <c r="AR141" s="168"/>
      <c r="AS141" s="168"/>
      <c r="AT141" s="168"/>
      <c r="AU141" s="1198"/>
      <c r="AV141" s="110"/>
    </row>
    <row r="142" ht="27.75" hidden="1" customHeight="1">
      <c r="A142" s="58">
        <f t="shared" si="6"/>
        <v>24</v>
      </c>
      <c r="B142" s="62" t="s">
        <v>1112</v>
      </c>
      <c r="C142" s="67">
        <v>16.83</v>
      </c>
      <c r="D142" s="67" t="s">
        <v>1113</v>
      </c>
      <c r="E142" s="67"/>
      <c r="F142" s="147"/>
      <c r="G142" s="79" t="s">
        <v>84</v>
      </c>
      <c r="H142" s="82" t="b">
        <v>0</v>
      </c>
      <c r="I142" s="148"/>
      <c r="J142" s="82" t="b">
        <v>0</v>
      </c>
      <c r="K142" s="149"/>
      <c r="L142" s="147"/>
      <c r="M142" s="150"/>
      <c r="N142" s="1241"/>
      <c r="O142" s="186" t="s">
        <v>219</v>
      </c>
      <c r="P142" s="1334">
        <v>46181.0</v>
      </c>
      <c r="Q142" s="155"/>
      <c r="R142" s="156">
        <v>45815.0</v>
      </c>
      <c r="S142" s="1244"/>
      <c r="T142" s="160"/>
      <c r="U142" s="73">
        <f t="shared" si="7"/>
        <v>0</v>
      </c>
      <c r="V142" s="161">
        <v>4.0</v>
      </c>
      <c r="W142" s="328">
        <v>46405.0</v>
      </c>
      <c r="X142" s="296" t="b">
        <v>0</v>
      </c>
      <c r="Y142" s="303">
        <v>46587.0</v>
      </c>
      <c r="Z142" s="296" t="b">
        <v>0</v>
      </c>
      <c r="AA142" s="330">
        <v>46769.0</v>
      </c>
      <c r="AB142" s="296" t="b">
        <v>0</v>
      </c>
      <c r="AC142" s="330">
        <v>46951.0</v>
      </c>
      <c r="AD142" s="68" t="b">
        <v>0</v>
      </c>
      <c r="AE142" s="256"/>
      <c r="AF142" s="256"/>
      <c r="AG142" s="166"/>
      <c r="AH142" s="167"/>
      <c r="AI142" s="166"/>
      <c r="AJ142" s="167"/>
      <c r="AK142" s="166"/>
      <c r="AL142" s="167"/>
      <c r="AM142" s="167"/>
      <c r="AN142" s="167"/>
      <c r="AO142" s="167"/>
      <c r="AP142" s="167"/>
      <c r="AQ142" s="168"/>
      <c r="AR142" s="168"/>
      <c r="AS142" s="168"/>
      <c r="AT142" s="168"/>
      <c r="AU142" s="1198"/>
      <c r="AV142" s="110"/>
    </row>
    <row r="143" ht="27.75" hidden="1" customHeight="1">
      <c r="A143" s="58">
        <f t="shared" si="6"/>
        <v>24</v>
      </c>
      <c r="B143" s="62" t="s">
        <v>1114</v>
      </c>
      <c r="C143" s="67">
        <v>9.18</v>
      </c>
      <c r="D143" s="67" t="s">
        <v>65</v>
      </c>
      <c r="E143" s="67"/>
      <c r="F143" s="147"/>
      <c r="G143" s="79" t="s">
        <v>84</v>
      </c>
      <c r="H143" s="82" t="b">
        <v>0</v>
      </c>
      <c r="I143" s="148"/>
      <c r="J143" s="82" t="b">
        <v>0</v>
      </c>
      <c r="K143" s="149"/>
      <c r="L143" s="147"/>
      <c r="M143" s="150"/>
      <c r="N143" s="1241"/>
      <c r="O143" s="186"/>
      <c r="P143" s="1334">
        <v>46211.0</v>
      </c>
      <c r="Q143" s="155"/>
      <c r="R143" s="156">
        <v>46941.0</v>
      </c>
      <c r="S143" s="1244"/>
      <c r="T143" s="160"/>
      <c r="U143" s="73">
        <f t="shared" si="7"/>
        <v>0</v>
      </c>
      <c r="V143" s="161">
        <v>4.0</v>
      </c>
      <c r="W143" s="328"/>
      <c r="X143" s="746" t="b">
        <v>0</v>
      </c>
      <c r="Y143" s="303"/>
      <c r="Z143" s="746" t="b">
        <v>0</v>
      </c>
      <c r="AA143" s="303"/>
      <c r="AB143" s="746" t="b">
        <v>0</v>
      </c>
      <c r="AC143" s="303"/>
      <c r="AD143" s="68" t="b">
        <v>0</v>
      </c>
      <c r="AE143" s="275"/>
      <c r="AF143" s="276"/>
      <c r="AG143" s="275"/>
      <c r="AH143" s="1338"/>
      <c r="AI143" s="275"/>
      <c r="AJ143" s="276"/>
      <c r="AK143" s="275"/>
      <c r="AL143" s="167"/>
      <c r="AM143" s="167"/>
      <c r="AN143" s="167"/>
      <c r="AO143" s="167"/>
      <c r="AP143" s="167"/>
      <c r="AQ143" s="168"/>
      <c r="AR143" s="168"/>
      <c r="AS143" s="168"/>
      <c r="AT143" s="168"/>
      <c r="AU143" s="1198"/>
      <c r="AV143" s="110"/>
    </row>
    <row r="144" ht="27.75" hidden="1" customHeight="1">
      <c r="A144" s="58">
        <f t="shared" si="6"/>
        <v>24</v>
      </c>
      <c r="B144" s="62" t="s">
        <v>1116</v>
      </c>
      <c r="C144" s="67">
        <v>24.96</v>
      </c>
      <c r="D144" s="67" t="s">
        <v>1117</v>
      </c>
      <c r="E144" s="67"/>
      <c r="F144" s="147"/>
      <c r="G144" s="79" t="s">
        <v>84</v>
      </c>
      <c r="H144" s="82" t="b">
        <v>0</v>
      </c>
      <c r="I144" s="148"/>
      <c r="J144" s="82" t="b">
        <v>0</v>
      </c>
      <c r="K144" s="149"/>
      <c r="L144" s="147"/>
      <c r="N144" s="1241"/>
      <c r="O144" s="186"/>
      <c r="P144" s="1334">
        <v>46240.0</v>
      </c>
      <c r="Q144" s="155"/>
      <c r="R144" s="156">
        <v>46970.0</v>
      </c>
      <c r="S144" s="1244"/>
      <c r="T144" s="160"/>
      <c r="U144" s="73">
        <f t="shared" si="7"/>
        <v>0</v>
      </c>
      <c r="V144" s="161">
        <v>4.0</v>
      </c>
      <c r="W144" s="330"/>
      <c r="X144" s="1341" t="b">
        <v>0</v>
      </c>
      <c r="Y144" s="330"/>
      <c r="Z144" s="1341" t="b">
        <v>0</v>
      </c>
      <c r="AA144" s="330"/>
      <c r="AB144" s="1341" t="b">
        <v>0</v>
      </c>
      <c r="AC144" s="330"/>
      <c r="AD144" s="79" t="b">
        <v>0</v>
      </c>
      <c r="AE144" s="256"/>
      <c r="AF144" s="256"/>
      <c r="AG144" s="166"/>
      <c r="AH144" s="167"/>
      <c r="AI144" s="166"/>
      <c r="AJ144" s="167"/>
      <c r="AK144" s="166"/>
      <c r="AL144" s="167"/>
      <c r="AM144" s="167"/>
      <c r="AN144" s="167"/>
      <c r="AO144" s="167"/>
      <c r="AP144" s="167"/>
      <c r="AQ144" s="168"/>
      <c r="AR144" s="168"/>
      <c r="AS144" s="168"/>
      <c r="AT144" s="168"/>
      <c r="AU144" s="1198"/>
      <c r="AV144" s="110"/>
    </row>
    <row r="145" ht="27.75" hidden="1" customHeight="1">
      <c r="A145" s="58">
        <f t="shared" si="6"/>
        <v>24</v>
      </c>
      <c r="B145" s="113" t="s">
        <v>536</v>
      </c>
      <c r="C145" s="67"/>
      <c r="D145" s="67" t="s">
        <v>334</v>
      </c>
      <c r="E145" s="67"/>
      <c r="F145" s="67"/>
      <c r="G145" s="79" t="s">
        <v>84</v>
      </c>
      <c r="H145" s="82" t="b">
        <v>0</v>
      </c>
      <c r="I145" s="85"/>
      <c r="J145" s="82" t="b">
        <v>0</v>
      </c>
      <c r="K145" s="89"/>
      <c r="L145" s="62" t="s">
        <v>729</v>
      </c>
      <c r="M145" s="91">
        <v>8.35295991E8</v>
      </c>
      <c r="N145" s="457"/>
      <c r="O145" s="1342"/>
      <c r="P145" s="1087"/>
      <c r="Q145" s="100"/>
      <c r="R145" s="102">
        <v>46028.0</v>
      </c>
      <c r="S145" s="1343">
        <v>46032.0</v>
      </c>
      <c r="T145" s="634" t="s">
        <v>238</v>
      </c>
      <c r="U145" s="73">
        <f t="shared" si="7"/>
        <v>4</v>
      </c>
      <c r="V145" s="75">
        <v>10.0</v>
      </c>
      <c r="W145" s="114">
        <v>45468.0</v>
      </c>
      <c r="X145" s="68" t="b">
        <v>1</v>
      </c>
      <c r="Y145" s="115">
        <v>45632.0</v>
      </c>
      <c r="Z145" s="68" t="b">
        <v>1</v>
      </c>
      <c r="AA145" s="121">
        <v>45829.0</v>
      </c>
      <c r="AB145" s="68" t="b">
        <v>1</v>
      </c>
      <c r="AC145" s="115">
        <v>46032.0</v>
      </c>
      <c r="AD145" s="137" t="b">
        <v>1</v>
      </c>
      <c r="AE145" s="119">
        <v>46247.0</v>
      </c>
      <c r="AF145" s="137" t="b">
        <v>0</v>
      </c>
      <c r="AG145" s="119">
        <v>46408.0</v>
      </c>
      <c r="AH145" s="137" t="b">
        <v>0</v>
      </c>
      <c r="AI145" s="1082">
        <v>46583.0</v>
      </c>
      <c r="AJ145" s="137" t="b">
        <v>0</v>
      </c>
      <c r="AK145" s="1082">
        <v>46772.0</v>
      </c>
      <c r="AL145" s="137" t="b">
        <v>0</v>
      </c>
      <c r="AM145" s="450">
        <v>46954.0</v>
      </c>
      <c r="AN145" s="137" t="b">
        <v>0</v>
      </c>
      <c r="AO145" s="450">
        <v>47136.0</v>
      </c>
      <c r="AP145" s="137" t="b">
        <v>0</v>
      </c>
      <c r="AQ145" s="881">
        <v>47318.0</v>
      </c>
      <c r="AR145" s="68"/>
      <c r="AS145" s="68"/>
      <c r="AT145" s="68"/>
      <c r="AU145" s="558" t="s">
        <v>1118</v>
      </c>
      <c r="AV145" s="110"/>
    </row>
    <row r="146" ht="27.75" hidden="1" customHeight="1">
      <c r="A146" s="58">
        <f t="shared" si="6"/>
        <v>24</v>
      </c>
      <c r="B146" s="202" t="s">
        <v>540</v>
      </c>
      <c r="C146" s="385">
        <v>12.48</v>
      </c>
      <c r="D146" s="385" t="s">
        <v>735</v>
      </c>
      <c r="E146" s="387"/>
      <c r="F146" s="391"/>
      <c r="G146" s="79" t="s">
        <v>243</v>
      </c>
      <c r="H146" s="82" t="b">
        <v>0</v>
      </c>
      <c r="I146" s="393"/>
      <c r="J146" s="82" t="b">
        <v>0</v>
      </c>
      <c r="K146" s="1344"/>
      <c r="L146" s="1345" t="s">
        <v>1120</v>
      </c>
      <c r="M146" s="1346">
        <v>8.17375447E8</v>
      </c>
      <c r="N146" s="1229"/>
      <c r="O146" s="1245"/>
      <c r="P146" s="1087">
        <v>45646.0</v>
      </c>
      <c r="Q146" s="404"/>
      <c r="R146" s="102">
        <v>46375.0</v>
      </c>
      <c r="S146" s="631">
        <v>45975.0</v>
      </c>
      <c r="T146" s="498"/>
      <c r="U146" s="73">
        <f t="shared" si="7"/>
        <v>2</v>
      </c>
      <c r="V146" s="75">
        <v>4.0</v>
      </c>
      <c r="W146" s="284">
        <v>45793.0</v>
      </c>
      <c r="X146" s="68" t="b">
        <v>1</v>
      </c>
      <c r="Y146" s="411">
        <v>45975.0</v>
      </c>
      <c r="Z146" s="68" t="b">
        <v>1</v>
      </c>
      <c r="AA146" s="284">
        <v>46158.0</v>
      </c>
      <c r="AB146" s="197" t="b">
        <v>0</v>
      </c>
      <c r="AC146" s="287">
        <v>46347.0</v>
      </c>
      <c r="AD146" s="200" t="b">
        <v>0</v>
      </c>
      <c r="AE146" s="1068"/>
      <c r="AF146" s="379"/>
      <c r="AG146" s="378"/>
      <c r="AH146" s="379"/>
      <c r="AI146" s="378"/>
      <c r="AJ146" s="379"/>
      <c r="AK146" s="378"/>
      <c r="AL146" s="379"/>
      <c r="AM146" s="379"/>
      <c r="AN146" s="379"/>
      <c r="AO146" s="379"/>
      <c r="AP146" s="379"/>
      <c r="AQ146" s="189"/>
      <c r="AR146" s="189"/>
      <c r="AS146" s="189"/>
      <c r="AT146" s="189"/>
      <c r="AU146" s="282"/>
      <c r="AV146" s="110"/>
    </row>
    <row r="147" ht="27.75" hidden="1" customHeight="1">
      <c r="A147" s="58">
        <f t="shared" si="6"/>
        <v>24</v>
      </c>
      <c r="B147" s="177" t="s">
        <v>1121</v>
      </c>
      <c r="C147" s="748">
        <v>10.92</v>
      </c>
      <c r="D147" s="748" t="s">
        <v>1122</v>
      </c>
      <c r="E147" s="639" t="s">
        <v>1123</v>
      </c>
      <c r="F147" s="391"/>
      <c r="G147" s="79" t="s">
        <v>84</v>
      </c>
      <c r="H147" s="82" t="b">
        <v>0</v>
      </c>
      <c r="I147" s="393"/>
      <c r="J147" s="82" t="b">
        <v>0</v>
      </c>
      <c r="K147" s="1344"/>
      <c r="L147" s="1307"/>
      <c r="M147" s="495"/>
      <c r="N147" s="1326"/>
      <c r="O147" s="391"/>
      <c r="P147" s="1347">
        <v>45823.0</v>
      </c>
      <c r="Q147" s="633"/>
      <c r="R147" s="406">
        <v>46553.0</v>
      </c>
      <c r="S147" s="631">
        <v>45975.0</v>
      </c>
      <c r="T147" s="634"/>
      <c r="U147" s="73">
        <f t="shared" si="7"/>
        <v>2</v>
      </c>
      <c r="V147" s="75">
        <v>4.0</v>
      </c>
      <c r="W147" s="114">
        <v>45975.0</v>
      </c>
      <c r="X147" s="68" t="b">
        <v>1</v>
      </c>
      <c r="Y147" s="119">
        <v>46189.0</v>
      </c>
      <c r="Z147" s="68" t="b">
        <v>1</v>
      </c>
      <c r="AA147" s="1348">
        <v>46371.0</v>
      </c>
      <c r="AB147" s="197" t="b">
        <v>0</v>
      </c>
      <c r="AC147" s="198">
        <v>46553.0</v>
      </c>
      <c r="AD147" s="200" t="b">
        <v>0</v>
      </c>
      <c r="AE147" s="1068"/>
      <c r="AF147" s="1349"/>
      <c r="AG147" s="378"/>
      <c r="AH147" s="379"/>
      <c r="AI147" s="378"/>
      <c r="AJ147" s="379"/>
      <c r="AK147" s="378"/>
      <c r="AL147" s="379"/>
      <c r="AM147" s="379"/>
      <c r="AN147" s="379"/>
      <c r="AO147" s="379"/>
      <c r="AP147" s="379"/>
      <c r="AQ147" s="189"/>
      <c r="AR147" s="189"/>
      <c r="AS147" s="189"/>
      <c r="AT147" s="189"/>
      <c r="AU147" s="282"/>
      <c r="AV147" s="110"/>
    </row>
    <row r="148" ht="27.75" hidden="1" customHeight="1">
      <c r="A148" s="58">
        <f t="shared" si="6"/>
        <v>24</v>
      </c>
      <c r="B148" s="62" t="s">
        <v>1124</v>
      </c>
      <c r="C148" s="67">
        <v>7.68</v>
      </c>
      <c r="D148" s="67" t="s">
        <v>1125</v>
      </c>
      <c r="E148" s="666"/>
      <c r="F148" s="147"/>
      <c r="G148" s="79" t="s">
        <v>84</v>
      </c>
      <c r="H148" s="82" t="b">
        <v>0</v>
      </c>
      <c r="I148" s="148"/>
      <c r="J148" s="82" t="b">
        <v>0</v>
      </c>
      <c r="K148" s="149"/>
      <c r="L148" s="147"/>
      <c r="M148" s="150"/>
      <c r="N148" s="1241"/>
      <c r="O148" s="147"/>
      <c r="P148" s="1334">
        <v>45938.0</v>
      </c>
      <c r="Q148" s="155"/>
      <c r="R148" s="156">
        <v>46667.0</v>
      </c>
      <c r="S148" s="1244"/>
      <c r="T148" s="160"/>
      <c r="U148" s="73">
        <f t="shared" si="7"/>
        <v>1</v>
      </c>
      <c r="V148" s="161">
        <v>4.0</v>
      </c>
      <c r="W148" s="284">
        <v>46133.0</v>
      </c>
      <c r="X148" s="68" t="b">
        <v>1</v>
      </c>
      <c r="Y148" s="411">
        <v>46301.0</v>
      </c>
      <c r="Z148" s="197" t="b">
        <v>0</v>
      </c>
      <c r="AA148" s="1351">
        <v>46483.0</v>
      </c>
      <c r="AB148" s="200" t="b">
        <v>0</v>
      </c>
      <c r="AC148" s="411">
        <v>46666.0</v>
      </c>
      <c r="AD148" s="200" t="b">
        <v>0</v>
      </c>
      <c r="AE148" s="256"/>
      <c r="AF148" s="256"/>
      <c r="AG148" s="166"/>
      <c r="AH148" s="167"/>
      <c r="AI148" s="166"/>
      <c r="AJ148" s="167"/>
      <c r="AK148" s="166"/>
      <c r="AL148" s="167"/>
      <c r="AM148" s="167"/>
      <c r="AN148" s="167"/>
      <c r="AO148" s="167"/>
      <c r="AP148" s="167"/>
      <c r="AQ148" s="168"/>
      <c r="AR148" s="168"/>
      <c r="AS148" s="168"/>
      <c r="AT148" s="168"/>
      <c r="AU148" s="1198"/>
      <c r="AV148" s="110"/>
    </row>
    <row r="149" ht="27.75" hidden="1" customHeight="1">
      <c r="A149" s="58">
        <f t="shared" si="6"/>
        <v>24</v>
      </c>
      <c r="B149" s="62" t="s">
        <v>1127</v>
      </c>
      <c r="C149" s="67">
        <v>10.2</v>
      </c>
      <c r="D149" s="67" t="s">
        <v>48</v>
      </c>
      <c r="E149" s="67"/>
      <c r="F149" s="147"/>
      <c r="G149" s="79" t="s">
        <v>84</v>
      </c>
      <c r="H149" s="82" t="b">
        <v>0</v>
      </c>
      <c r="I149" s="148"/>
      <c r="J149" s="82" t="b">
        <v>0</v>
      </c>
      <c r="K149" s="149"/>
      <c r="L149" s="147"/>
      <c r="M149" s="150"/>
      <c r="N149" s="1241"/>
      <c r="O149" s="147"/>
      <c r="P149" s="1334">
        <v>46009.0</v>
      </c>
      <c r="Q149" s="155"/>
      <c r="R149" s="156">
        <v>46738.0</v>
      </c>
      <c r="S149" s="1244"/>
      <c r="T149" s="160"/>
      <c r="U149" s="73">
        <f t="shared" si="7"/>
        <v>0</v>
      </c>
      <c r="V149" s="161">
        <v>4.0</v>
      </c>
      <c r="W149" s="1070">
        <v>46118.0</v>
      </c>
      <c r="X149" s="1352" t="b">
        <v>0</v>
      </c>
      <c r="Y149" s="1070">
        <v>46301.0</v>
      </c>
      <c r="Z149" s="1353" t="b">
        <v>0</v>
      </c>
      <c r="AA149" s="438">
        <v>46483.0</v>
      </c>
      <c r="AB149" s="1354" t="b">
        <v>0</v>
      </c>
      <c r="AC149" s="1070">
        <v>46666.0</v>
      </c>
      <c r="AD149" s="1354" t="b">
        <v>0</v>
      </c>
      <c r="AE149" s="256"/>
      <c r="AF149" s="256"/>
      <c r="AG149" s="166"/>
      <c r="AH149" s="167"/>
      <c r="AI149" s="166"/>
      <c r="AJ149" s="167"/>
      <c r="AK149" s="166"/>
      <c r="AL149" s="167"/>
      <c r="AM149" s="167"/>
      <c r="AN149" s="167"/>
      <c r="AO149" s="167"/>
      <c r="AP149" s="167"/>
      <c r="AQ149" s="168"/>
      <c r="AR149" s="168"/>
      <c r="AS149" s="168"/>
      <c r="AT149" s="168"/>
      <c r="AU149" s="1198"/>
      <c r="AV149" s="110"/>
    </row>
    <row r="150" ht="27.75" hidden="1" customHeight="1">
      <c r="A150" s="58">
        <f t="shared" si="6"/>
        <v>24</v>
      </c>
      <c r="B150" s="62" t="s">
        <v>1128</v>
      </c>
      <c r="C150" s="67">
        <v>7.65</v>
      </c>
      <c r="D150" s="67" t="s">
        <v>48</v>
      </c>
      <c r="E150" s="67"/>
      <c r="F150" s="147"/>
      <c r="G150" s="79" t="s">
        <v>84</v>
      </c>
      <c r="H150" s="82" t="b">
        <v>0</v>
      </c>
      <c r="I150" s="148"/>
      <c r="J150" s="82" t="b">
        <v>0</v>
      </c>
      <c r="K150" s="149"/>
      <c r="L150" s="147"/>
      <c r="M150" s="150"/>
      <c r="N150" s="1241"/>
      <c r="O150" s="186" t="s">
        <v>219</v>
      </c>
      <c r="P150" s="1334">
        <v>46201.0</v>
      </c>
      <c r="Q150" s="155"/>
      <c r="R150" s="156">
        <v>46931.0</v>
      </c>
      <c r="S150" s="1244"/>
      <c r="T150" s="160"/>
      <c r="U150" s="73">
        <f t="shared" si="7"/>
        <v>0</v>
      </c>
      <c r="V150" s="161">
        <v>4.0</v>
      </c>
      <c r="W150" s="162"/>
      <c r="X150" s="68" t="b">
        <v>0</v>
      </c>
      <c r="Y150" s="163"/>
      <c r="Z150" s="68" t="b">
        <v>0</v>
      </c>
      <c r="AA150" s="162"/>
      <c r="AB150" s="68" t="b">
        <v>0</v>
      </c>
      <c r="AC150" s="163"/>
      <c r="AD150" s="68" t="b">
        <v>0</v>
      </c>
      <c r="AE150" s="256"/>
      <c r="AF150" s="256"/>
      <c r="AG150" s="166"/>
      <c r="AH150" s="167"/>
      <c r="AI150" s="166"/>
      <c r="AJ150" s="167"/>
      <c r="AK150" s="166"/>
      <c r="AL150" s="167"/>
      <c r="AM150" s="167"/>
      <c r="AN150" s="167"/>
      <c r="AO150" s="167"/>
      <c r="AP150" s="167"/>
      <c r="AQ150" s="168"/>
      <c r="AR150" s="168"/>
      <c r="AS150" s="168"/>
      <c r="AT150" s="168"/>
      <c r="AU150" s="1198"/>
      <c r="AV150" s="110"/>
    </row>
    <row r="151" ht="27.75" hidden="1" customHeight="1">
      <c r="A151" s="58">
        <f t="shared" si="6"/>
        <v>24</v>
      </c>
      <c r="B151" s="72" t="s">
        <v>542</v>
      </c>
      <c r="C151" s="756">
        <v>6.3</v>
      </c>
      <c r="D151" s="756" t="s">
        <v>111</v>
      </c>
      <c r="E151" s="756" t="s">
        <v>739</v>
      </c>
      <c r="F151" s="756"/>
      <c r="G151" s="209" t="s">
        <v>55</v>
      </c>
      <c r="H151" s="82" t="b">
        <v>1</v>
      </c>
      <c r="I151" s="212">
        <v>46017.0</v>
      </c>
      <c r="J151" s="82" t="b">
        <v>0</v>
      </c>
      <c r="K151" s="89"/>
      <c r="L151" s="113" t="s">
        <v>281</v>
      </c>
      <c r="M151" s="1357"/>
      <c r="N151" s="1205"/>
      <c r="O151" s="1358"/>
      <c r="P151" s="1087"/>
      <c r="Q151" s="100">
        <v>45429.0</v>
      </c>
      <c r="R151" s="1359">
        <v>45968.0</v>
      </c>
      <c r="S151" s="631">
        <v>45974.0</v>
      </c>
      <c r="T151" s="135" t="s">
        <v>743</v>
      </c>
      <c r="U151" s="73">
        <f t="shared" si="7"/>
        <v>6</v>
      </c>
      <c r="V151" s="75">
        <v>6.0</v>
      </c>
      <c r="W151" s="227">
        <v>44784.0</v>
      </c>
      <c r="X151" s="68" t="b">
        <v>1</v>
      </c>
      <c r="Y151" s="115">
        <v>45048.0</v>
      </c>
      <c r="Z151" s="68" t="b">
        <v>1</v>
      </c>
      <c r="AA151" s="343">
        <v>45440.0</v>
      </c>
      <c r="AB151" s="68" t="b">
        <v>1</v>
      </c>
      <c r="AC151" s="343">
        <v>45605.0</v>
      </c>
      <c r="AD151" s="68" t="b">
        <v>1</v>
      </c>
      <c r="AE151" s="343">
        <v>45826.0</v>
      </c>
      <c r="AF151" s="79" t="b">
        <v>1</v>
      </c>
      <c r="AG151" s="115">
        <v>45974.0</v>
      </c>
      <c r="AH151" s="68" t="b">
        <v>1</v>
      </c>
      <c r="AI151" s="119"/>
      <c r="AJ151" s="137" t="b">
        <v>0</v>
      </c>
      <c r="AK151" s="119"/>
      <c r="AL151" s="137" t="b">
        <v>0</v>
      </c>
      <c r="AM151" s="68"/>
      <c r="AN151" s="137" t="b">
        <v>0</v>
      </c>
      <c r="AO151" s="68"/>
      <c r="AP151" s="137" t="b">
        <v>0</v>
      </c>
      <c r="AQ151" s="68"/>
      <c r="AR151" s="68"/>
      <c r="AS151" s="68"/>
      <c r="AT151" s="68"/>
      <c r="AU151" s="558" t="s">
        <v>545</v>
      </c>
      <c r="AV151" s="110"/>
    </row>
    <row r="152" ht="27.75" hidden="1" customHeight="1">
      <c r="A152" s="58">
        <f t="shared" si="6"/>
        <v>24</v>
      </c>
      <c r="B152" s="1361" t="s">
        <v>546</v>
      </c>
      <c r="C152" s="834">
        <v>9.9</v>
      </c>
      <c r="D152" s="834" t="s">
        <v>111</v>
      </c>
      <c r="E152" s="1362" t="s">
        <v>739</v>
      </c>
      <c r="F152" s="834"/>
      <c r="G152" s="1363" t="s">
        <v>84</v>
      </c>
      <c r="H152" s="82" t="b">
        <v>1</v>
      </c>
      <c r="I152" s="1364">
        <v>46059.0</v>
      </c>
      <c r="J152" s="82" t="b">
        <v>1</v>
      </c>
      <c r="K152" s="1365">
        <v>46070.0</v>
      </c>
      <c r="L152" s="1366" t="s">
        <v>526</v>
      </c>
      <c r="M152" s="1367" t="s">
        <v>527</v>
      </c>
      <c r="N152" s="94"/>
      <c r="O152" s="1368"/>
      <c r="P152" s="1369"/>
      <c r="Q152" s="1370">
        <v>46070.0</v>
      </c>
      <c r="R152" s="1359">
        <v>46799.0</v>
      </c>
      <c r="S152" s="174">
        <v>45870.0</v>
      </c>
      <c r="T152" s="620" t="s">
        <v>746</v>
      </c>
      <c r="U152" s="73">
        <f t="shared" si="7"/>
        <v>6</v>
      </c>
      <c r="V152" s="75">
        <v>6.0</v>
      </c>
      <c r="W152" s="114">
        <v>44873.0</v>
      </c>
      <c r="X152" s="68" t="b">
        <v>1</v>
      </c>
      <c r="Y152" s="115">
        <v>44973.0</v>
      </c>
      <c r="Z152" s="68" t="b">
        <v>1</v>
      </c>
      <c r="AA152" s="114">
        <v>45325.0</v>
      </c>
      <c r="AB152" s="68" t="b">
        <v>1</v>
      </c>
      <c r="AC152" s="119">
        <v>45535.0</v>
      </c>
      <c r="AD152" s="68" t="b">
        <v>1</v>
      </c>
      <c r="AE152" s="504">
        <v>45702.0</v>
      </c>
      <c r="AF152" s="661" t="b">
        <v>1</v>
      </c>
      <c r="AG152" s="504">
        <v>45870.0</v>
      </c>
      <c r="AH152" s="661" t="b">
        <v>1</v>
      </c>
      <c r="AI152" s="504">
        <v>46102.0</v>
      </c>
      <c r="AJ152" s="838" t="b">
        <v>0</v>
      </c>
      <c r="AK152" s="504">
        <v>46283.0</v>
      </c>
      <c r="AL152" s="838" t="b">
        <v>0</v>
      </c>
      <c r="AM152" s="1371">
        <v>46465.0</v>
      </c>
      <c r="AN152" s="838" t="b">
        <v>0</v>
      </c>
      <c r="AO152" s="1371">
        <v>46647.0</v>
      </c>
      <c r="AP152" s="838" t="b">
        <v>0</v>
      </c>
      <c r="AQ152" s="68"/>
      <c r="AR152" s="68"/>
      <c r="AS152" s="68"/>
      <c r="AT152" s="68"/>
      <c r="AU152" s="841" t="s">
        <v>58</v>
      </c>
      <c r="AV152" s="792"/>
    </row>
    <row r="153" ht="27.75" hidden="1" customHeight="1">
      <c r="A153" s="247">
        <f t="shared" si="6"/>
        <v>24</v>
      </c>
      <c r="B153" s="1009" t="s">
        <v>550</v>
      </c>
      <c r="C153" s="67">
        <v>12.6</v>
      </c>
      <c r="D153" s="67" t="s">
        <v>217</v>
      </c>
      <c r="E153" s="67" t="s">
        <v>739</v>
      </c>
      <c r="F153" s="67"/>
      <c r="G153" s="79" t="s">
        <v>55</v>
      </c>
      <c r="H153" s="82" t="b">
        <v>1</v>
      </c>
      <c r="I153" s="1372">
        <v>46072.0</v>
      </c>
      <c r="J153" s="82" t="b">
        <v>0</v>
      </c>
      <c r="K153" s="1365"/>
      <c r="L153" s="831" t="s">
        <v>740</v>
      </c>
      <c r="M153" s="91" t="s">
        <v>741</v>
      </c>
      <c r="N153" s="1374" t="s">
        <v>208</v>
      </c>
      <c r="O153" s="1358"/>
      <c r="P153" s="1087"/>
      <c r="Q153" s="477"/>
      <c r="R153" s="479">
        <v>45601.0</v>
      </c>
      <c r="S153" s="1208">
        <v>45605.0</v>
      </c>
      <c r="T153" s="135" t="s">
        <v>743</v>
      </c>
      <c r="U153" s="73">
        <f t="shared" si="7"/>
        <v>4</v>
      </c>
      <c r="V153" s="75">
        <v>4.0</v>
      </c>
      <c r="W153" s="114">
        <v>44942.0</v>
      </c>
      <c r="X153" s="68" t="b">
        <v>1</v>
      </c>
      <c r="Y153" s="115">
        <v>45268.0</v>
      </c>
      <c r="Z153" s="68" t="b">
        <v>1</v>
      </c>
      <c r="AA153" s="114">
        <v>45449.0</v>
      </c>
      <c r="AB153" s="68" t="b">
        <v>1</v>
      </c>
      <c r="AC153" s="119">
        <v>45605.0</v>
      </c>
      <c r="AD153" s="68" t="b">
        <v>1</v>
      </c>
      <c r="AE153" s="182"/>
      <c r="AF153" s="1375" t="b">
        <v>0</v>
      </c>
      <c r="AG153" s="119"/>
      <c r="AH153" s="68"/>
      <c r="AI153" s="119"/>
      <c r="AJ153" s="137" t="b">
        <v>0</v>
      </c>
      <c r="AK153" s="119"/>
      <c r="AL153" s="137" t="b">
        <v>0</v>
      </c>
      <c r="AM153" s="68"/>
      <c r="AN153" s="137" t="b">
        <v>0</v>
      </c>
      <c r="AO153" s="68"/>
      <c r="AP153" s="137" t="b">
        <v>0</v>
      </c>
      <c r="AQ153" s="68"/>
      <c r="AR153" s="68"/>
      <c r="AS153" s="68"/>
      <c r="AT153" s="68"/>
      <c r="AU153" s="737"/>
      <c r="AV153" s="110"/>
    </row>
    <row r="154" ht="27.75" hidden="1" customHeight="1">
      <c r="A154" s="58">
        <f t="shared" si="6"/>
        <v>24</v>
      </c>
      <c r="B154" s="201" t="s">
        <v>553</v>
      </c>
      <c r="C154" s="1376">
        <v>9.9</v>
      </c>
      <c r="D154" s="1376" t="s">
        <v>111</v>
      </c>
      <c r="E154" s="67" t="s">
        <v>739</v>
      </c>
      <c r="F154" s="834"/>
      <c r="G154" s="1363" t="s">
        <v>84</v>
      </c>
      <c r="H154" s="82" t="b">
        <v>1</v>
      </c>
      <c r="I154" s="517">
        <v>45827.0</v>
      </c>
      <c r="J154" s="82" t="b">
        <v>1</v>
      </c>
      <c r="K154" s="1365">
        <v>45902.0</v>
      </c>
      <c r="L154" s="308" t="s">
        <v>1132</v>
      </c>
      <c r="M154" s="91"/>
      <c r="N154" s="1295" t="s">
        <v>749</v>
      </c>
      <c r="O154" s="1368" t="s">
        <v>750</v>
      </c>
      <c r="P154" s="1369"/>
      <c r="Q154" s="1377"/>
      <c r="R154" s="1359">
        <v>45643.0</v>
      </c>
      <c r="S154" s="174">
        <v>45920.0</v>
      </c>
      <c r="T154" s="1379" t="s">
        <v>746</v>
      </c>
      <c r="U154" s="73">
        <f t="shared" si="7"/>
        <v>5</v>
      </c>
      <c r="V154" s="75">
        <v>8.0</v>
      </c>
      <c r="W154" s="114">
        <v>45133.0</v>
      </c>
      <c r="X154" s="68" t="b">
        <v>1</v>
      </c>
      <c r="Y154" s="115">
        <v>45315.0</v>
      </c>
      <c r="Z154" s="68" t="b">
        <v>1</v>
      </c>
      <c r="AA154" s="114">
        <v>45605.0</v>
      </c>
      <c r="AB154" s="68" t="b">
        <v>1</v>
      </c>
      <c r="AC154" s="119">
        <v>45733.0</v>
      </c>
      <c r="AD154" s="68" t="b">
        <v>1</v>
      </c>
      <c r="AE154" s="182">
        <v>45920.0</v>
      </c>
      <c r="AF154" s="1375" t="b">
        <v>1</v>
      </c>
      <c r="AG154" s="119">
        <v>46101.0</v>
      </c>
      <c r="AH154" s="213" t="b">
        <v>0</v>
      </c>
      <c r="AI154" s="121">
        <v>46283.0</v>
      </c>
      <c r="AJ154" s="213" t="b">
        <v>0</v>
      </c>
      <c r="AK154" s="121">
        <v>46465.0</v>
      </c>
      <c r="AL154" s="213" t="b">
        <v>0</v>
      </c>
      <c r="AM154" s="68"/>
      <c r="AN154" s="68"/>
      <c r="AO154" s="68"/>
      <c r="AP154" s="68"/>
      <c r="AQ154" s="68"/>
      <c r="AR154" s="68"/>
      <c r="AS154" s="68"/>
      <c r="AT154" s="68"/>
      <c r="AU154" s="1380"/>
      <c r="AV154" s="110"/>
    </row>
    <row r="155" ht="27.75" hidden="1" customHeight="1">
      <c r="A155" s="410">
        <f t="shared" si="6"/>
        <v>24</v>
      </c>
      <c r="B155" s="1381" t="s">
        <v>541</v>
      </c>
      <c r="C155" s="818"/>
      <c r="D155" s="818" t="s">
        <v>332</v>
      </c>
      <c r="E155" s="1383"/>
      <c r="F155" s="1383"/>
      <c r="G155" s="1384" t="s">
        <v>555</v>
      </c>
      <c r="H155" s="82" t="b">
        <v>0</v>
      </c>
      <c r="I155" s="1385"/>
      <c r="J155" s="82" t="b">
        <v>0</v>
      </c>
      <c r="K155" s="1386"/>
      <c r="L155" s="1387"/>
      <c r="M155" s="1388" t="s">
        <v>1134</v>
      </c>
      <c r="N155" s="94"/>
      <c r="O155" s="1368"/>
      <c r="P155" s="1369"/>
      <c r="Q155" s="1377"/>
      <c r="R155" s="1389">
        <v>45087.0</v>
      </c>
      <c r="S155" s="104"/>
      <c r="T155" s="1390"/>
      <c r="U155" s="73">
        <f t="shared" si="7"/>
        <v>2</v>
      </c>
      <c r="V155" s="759">
        <v>2.0</v>
      </c>
      <c r="W155" s="1391">
        <v>44904.0</v>
      </c>
      <c r="X155" s="820" t="b">
        <v>1</v>
      </c>
      <c r="Y155" s="1391">
        <v>45087.0</v>
      </c>
      <c r="Z155" s="820" t="b">
        <v>1</v>
      </c>
      <c r="AA155" s="1391"/>
      <c r="AB155" s="820"/>
      <c r="AC155" s="1391"/>
      <c r="AD155" s="820"/>
      <c r="AE155" s="1391"/>
      <c r="AF155" s="820"/>
      <c r="AG155" s="1391"/>
      <c r="AH155" s="820"/>
      <c r="AI155" s="1391"/>
      <c r="AJ155" s="820"/>
      <c r="AK155" s="1391"/>
      <c r="AL155" s="820"/>
      <c r="AM155" s="820"/>
      <c r="AN155" s="820"/>
      <c r="AO155" s="820"/>
      <c r="AP155" s="820"/>
      <c r="AQ155" s="68"/>
      <c r="AR155" s="68"/>
      <c r="AS155" s="68"/>
      <c r="AT155" s="68"/>
      <c r="AU155" s="1392"/>
      <c r="AV155" s="792"/>
    </row>
    <row r="156" ht="27.75" hidden="1" customHeight="1">
      <c r="A156" s="58">
        <f t="shared" si="6"/>
        <v>24</v>
      </c>
      <c r="B156" s="1393" t="s">
        <v>563</v>
      </c>
      <c r="C156" s="748"/>
      <c r="D156" s="748" t="s">
        <v>77</v>
      </c>
      <c r="E156" s="748" t="s">
        <v>1137</v>
      </c>
      <c r="F156" s="1394"/>
      <c r="G156" s="1363" t="s">
        <v>243</v>
      </c>
      <c r="H156" s="82" t="b">
        <v>0</v>
      </c>
      <c r="I156" s="1395"/>
      <c r="J156" s="82" t="b">
        <v>0</v>
      </c>
      <c r="K156" s="1396"/>
      <c r="L156" s="565" t="s">
        <v>1138</v>
      </c>
      <c r="M156" s="1397" t="s">
        <v>1139</v>
      </c>
      <c r="N156" s="1398" t="s">
        <v>1140</v>
      </c>
      <c r="O156" s="1394"/>
      <c r="P156" s="1399">
        <v>45654.0</v>
      </c>
      <c r="Q156" s="1400"/>
      <c r="R156" s="1401">
        <v>46383.0</v>
      </c>
      <c r="S156" s="721"/>
      <c r="T156" s="1402" t="s">
        <v>1141</v>
      </c>
      <c r="U156" s="73">
        <f t="shared" si="7"/>
        <v>0</v>
      </c>
      <c r="V156" s="75">
        <v>4.0</v>
      </c>
      <c r="W156" s="1403">
        <v>45775.0</v>
      </c>
      <c r="X156" s="693" t="b">
        <v>0</v>
      </c>
      <c r="Y156" s="411">
        <v>45957.0</v>
      </c>
      <c r="Z156" s="693" t="b">
        <v>0</v>
      </c>
      <c r="AA156" s="411">
        <v>46139.0</v>
      </c>
      <c r="AB156" s="68" t="b">
        <v>0</v>
      </c>
      <c r="AC156" s="1404">
        <v>46321.0</v>
      </c>
      <c r="AD156" s="1405" t="b">
        <v>0</v>
      </c>
      <c r="AE156" s="1406"/>
      <c r="AF156" s="1185"/>
      <c r="AG156" s="1406"/>
      <c r="AH156" s="1185"/>
      <c r="AI156" s="1406"/>
      <c r="AJ156" s="1185"/>
      <c r="AK156" s="1406"/>
      <c r="AL156" s="1185"/>
      <c r="AM156" s="1185"/>
      <c r="AN156" s="1185"/>
      <c r="AO156" s="1185"/>
      <c r="AP156" s="1185"/>
      <c r="AQ156" s="189"/>
      <c r="AR156" s="189"/>
      <c r="AS156" s="189"/>
      <c r="AT156" s="189"/>
      <c r="AU156" s="882"/>
      <c r="AV156" s="792"/>
    </row>
    <row r="157" ht="27.75" hidden="1" customHeight="1">
      <c r="A157" s="58">
        <f t="shared" si="6"/>
        <v>24</v>
      </c>
      <c r="B157" s="1407" t="s">
        <v>569</v>
      </c>
      <c r="C157" s="1408">
        <v>12.96</v>
      </c>
      <c r="D157" s="1408" t="s">
        <v>47</v>
      </c>
      <c r="E157" s="834"/>
      <c r="F157" s="1409" t="s">
        <v>766</v>
      </c>
      <c r="G157" s="1363" t="s">
        <v>55</v>
      </c>
      <c r="H157" s="82" t="b">
        <v>1</v>
      </c>
      <c r="I157" s="1364">
        <v>45955.0</v>
      </c>
      <c r="J157" s="82" t="b">
        <v>0</v>
      </c>
      <c r="K157" s="1365"/>
      <c r="L157" s="831" t="s">
        <v>756</v>
      </c>
      <c r="M157" s="1367" t="s">
        <v>758</v>
      </c>
      <c r="N157" s="94" t="s">
        <v>1143</v>
      </c>
      <c r="O157" s="1368"/>
      <c r="P157" s="1369"/>
      <c r="Q157" s="1377"/>
      <c r="R157" s="1359">
        <v>45765.0</v>
      </c>
      <c r="S157" s="104">
        <v>45797.0</v>
      </c>
      <c r="T157" s="620" t="s">
        <v>768</v>
      </c>
      <c r="U157" s="73">
        <f t="shared" si="7"/>
        <v>4</v>
      </c>
      <c r="V157" s="75">
        <v>4.0</v>
      </c>
      <c r="W157" s="114">
        <v>45227.0</v>
      </c>
      <c r="X157" s="693" t="b">
        <v>1</v>
      </c>
      <c r="Y157" s="115">
        <v>45393.0</v>
      </c>
      <c r="Z157" s="693" t="b">
        <v>1</v>
      </c>
      <c r="AA157" s="115">
        <v>45611.0</v>
      </c>
      <c r="AB157" s="68" t="b">
        <v>1</v>
      </c>
      <c r="AC157" s="504">
        <v>45797.0</v>
      </c>
      <c r="AD157" s="661" t="b">
        <v>1</v>
      </c>
      <c r="AE157" s="504"/>
      <c r="AF157" s="661"/>
      <c r="AG157" s="504"/>
      <c r="AH157" s="661"/>
      <c r="AI157" s="504"/>
      <c r="AJ157" s="661"/>
      <c r="AK157" s="504"/>
      <c r="AL157" s="661"/>
      <c r="AM157" s="661"/>
      <c r="AN157" s="661"/>
      <c r="AO157" s="661"/>
      <c r="AP157" s="661"/>
      <c r="AQ157" s="68"/>
      <c r="AR157" s="68"/>
      <c r="AS157" s="68"/>
      <c r="AT157" s="68"/>
      <c r="AU157" s="841"/>
      <c r="AV157" s="792"/>
    </row>
    <row r="158" ht="27.75" hidden="1" customHeight="1">
      <c r="A158" s="58">
        <f t="shared" si="6"/>
        <v>24</v>
      </c>
      <c r="B158" s="1407" t="s">
        <v>573</v>
      </c>
      <c r="C158" s="834">
        <v>6.72</v>
      </c>
      <c r="D158" s="834" t="s">
        <v>772</v>
      </c>
      <c r="E158" s="834"/>
      <c r="F158" s="834"/>
      <c r="G158" s="1363" t="s">
        <v>55</v>
      </c>
      <c r="H158" s="82" t="b">
        <v>1</v>
      </c>
      <c r="I158" s="1364">
        <v>45955.0</v>
      </c>
      <c r="J158" s="82" t="b">
        <v>0</v>
      </c>
      <c r="K158" s="1365"/>
      <c r="L158" s="831" t="s">
        <v>756</v>
      </c>
      <c r="M158" s="1367" t="s">
        <v>758</v>
      </c>
      <c r="N158" s="94" t="s">
        <v>1145</v>
      </c>
      <c r="O158" s="1368"/>
      <c r="P158" s="1369"/>
      <c r="Q158" s="1377"/>
      <c r="R158" s="1359">
        <v>45947.0</v>
      </c>
      <c r="S158" s="174">
        <v>45947.0</v>
      </c>
      <c r="T158" s="135" t="s">
        <v>768</v>
      </c>
      <c r="U158" s="73">
        <f t="shared" si="7"/>
        <v>4</v>
      </c>
      <c r="V158" s="75">
        <v>4.0</v>
      </c>
      <c r="W158" s="114">
        <v>45393.0</v>
      </c>
      <c r="X158" s="693" t="b">
        <v>1</v>
      </c>
      <c r="Y158" s="115">
        <v>45611.0</v>
      </c>
      <c r="Z158" s="693" t="b">
        <v>1</v>
      </c>
      <c r="AA158" s="115">
        <v>45797.0</v>
      </c>
      <c r="AB158" s="68" t="b">
        <v>1</v>
      </c>
      <c r="AC158" s="504">
        <v>45947.0</v>
      </c>
      <c r="AD158" s="838" t="b">
        <v>1</v>
      </c>
      <c r="AE158" s="504"/>
      <c r="AF158" s="661"/>
      <c r="AG158" s="504"/>
      <c r="AH158" s="661"/>
      <c r="AI158" s="504"/>
      <c r="AJ158" s="661"/>
      <c r="AK158" s="504"/>
      <c r="AL158" s="661"/>
      <c r="AM158" s="661"/>
      <c r="AN158" s="661"/>
      <c r="AO158" s="661"/>
      <c r="AP158" s="661"/>
      <c r="AQ158" s="68"/>
      <c r="AR158" s="68"/>
      <c r="AS158" s="68"/>
      <c r="AT158" s="68"/>
      <c r="AU158" s="841"/>
      <c r="AV158" s="792"/>
    </row>
    <row r="159" ht="27.75" hidden="1" customHeight="1">
      <c r="A159" s="304">
        <f t="shared" si="6"/>
        <v>24</v>
      </c>
      <c r="B159" s="1411" t="s">
        <v>547</v>
      </c>
      <c r="C159" s="834">
        <v>16.2</v>
      </c>
      <c r="D159" s="834" t="s">
        <v>774</v>
      </c>
      <c r="E159" s="834"/>
      <c r="F159" s="834"/>
      <c r="G159" s="1363" t="s">
        <v>243</v>
      </c>
      <c r="H159" s="82" t="b">
        <v>1</v>
      </c>
      <c r="I159" s="1412">
        <v>45630.0</v>
      </c>
      <c r="J159" s="82" t="b">
        <v>1</v>
      </c>
      <c r="K159" s="1414">
        <v>45752.0</v>
      </c>
      <c r="L159" s="1415" t="s">
        <v>548</v>
      </c>
      <c r="M159" s="1367" t="s">
        <v>549</v>
      </c>
      <c r="N159" s="94"/>
      <c r="O159" s="1368"/>
      <c r="P159" s="1369"/>
      <c r="Q159" s="1377">
        <v>45670.0</v>
      </c>
      <c r="R159" s="1416">
        <v>46362.0</v>
      </c>
      <c r="S159" s="104">
        <v>46149.0</v>
      </c>
      <c r="T159" s="620" t="s">
        <v>775</v>
      </c>
      <c r="U159" s="73">
        <f t="shared" si="7"/>
        <v>9</v>
      </c>
      <c r="V159" s="75">
        <v>10.0</v>
      </c>
      <c r="W159" s="115">
        <v>44562.0</v>
      </c>
      <c r="X159" s="68" t="b">
        <v>1</v>
      </c>
      <c r="Y159" s="114">
        <v>44562.0</v>
      </c>
      <c r="Z159" s="693" t="b">
        <v>1</v>
      </c>
      <c r="AA159" s="115">
        <v>45017.0</v>
      </c>
      <c r="AB159" s="693" t="b">
        <v>1</v>
      </c>
      <c r="AC159" s="119">
        <v>45216.0</v>
      </c>
      <c r="AD159" s="68" t="b">
        <v>1</v>
      </c>
      <c r="AE159" s="504">
        <v>45415.0</v>
      </c>
      <c r="AF159" s="661" t="b">
        <v>1</v>
      </c>
      <c r="AG159" s="504">
        <v>45609.0</v>
      </c>
      <c r="AH159" s="661" t="b">
        <v>1</v>
      </c>
      <c r="AI159" s="504">
        <v>45794.0</v>
      </c>
      <c r="AJ159" s="661" t="b">
        <v>1</v>
      </c>
      <c r="AK159" s="504">
        <v>45974.0</v>
      </c>
      <c r="AL159" s="661" t="b">
        <v>1</v>
      </c>
      <c r="AM159" s="1417">
        <v>46214.0</v>
      </c>
      <c r="AN159" s="661" t="b">
        <v>1</v>
      </c>
      <c r="AO159" s="1417">
        <v>46332.0</v>
      </c>
      <c r="AP159" s="661" t="b">
        <v>0</v>
      </c>
      <c r="AQ159" s="68"/>
      <c r="AR159" s="68"/>
      <c r="AS159" s="68"/>
      <c r="AT159" s="68"/>
      <c r="AU159" s="841"/>
      <c r="AV159" s="855"/>
    </row>
    <row r="160" ht="27.75" customHeight="1">
      <c r="A160" s="58">
        <f t="shared" si="6"/>
        <v>25</v>
      </c>
      <c r="B160" s="831" t="s">
        <v>590</v>
      </c>
      <c r="C160" s="784">
        <v>24.96</v>
      </c>
      <c r="D160" s="784" t="s">
        <v>1083</v>
      </c>
      <c r="E160" s="784" t="s">
        <v>1084</v>
      </c>
      <c r="F160" s="834"/>
      <c r="G160" s="1363" t="s">
        <v>105</v>
      </c>
      <c r="H160" s="82" t="b">
        <v>0</v>
      </c>
      <c r="I160" s="1364"/>
      <c r="J160" s="82" t="b">
        <v>0</v>
      </c>
      <c r="K160" s="1365"/>
      <c r="L160" s="831"/>
      <c r="M160" s="1367"/>
      <c r="N160" s="457"/>
      <c r="O160" s="1418"/>
      <c r="P160" s="1369">
        <v>45489.0</v>
      </c>
      <c r="Q160" s="1377"/>
      <c r="R160" s="1359">
        <v>45764.0</v>
      </c>
      <c r="S160" s="174">
        <v>46239.0</v>
      </c>
      <c r="T160" s="1419"/>
      <c r="U160" s="73">
        <f t="shared" si="7"/>
        <v>3</v>
      </c>
      <c r="V160" s="75">
        <v>4.0</v>
      </c>
      <c r="W160" s="1420">
        <v>45680.0</v>
      </c>
      <c r="X160" s="83" t="b">
        <v>0</v>
      </c>
      <c r="Y160" s="114">
        <v>45825.0</v>
      </c>
      <c r="Z160" s="484" t="b">
        <v>1</v>
      </c>
      <c r="AA160" s="121">
        <v>46045.0</v>
      </c>
      <c r="AB160" s="454" t="b">
        <v>1</v>
      </c>
      <c r="AC160" s="114">
        <v>46239.0</v>
      </c>
      <c r="AD160" s="137" t="b">
        <v>1</v>
      </c>
      <c r="AE160" s="243"/>
      <c r="AF160" s="827"/>
      <c r="AG160" s="243"/>
      <c r="AH160" s="827"/>
      <c r="AI160" s="243"/>
      <c r="AJ160" s="827"/>
      <c r="AK160" s="243"/>
      <c r="AL160" s="827"/>
      <c r="AM160" s="827"/>
      <c r="AN160" s="827"/>
      <c r="AO160" s="827"/>
      <c r="AP160" s="827"/>
      <c r="AQ160" s="168"/>
      <c r="AR160" s="68"/>
      <c r="AS160" s="68"/>
      <c r="AT160" s="68"/>
      <c r="AU160" s="841"/>
      <c r="AV160" s="855"/>
    </row>
    <row r="161" ht="27.75" hidden="1" customHeight="1">
      <c r="A161" s="58">
        <f t="shared" si="6"/>
        <v>25</v>
      </c>
      <c r="B161" s="1407" t="s">
        <v>596</v>
      </c>
      <c r="C161" s="834">
        <v>6.72</v>
      </c>
      <c r="D161" s="834" t="s">
        <v>782</v>
      </c>
      <c r="E161" s="834"/>
      <c r="F161" s="834"/>
      <c r="G161" s="1363" t="s">
        <v>55</v>
      </c>
      <c r="H161" s="82" t="b">
        <v>1</v>
      </c>
      <c r="I161" s="1364">
        <v>46017.0</v>
      </c>
      <c r="J161" s="82" t="b">
        <v>0</v>
      </c>
      <c r="K161" s="1365"/>
      <c r="L161" s="831" t="s">
        <v>783</v>
      </c>
      <c r="M161" s="1367" t="s">
        <v>784</v>
      </c>
      <c r="N161" s="94" t="s">
        <v>785</v>
      </c>
      <c r="O161" s="1368"/>
      <c r="P161" s="1369"/>
      <c r="Q161" s="1377"/>
      <c r="R161" s="1359">
        <v>46010.0</v>
      </c>
      <c r="S161" s="104">
        <v>45824.0</v>
      </c>
      <c r="T161" s="620" t="s">
        <v>589</v>
      </c>
      <c r="U161" s="73">
        <f t="shared" si="7"/>
        <v>4</v>
      </c>
      <c r="V161" s="75">
        <v>4.0</v>
      </c>
      <c r="W161" s="114">
        <v>45474.0</v>
      </c>
      <c r="X161" s="68" t="b">
        <v>1</v>
      </c>
      <c r="Y161" s="121">
        <v>45638.0</v>
      </c>
      <c r="Z161" s="79" t="b">
        <v>1</v>
      </c>
      <c r="AA161" s="343">
        <v>45824.0</v>
      </c>
      <c r="AB161" s="79" t="b">
        <v>1</v>
      </c>
      <c r="AC161" s="182">
        <v>45973.0</v>
      </c>
      <c r="AD161" s="137" t="b">
        <v>1</v>
      </c>
      <c r="AE161" s="243"/>
      <c r="AF161" s="827"/>
      <c r="AG161" s="243"/>
      <c r="AH161" s="827"/>
      <c r="AI161" s="504"/>
      <c r="AJ161" s="661"/>
      <c r="AK161" s="504"/>
      <c r="AL161" s="661"/>
      <c r="AM161" s="827"/>
      <c r="AN161" s="827"/>
      <c r="AO161" s="827"/>
      <c r="AP161" s="827"/>
      <c r="AQ161" s="68"/>
      <c r="AR161" s="68"/>
      <c r="AS161" s="68"/>
      <c r="AT161" s="68"/>
      <c r="AU161" s="841"/>
      <c r="AV161" s="855"/>
    </row>
    <row r="162" ht="27.75" hidden="1" customHeight="1">
      <c r="A162" s="58">
        <f t="shared" si="6"/>
        <v>25</v>
      </c>
      <c r="B162" s="831" t="s">
        <v>598</v>
      </c>
      <c r="C162" s="834"/>
      <c r="D162" s="834" t="s">
        <v>788</v>
      </c>
      <c r="E162" s="834"/>
      <c r="F162" s="834"/>
      <c r="G162" s="1363" t="s">
        <v>243</v>
      </c>
      <c r="H162" s="82" t="b">
        <v>0</v>
      </c>
      <c r="I162" s="1364"/>
      <c r="J162" s="82" t="b">
        <v>0</v>
      </c>
      <c r="K162" s="1365"/>
      <c r="L162" s="831" t="s">
        <v>789</v>
      </c>
      <c r="M162" s="1421" t="s">
        <v>790</v>
      </c>
      <c r="N162" s="94"/>
      <c r="O162" s="1368"/>
      <c r="P162" s="1369"/>
      <c r="Q162" s="1377"/>
      <c r="R162" s="1359">
        <v>45876.0</v>
      </c>
      <c r="S162" s="104">
        <v>45609.0</v>
      </c>
      <c r="T162" s="1419"/>
      <c r="U162" s="73">
        <f t="shared" si="7"/>
        <v>2</v>
      </c>
      <c r="V162" s="75">
        <v>4.0</v>
      </c>
      <c r="W162" s="114">
        <v>45330.0</v>
      </c>
      <c r="X162" s="68" t="b">
        <v>1</v>
      </c>
      <c r="Y162" s="114">
        <v>45609.0</v>
      </c>
      <c r="Z162" s="79" t="b">
        <v>1</v>
      </c>
      <c r="AA162" s="343">
        <v>45695.0</v>
      </c>
      <c r="AB162" s="422" t="b">
        <v>0</v>
      </c>
      <c r="AC162" s="182">
        <v>45876.0</v>
      </c>
      <c r="AD162" s="68" t="b">
        <v>0</v>
      </c>
      <c r="AE162" s="243"/>
      <c r="AF162" s="827"/>
      <c r="AG162" s="243"/>
      <c r="AH162" s="827"/>
      <c r="AI162" s="504"/>
      <c r="AJ162" s="661"/>
      <c r="AK162" s="504"/>
      <c r="AL162" s="661"/>
      <c r="AM162" s="827"/>
      <c r="AN162" s="827"/>
      <c r="AO162" s="827"/>
      <c r="AP162" s="827"/>
      <c r="AQ162" s="68"/>
      <c r="AR162" s="68"/>
      <c r="AS162" s="68"/>
      <c r="AT162" s="68"/>
      <c r="AU162" s="841"/>
      <c r="AV162" s="855"/>
    </row>
    <row r="163" ht="27.75" hidden="1" customHeight="1">
      <c r="A163" s="58">
        <f t="shared" si="6"/>
        <v>25</v>
      </c>
      <c r="B163" s="1407" t="s">
        <v>603</v>
      </c>
      <c r="C163" s="834"/>
      <c r="D163" s="834" t="s">
        <v>111</v>
      </c>
      <c r="E163" s="834"/>
      <c r="F163" s="834"/>
      <c r="G163" s="1363" t="s">
        <v>55</v>
      </c>
      <c r="H163" s="82" t="b">
        <v>1</v>
      </c>
      <c r="I163" s="1364">
        <v>45978.0</v>
      </c>
      <c r="J163" s="82" t="b">
        <v>0</v>
      </c>
      <c r="K163" s="1365"/>
      <c r="L163" s="831" t="s">
        <v>804</v>
      </c>
      <c r="M163" s="1367">
        <v>6.17901261E8</v>
      </c>
      <c r="N163" s="94" t="s">
        <v>1147</v>
      </c>
      <c r="O163" s="1368"/>
      <c r="P163" s="1369"/>
      <c r="Q163" s="1377"/>
      <c r="R163" s="1359">
        <v>45775.0</v>
      </c>
      <c r="S163" s="104">
        <v>45689.0</v>
      </c>
      <c r="T163" s="620" t="s">
        <v>805</v>
      </c>
      <c r="U163" s="73">
        <f t="shared" si="7"/>
        <v>4</v>
      </c>
      <c r="V163" s="75">
        <v>4.0</v>
      </c>
      <c r="W163" s="114">
        <v>45216.0</v>
      </c>
      <c r="X163" s="68" t="b">
        <v>1</v>
      </c>
      <c r="Y163" s="114">
        <v>45411.0</v>
      </c>
      <c r="Z163" s="79" t="b">
        <v>1</v>
      </c>
      <c r="AA163" s="182">
        <v>45607.0</v>
      </c>
      <c r="AB163" s="79" t="b">
        <v>1</v>
      </c>
      <c r="AC163" s="182">
        <v>45689.0</v>
      </c>
      <c r="AD163" s="68" t="b">
        <v>1</v>
      </c>
      <c r="AE163" s="504">
        <v>45877.0</v>
      </c>
      <c r="AF163" s="838" t="b">
        <v>0</v>
      </c>
      <c r="AG163" s="504">
        <v>46066.0</v>
      </c>
      <c r="AH163" s="838" t="b">
        <v>0</v>
      </c>
      <c r="AI163" s="504">
        <v>46248.0</v>
      </c>
      <c r="AJ163" s="838" t="b">
        <v>0</v>
      </c>
      <c r="AK163" s="504">
        <v>46430.0</v>
      </c>
      <c r="AL163" s="838" t="b">
        <v>0</v>
      </c>
      <c r="AM163" s="827"/>
      <c r="AN163" s="827"/>
      <c r="AO163" s="827"/>
      <c r="AP163" s="827"/>
      <c r="AQ163" s="68"/>
      <c r="AR163" s="68"/>
      <c r="AS163" s="68"/>
      <c r="AT163" s="68"/>
      <c r="AU163" s="841"/>
      <c r="AV163" s="855"/>
    </row>
    <row r="164" ht="27.75" hidden="1" customHeight="1">
      <c r="A164" s="58">
        <f t="shared" si="6"/>
        <v>25</v>
      </c>
      <c r="B164" s="831" t="s">
        <v>1148</v>
      </c>
      <c r="C164" s="834">
        <v>9.18</v>
      </c>
      <c r="D164" s="834" t="s">
        <v>1149</v>
      </c>
      <c r="E164" s="834"/>
      <c r="F164" s="151"/>
      <c r="G164" s="1363" t="s">
        <v>84</v>
      </c>
      <c r="H164" s="82" t="b">
        <v>0</v>
      </c>
      <c r="I164" s="148"/>
      <c r="J164" s="82" t="b">
        <v>0</v>
      </c>
      <c r="K164" s="1422"/>
      <c r="L164" s="151"/>
      <c r="M164" s="1423"/>
      <c r="N164" s="151"/>
      <c r="O164" s="1424" t="s">
        <v>219</v>
      </c>
      <c r="P164" s="1425">
        <v>46190.0</v>
      </c>
      <c r="Q164" s="1426"/>
      <c r="R164" s="1427">
        <v>46920.0</v>
      </c>
      <c r="S164" s="192"/>
      <c r="T164" s="1423"/>
      <c r="U164" s="73">
        <f t="shared" si="7"/>
        <v>0</v>
      </c>
      <c r="V164" s="161">
        <v>4.0</v>
      </c>
      <c r="W164" s="162">
        <v>46312.0</v>
      </c>
      <c r="X164" s="68" t="b">
        <v>0</v>
      </c>
      <c r="Y164" s="162">
        <v>46494.0</v>
      </c>
      <c r="Z164" s="79" t="b">
        <v>0</v>
      </c>
      <c r="AA164" s="960">
        <v>46676.0</v>
      </c>
      <c r="AB164" s="79" t="b">
        <v>0</v>
      </c>
      <c r="AC164" s="960">
        <v>46858.0</v>
      </c>
      <c r="AD164" s="68" t="b">
        <v>0</v>
      </c>
      <c r="AE164" s="1428"/>
      <c r="AF164" s="1429"/>
      <c r="AG164" s="1428"/>
      <c r="AH164" s="1429"/>
      <c r="AI164" s="1428"/>
      <c r="AJ164" s="1429"/>
      <c r="AK164" s="1428"/>
      <c r="AL164" s="1429"/>
      <c r="AM164" s="1429"/>
      <c r="AN164" s="1429"/>
      <c r="AO164" s="1429"/>
      <c r="AP164" s="1429"/>
      <c r="AQ164" s="168"/>
      <c r="AR164" s="168"/>
      <c r="AS164" s="168"/>
      <c r="AT164" s="168"/>
      <c r="AU164" s="1423"/>
      <c r="AV164" s="855"/>
    </row>
    <row r="165" ht="28.5" hidden="1" customHeight="1">
      <c r="A165" s="58">
        <f t="shared" si="6"/>
        <v>25</v>
      </c>
      <c r="B165" s="1430" t="s">
        <v>554</v>
      </c>
      <c r="C165" s="834">
        <v>12.6</v>
      </c>
      <c r="D165" s="834" t="s">
        <v>95</v>
      </c>
      <c r="E165" s="834"/>
      <c r="F165" s="834"/>
      <c r="G165" s="1363" t="s">
        <v>84</v>
      </c>
      <c r="H165" s="82" t="b">
        <v>1</v>
      </c>
      <c r="I165" s="1364">
        <v>45827.0</v>
      </c>
      <c r="J165" s="82" t="b">
        <v>1</v>
      </c>
      <c r="K165" s="1433">
        <v>45863.0</v>
      </c>
      <c r="L165" s="1435" t="s">
        <v>794</v>
      </c>
      <c r="M165" s="1367" t="s">
        <v>795</v>
      </c>
      <c r="N165" s="1437" t="s">
        <v>796</v>
      </c>
      <c r="O165" s="1368"/>
      <c r="P165" s="1369"/>
      <c r="Q165" s="1377"/>
      <c r="R165" s="1359">
        <v>45758.0</v>
      </c>
      <c r="S165" s="104">
        <v>46139.0</v>
      </c>
      <c r="T165" s="620" t="s">
        <v>797</v>
      </c>
      <c r="U165" s="73">
        <f t="shared" si="7"/>
        <v>5</v>
      </c>
      <c r="V165" s="75">
        <v>8.0</v>
      </c>
      <c r="W165" s="114">
        <v>45219.0</v>
      </c>
      <c r="X165" s="68" t="b">
        <v>1</v>
      </c>
      <c r="Y165" s="114">
        <v>45394.0</v>
      </c>
      <c r="Z165" s="79" t="b">
        <v>1</v>
      </c>
      <c r="AA165" s="343">
        <v>45609.0</v>
      </c>
      <c r="AB165" s="79" t="b">
        <v>1</v>
      </c>
      <c r="AC165" s="182">
        <v>45751.0</v>
      </c>
      <c r="AD165" s="68" t="b">
        <v>1</v>
      </c>
      <c r="AE165" s="243">
        <v>46139.0</v>
      </c>
      <c r="AF165" s="838" t="b">
        <v>1</v>
      </c>
      <c r="AG165" s="243">
        <v>46300.0</v>
      </c>
      <c r="AH165" s="838" t="b">
        <v>0</v>
      </c>
      <c r="AI165" s="243">
        <v>46503.0</v>
      </c>
      <c r="AJ165" s="838" t="b">
        <v>0</v>
      </c>
      <c r="AK165" s="243">
        <v>46686.0</v>
      </c>
      <c r="AL165" s="838" t="b">
        <v>0</v>
      </c>
      <c r="AM165" s="827"/>
      <c r="AN165" s="827"/>
      <c r="AO165" s="827"/>
      <c r="AP165" s="827"/>
      <c r="AQ165" s="68"/>
      <c r="AR165" s="68"/>
      <c r="AS165" s="68"/>
      <c r="AT165" s="68"/>
      <c r="AU165" s="1452"/>
      <c r="AV165" s="855"/>
    </row>
    <row r="166" ht="28.5" hidden="1" customHeight="1">
      <c r="A166" s="58">
        <f t="shared" si="6"/>
        <v>25</v>
      </c>
      <c r="B166" s="867" t="s">
        <v>609</v>
      </c>
      <c r="C166" s="834">
        <v>12.6</v>
      </c>
      <c r="D166" s="834" t="s">
        <v>498</v>
      </c>
      <c r="E166" s="834"/>
      <c r="F166" s="834"/>
      <c r="G166" s="1363" t="s">
        <v>55</v>
      </c>
      <c r="H166" s="82" t="b">
        <v>1</v>
      </c>
      <c r="I166" s="1364"/>
      <c r="J166" s="82" t="b">
        <v>0</v>
      </c>
      <c r="K166" s="1365"/>
      <c r="L166" s="831" t="s">
        <v>293</v>
      </c>
      <c r="M166" s="1367"/>
      <c r="N166" s="94"/>
      <c r="O166" s="1368"/>
      <c r="P166" s="1369"/>
      <c r="Q166" s="1377"/>
      <c r="R166" s="1389">
        <v>45295.0</v>
      </c>
      <c r="S166" s="104"/>
      <c r="T166" s="1419"/>
      <c r="U166" s="73">
        <f t="shared" si="7"/>
        <v>2</v>
      </c>
      <c r="V166" s="75">
        <v>2.0</v>
      </c>
      <c r="W166" s="114">
        <v>45007.0</v>
      </c>
      <c r="X166" s="68" t="b">
        <v>1</v>
      </c>
      <c r="Y166" s="114">
        <v>45295.0</v>
      </c>
      <c r="Z166" s="79" t="b">
        <v>1</v>
      </c>
      <c r="AA166" s="343"/>
      <c r="AB166" s="79" t="b">
        <v>0</v>
      </c>
      <c r="AC166" s="182"/>
      <c r="AD166" s="137"/>
      <c r="AE166" s="504"/>
      <c r="AF166" s="661"/>
      <c r="AG166" s="504"/>
      <c r="AH166" s="661"/>
      <c r="AI166" s="504"/>
      <c r="AJ166" s="661"/>
      <c r="AK166" s="504"/>
      <c r="AL166" s="661"/>
      <c r="AM166" s="827"/>
      <c r="AN166" s="827"/>
      <c r="AO166" s="827"/>
      <c r="AP166" s="827"/>
      <c r="AQ166" s="68"/>
      <c r="AR166" s="68"/>
      <c r="AS166" s="68"/>
      <c r="AT166" s="68"/>
      <c r="AU166" s="1452"/>
      <c r="AV166" s="855"/>
    </row>
    <row r="167" ht="28.5" hidden="1" customHeight="1">
      <c r="A167" s="58">
        <f t="shared" si="6"/>
        <v>25</v>
      </c>
      <c r="B167" s="831" t="s">
        <v>610</v>
      </c>
      <c r="C167" s="834"/>
      <c r="D167" s="834"/>
      <c r="E167" s="834"/>
      <c r="F167" s="834"/>
      <c r="G167" s="1363" t="s">
        <v>555</v>
      </c>
      <c r="H167" s="82" t="b">
        <v>0</v>
      </c>
      <c r="I167" s="1364"/>
      <c r="J167" s="82" t="b">
        <v>0</v>
      </c>
      <c r="K167" s="1365"/>
      <c r="L167" s="831" t="s">
        <v>814</v>
      </c>
      <c r="M167" s="1367">
        <v>8.6632462E8</v>
      </c>
      <c r="N167" s="94"/>
      <c r="O167" s="1276"/>
      <c r="P167" s="1369"/>
      <c r="Q167" s="1377"/>
      <c r="R167" s="1359">
        <v>46001.0</v>
      </c>
      <c r="S167" s="104"/>
      <c r="T167" s="1419"/>
      <c r="U167" s="73">
        <v>0.0</v>
      </c>
      <c r="V167" s="75">
        <v>4.0</v>
      </c>
      <c r="W167" s="114">
        <v>45453.0</v>
      </c>
      <c r="X167" s="68" t="b">
        <v>1</v>
      </c>
      <c r="Y167" s="114">
        <v>45636.0</v>
      </c>
      <c r="Z167" s="79" t="b">
        <v>1</v>
      </c>
      <c r="AA167" s="343">
        <v>45818.0</v>
      </c>
      <c r="AB167" s="422" t="b">
        <v>0</v>
      </c>
      <c r="AC167" s="182">
        <v>46001.0</v>
      </c>
      <c r="AD167" s="143" t="b">
        <v>0</v>
      </c>
      <c r="AE167" s="243"/>
      <c r="AF167" s="827"/>
      <c r="AG167" s="243"/>
      <c r="AH167" s="827"/>
      <c r="AI167" s="243"/>
      <c r="AJ167" s="827"/>
      <c r="AK167" s="243"/>
      <c r="AL167" s="661"/>
      <c r="AM167" s="827"/>
      <c r="AN167" s="827"/>
      <c r="AO167" s="827"/>
      <c r="AP167" s="827"/>
      <c r="AQ167" s="68"/>
      <c r="AR167" s="68"/>
      <c r="AS167" s="68"/>
      <c r="AT167" s="68"/>
      <c r="AU167" s="841"/>
      <c r="AV167" s="855"/>
    </row>
    <row r="168" ht="28.5" hidden="1" customHeight="1">
      <c r="A168" s="58">
        <f t="shared" si="6"/>
        <v>25</v>
      </c>
      <c r="B168" s="831" t="s">
        <v>1154</v>
      </c>
      <c r="C168" s="834">
        <v>28.8</v>
      </c>
      <c r="D168" s="834" t="s">
        <v>101</v>
      </c>
      <c r="E168" s="834"/>
      <c r="F168" s="151"/>
      <c r="G168" s="1363" t="s">
        <v>84</v>
      </c>
      <c r="H168" s="82" t="b">
        <v>0</v>
      </c>
      <c r="I168" s="1456"/>
      <c r="J168" s="82" t="b">
        <v>0</v>
      </c>
      <c r="K168" s="1422"/>
      <c r="L168" s="151"/>
      <c r="M168" s="1423"/>
      <c r="N168" s="151"/>
      <c r="O168" s="1424" t="s">
        <v>219</v>
      </c>
      <c r="P168" s="1425">
        <v>46197.0</v>
      </c>
      <c r="Q168" s="1426"/>
      <c r="R168" s="1427">
        <v>46927.0</v>
      </c>
      <c r="S168" s="192"/>
      <c r="T168" s="1423"/>
      <c r="U168" s="73">
        <f t="shared" ref="U168:U274" si="8">COUNTIFS(W168:AU168,"True")</f>
        <v>0</v>
      </c>
      <c r="V168" s="161">
        <v>4.0</v>
      </c>
      <c r="W168" s="328">
        <v>46312.0</v>
      </c>
      <c r="X168" s="296" t="b">
        <v>0</v>
      </c>
      <c r="Y168" s="328">
        <v>46494.0</v>
      </c>
      <c r="Z168" s="1341" t="b">
        <v>0</v>
      </c>
      <c r="AA168" s="330">
        <v>46676.0</v>
      </c>
      <c r="AB168" s="1341" t="b">
        <v>0</v>
      </c>
      <c r="AC168" s="330">
        <v>46858.0</v>
      </c>
      <c r="AD168" s="296" t="b">
        <v>0</v>
      </c>
      <c r="AE168" s="1428"/>
      <c r="AF168" s="1429"/>
      <c r="AG168" s="1428"/>
      <c r="AH168" s="1429"/>
      <c r="AI168" s="1428"/>
      <c r="AJ168" s="1429"/>
      <c r="AK168" s="1428"/>
      <c r="AL168" s="1429"/>
      <c r="AM168" s="1429"/>
      <c r="AN168" s="1429"/>
      <c r="AO168" s="1429"/>
      <c r="AP168" s="1429"/>
      <c r="AQ168" s="168"/>
      <c r="AR168" s="168"/>
      <c r="AS168" s="168"/>
      <c r="AT168" s="168"/>
      <c r="AU168" s="1423"/>
      <c r="AV168" s="855"/>
    </row>
    <row r="169" ht="33.0" customHeight="1">
      <c r="A169" s="58">
        <f t="shared" si="6"/>
        <v>26</v>
      </c>
      <c r="B169" s="831" t="s">
        <v>618</v>
      </c>
      <c r="C169" s="834">
        <v>9.6</v>
      </c>
      <c r="D169" s="834" t="s">
        <v>510</v>
      </c>
      <c r="E169" s="834"/>
      <c r="F169" s="834"/>
      <c r="G169" s="1363" t="s">
        <v>105</v>
      </c>
      <c r="H169" s="82" t="b">
        <v>0</v>
      </c>
      <c r="I169" s="1364"/>
      <c r="J169" s="82" t="b">
        <v>0</v>
      </c>
      <c r="K169" s="1365"/>
      <c r="L169" s="831" t="s">
        <v>818</v>
      </c>
      <c r="M169" s="1367">
        <v>9.35031341E8</v>
      </c>
      <c r="N169" s="94" t="s">
        <v>819</v>
      </c>
      <c r="O169" s="1368"/>
      <c r="P169" s="1369"/>
      <c r="Q169" s="1377"/>
      <c r="R169" s="1359">
        <v>45932.0</v>
      </c>
      <c r="S169" s="174">
        <v>46111.0</v>
      </c>
      <c r="T169" s="175" t="s">
        <v>1157</v>
      </c>
      <c r="U169" s="73">
        <f t="shared" si="8"/>
        <v>4</v>
      </c>
      <c r="V169" s="75">
        <v>4.0</v>
      </c>
      <c r="W169" s="114">
        <v>45504.0</v>
      </c>
      <c r="X169" s="68" t="b">
        <v>1</v>
      </c>
      <c r="Y169" s="114">
        <v>45740.0</v>
      </c>
      <c r="Z169" s="79" t="b">
        <v>1</v>
      </c>
      <c r="AA169" s="343">
        <v>45950.0</v>
      </c>
      <c r="AB169" s="79" t="b">
        <v>1</v>
      </c>
      <c r="AC169" s="182">
        <v>46111.0</v>
      </c>
      <c r="AD169" s="68" t="b">
        <v>1</v>
      </c>
      <c r="AE169" s="243"/>
      <c r="AF169" s="827"/>
      <c r="AG169" s="243"/>
      <c r="AH169" s="827"/>
      <c r="AI169" s="243"/>
      <c r="AJ169" s="827"/>
      <c r="AK169" s="243"/>
      <c r="AL169" s="827"/>
      <c r="AM169" s="827"/>
      <c r="AN169" s="827"/>
      <c r="AO169" s="827"/>
      <c r="AP169" s="827"/>
      <c r="AQ169" s="68"/>
      <c r="AR169" s="68"/>
      <c r="AS169" s="68"/>
      <c r="AT169" s="68"/>
      <c r="AU169" s="841"/>
      <c r="AV169" s="855"/>
    </row>
    <row r="170" ht="27.75" hidden="1" customHeight="1">
      <c r="A170" s="58">
        <f t="shared" si="6"/>
        <v>26</v>
      </c>
      <c r="B170" s="62" t="s">
        <v>1159</v>
      </c>
      <c r="C170" s="67">
        <v>26.1</v>
      </c>
      <c r="D170" s="67" t="s">
        <v>249</v>
      </c>
      <c r="E170" s="67" t="s">
        <v>1160</v>
      </c>
      <c r="F170" s="147"/>
      <c r="G170" s="79" t="s">
        <v>84</v>
      </c>
      <c r="H170" s="82" t="b">
        <v>0</v>
      </c>
      <c r="I170" s="148"/>
      <c r="J170" s="82" t="b">
        <v>0</v>
      </c>
      <c r="K170" s="1422"/>
      <c r="L170" s="151"/>
      <c r="M170" s="1423"/>
      <c r="N170" s="151"/>
      <c r="O170" s="147"/>
      <c r="P170" s="1334">
        <v>46036.0</v>
      </c>
      <c r="Q170" s="155"/>
      <c r="R170" s="156">
        <v>46400.0</v>
      </c>
      <c r="S170" s="1244"/>
      <c r="T170" s="147"/>
      <c r="U170" s="73">
        <f t="shared" si="8"/>
        <v>1</v>
      </c>
      <c r="V170" s="161">
        <v>4.0</v>
      </c>
      <c r="W170" s="328">
        <v>46234.0</v>
      </c>
      <c r="X170" s="296" t="b">
        <v>1</v>
      </c>
      <c r="Y170" s="328">
        <v>46377.0</v>
      </c>
      <c r="Z170" s="1341" t="b">
        <v>0</v>
      </c>
      <c r="AA170" s="330">
        <v>46559.0</v>
      </c>
      <c r="AB170" s="1341" t="b">
        <v>0</v>
      </c>
      <c r="AC170" s="330">
        <v>46741.0</v>
      </c>
      <c r="AD170" s="68" t="b">
        <v>0</v>
      </c>
      <c r="AE170" s="256"/>
      <c r="AF170" s="256"/>
      <c r="AG170" s="256"/>
      <c r="AH170" s="256"/>
      <c r="AI170" s="256"/>
      <c r="AJ170" s="256"/>
      <c r="AK170" s="256"/>
      <c r="AL170" s="256"/>
      <c r="AM170" s="256"/>
      <c r="AN170" s="256"/>
      <c r="AO170" s="256"/>
      <c r="AP170" s="256"/>
      <c r="AQ170" s="147"/>
      <c r="AR170" s="147"/>
      <c r="AS170" s="147"/>
      <c r="AT170" s="147"/>
      <c r="AU170" s="147"/>
      <c r="AV170" s="792"/>
    </row>
    <row r="171" ht="27.75" hidden="1" customHeight="1">
      <c r="A171" s="58">
        <f t="shared" si="6"/>
        <v>26</v>
      </c>
      <c r="B171" s="62" t="s">
        <v>1161</v>
      </c>
      <c r="C171" s="67">
        <v>7.14</v>
      </c>
      <c r="D171" s="67" t="s">
        <v>295</v>
      </c>
      <c r="E171" s="67" t="s">
        <v>430</v>
      </c>
      <c r="F171" s="147"/>
      <c r="G171" s="79" t="s">
        <v>84</v>
      </c>
      <c r="H171" s="82" t="b">
        <v>0</v>
      </c>
      <c r="I171" s="1456"/>
      <c r="J171" s="82" t="b">
        <v>0</v>
      </c>
      <c r="K171" s="1422"/>
      <c r="L171" s="151"/>
      <c r="M171" s="1423"/>
      <c r="N171" s="151"/>
      <c r="O171" s="186"/>
      <c r="P171" s="1334">
        <v>46213.0</v>
      </c>
      <c r="Q171" s="155"/>
      <c r="R171" s="156">
        <v>46943.0</v>
      </c>
      <c r="S171" s="1244"/>
      <c r="T171" s="147"/>
      <c r="U171" s="73">
        <f t="shared" si="8"/>
        <v>0</v>
      </c>
      <c r="V171" s="161">
        <v>4.0</v>
      </c>
      <c r="W171" s="328">
        <v>46366.0</v>
      </c>
      <c r="X171" s="296" t="b">
        <v>0</v>
      </c>
      <c r="Y171" s="328">
        <v>46548.0</v>
      </c>
      <c r="Z171" s="1341" t="b">
        <v>0</v>
      </c>
      <c r="AA171" s="330">
        <v>46731.0</v>
      </c>
      <c r="AB171" s="1341" t="b">
        <v>0</v>
      </c>
      <c r="AC171" s="330">
        <v>46914.0</v>
      </c>
      <c r="AD171" s="68" t="b">
        <v>0</v>
      </c>
      <c r="AE171" s="256"/>
      <c r="AF171" s="256"/>
      <c r="AG171" s="256"/>
      <c r="AH171" s="256"/>
      <c r="AI171" s="256"/>
      <c r="AJ171" s="256"/>
      <c r="AK171" s="256"/>
      <c r="AL171" s="256"/>
      <c r="AM171" s="256"/>
      <c r="AN171" s="256"/>
      <c r="AO171" s="256"/>
      <c r="AP171" s="256"/>
      <c r="AQ171" s="147"/>
      <c r="AR171" s="147"/>
      <c r="AS171" s="147"/>
      <c r="AT171" s="147"/>
      <c r="AU171" s="147"/>
      <c r="AV171" s="792"/>
    </row>
    <row r="172" ht="27.75" hidden="1" customHeight="1">
      <c r="A172" s="58">
        <f t="shared" si="6"/>
        <v>26</v>
      </c>
      <c r="B172" s="177" t="s">
        <v>622</v>
      </c>
      <c r="C172" s="385">
        <v>15.0</v>
      </c>
      <c r="D172" s="385" t="s">
        <v>498</v>
      </c>
      <c r="E172" s="387"/>
      <c r="F172" s="391"/>
      <c r="G172" s="79" t="s">
        <v>243</v>
      </c>
      <c r="H172" s="82" t="b">
        <v>0</v>
      </c>
      <c r="I172" s="1395"/>
      <c r="J172" s="82" t="b">
        <v>0</v>
      </c>
      <c r="K172" s="1396"/>
      <c r="L172" s="565" t="s">
        <v>622</v>
      </c>
      <c r="M172" s="1459"/>
      <c r="N172" s="423" t="s">
        <v>1162</v>
      </c>
      <c r="O172" s="1245"/>
      <c r="P172" s="1087"/>
      <c r="Q172" s="404"/>
      <c r="R172" s="102">
        <v>46189.0</v>
      </c>
      <c r="S172" s="1208">
        <v>45824.0</v>
      </c>
      <c r="T172" s="1460" t="s">
        <v>1163</v>
      </c>
      <c r="U172" s="73">
        <f t="shared" si="8"/>
        <v>3</v>
      </c>
      <c r="V172" s="75">
        <v>4.0</v>
      </c>
      <c r="W172" s="114">
        <v>45705.0</v>
      </c>
      <c r="X172" s="68" t="b">
        <v>1</v>
      </c>
      <c r="Y172" s="114">
        <v>45824.0</v>
      </c>
      <c r="Z172" s="79" t="b">
        <v>1</v>
      </c>
      <c r="AA172" s="343">
        <v>46189.0</v>
      </c>
      <c r="AB172" s="79" t="b">
        <v>1</v>
      </c>
      <c r="AC172" s="182">
        <v>46189.0</v>
      </c>
      <c r="AD172" s="137" t="b">
        <v>0</v>
      </c>
      <c r="AE172" s="1068"/>
      <c r="AF172" s="1349"/>
      <c r="AG172" s="1068"/>
      <c r="AH172" s="1349"/>
      <c r="AI172" s="1068"/>
      <c r="AJ172" s="1349"/>
      <c r="AK172" s="1068"/>
      <c r="AL172" s="1349"/>
      <c r="AM172" s="422"/>
      <c r="AN172" s="422"/>
      <c r="AO172" s="422"/>
      <c r="AP172" s="422"/>
      <c r="AQ172" s="79"/>
      <c r="AR172" s="79"/>
      <c r="AS172" s="79"/>
      <c r="AT172" s="79"/>
      <c r="AU172" s="396" t="s">
        <v>628</v>
      </c>
      <c r="AV172" s="792"/>
    </row>
    <row r="173" ht="27.75" hidden="1" customHeight="1">
      <c r="A173" s="58">
        <f t="shared" si="6"/>
        <v>26</v>
      </c>
      <c r="B173" s="201" t="s">
        <v>567</v>
      </c>
      <c r="C173" s="67">
        <v>6.75</v>
      </c>
      <c r="D173" s="67" t="s">
        <v>828</v>
      </c>
      <c r="E173" s="1234"/>
      <c r="F173" s="1234"/>
      <c r="G173" s="79" t="s">
        <v>84</v>
      </c>
      <c r="H173" s="82" t="b">
        <v>0</v>
      </c>
      <c r="I173" s="85"/>
      <c r="J173" s="82" t="b">
        <v>1</v>
      </c>
      <c r="K173" s="89"/>
      <c r="L173" s="62" t="s">
        <v>829</v>
      </c>
      <c r="M173" s="1461"/>
      <c r="N173" s="94"/>
      <c r="O173" s="1358"/>
      <c r="P173" s="1087"/>
      <c r="Q173" s="1462">
        <v>45607.0</v>
      </c>
      <c r="R173" s="1463">
        <v>46337.0</v>
      </c>
      <c r="S173" s="1208">
        <v>46139.0</v>
      </c>
      <c r="T173" s="1464" t="s">
        <v>805</v>
      </c>
      <c r="U173" s="73">
        <f t="shared" si="8"/>
        <v>6</v>
      </c>
      <c r="V173" s="75">
        <v>6.0</v>
      </c>
      <c r="W173" s="114">
        <v>44880.0</v>
      </c>
      <c r="X173" s="68" t="b">
        <v>1</v>
      </c>
      <c r="Y173" s="114">
        <v>45216.0</v>
      </c>
      <c r="Z173" s="79" t="b">
        <v>1</v>
      </c>
      <c r="AA173" s="182">
        <v>45607.0</v>
      </c>
      <c r="AB173" s="79" t="b">
        <v>1</v>
      </c>
      <c r="AC173" s="182">
        <v>45775.0</v>
      </c>
      <c r="AD173" s="68" t="b">
        <v>1</v>
      </c>
      <c r="AE173" s="182">
        <v>45957.0</v>
      </c>
      <c r="AF173" s="79" t="b">
        <v>1</v>
      </c>
      <c r="AG173" s="182">
        <v>46139.0</v>
      </c>
      <c r="AH173" s="79" t="b">
        <v>1</v>
      </c>
      <c r="AI173" s="182"/>
      <c r="AJ173" s="79"/>
      <c r="AK173" s="182"/>
      <c r="AL173" s="79"/>
      <c r="AM173" s="422"/>
      <c r="AN173" s="422"/>
      <c r="AO173" s="422"/>
      <c r="AP173" s="422"/>
      <c r="AQ173" s="79"/>
      <c r="AR173" s="79"/>
      <c r="AS173" s="79"/>
      <c r="AT173" s="79"/>
      <c r="AU173" s="891"/>
      <c r="AV173" s="792"/>
    </row>
    <row r="174" ht="27.75" hidden="1" customHeight="1">
      <c r="A174" s="58">
        <f t="shared" si="6"/>
        <v>26</v>
      </c>
      <c r="B174" s="62" t="s">
        <v>632</v>
      </c>
      <c r="C174" s="67"/>
      <c r="D174" s="67" t="s">
        <v>834</v>
      </c>
      <c r="E174" s="67"/>
      <c r="F174" s="67"/>
      <c r="G174" s="79" t="s">
        <v>243</v>
      </c>
      <c r="H174" s="82" t="b">
        <v>0</v>
      </c>
      <c r="I174" s="85"/>
      <c r="J174" s="82" t="b">
        <v>0</v>
      </c>
      <c r="K174" s="89"/>
      <c r="L174" s="62" t="s">
        <v>835</v>
      </c>
      <c r="M174" s="1367">
        <v>8.05539255E8</v>
      </c>
      <c r="N174" s="333" t="s">
        <v>836</v>
      </c>
      <c r="O174" s="1358"/>
      <c r="P174" s="1087"/>
      <c r="Q174" s="100"/>
      <c r="R174" s="102">
        <v>45600.0</v>
      </c>
      <c r="S174" s="631">
        <v>45918.0</v>
      </c>
      <c r="T174" s="1208"/>
      <c r="U174" s="73">
        <f t="shared" si="8"/>
        <v>5</v>
      </c>
      <c r="V174" s="75">
        <v>6.0</v>
      </c>
      <c r="W174" s="114">
        <v>45069.0</v>
      </c>
      <c r="X174" s="68" t="b">
        <v>1</v>
      </c>
      <c r="Y174" s="114">
        <v>45244.0</v>
      </c>
      <c r="Z174" s="79" t="b">
        <v>1</v>
      </c>
      <c r="AA174" s="343">
        <v>45706.0</v>
      </c>
      <c r="AB174" s="79" t="b">
        <v>1</v>
      </c>
      <c r="AC174" s="182">
        <v>45918.0</v>
      </c>
      <c r="AD174" s="68" t="b">
        <v>1</v>
      </c>
      <c r="AE174" s="182">
        <v>46252.0</v>
      </c>
      <c r="AF174" s="79" t="b">
        <v>1</v>
      </c>
      <c r="AG174" s="182">
        <v>46493.0</v>
      </c>
      <c r="AH174" s="79" t="b">
        <v>0</v>
      </c>
      <c r="AI174" s="182"/>
      <c r="AJ174" s="79"/>
      <c r="AK174" s="182"/>
      <c r="AL174" s="79"/>
      <c r="AM174" s="422"/>
      <c r="AN174" s="422"/>
      <c r="AO174" s="422"/>
      <c r="AP174" s="422"/>
      <c r="AQ174" s="79"/>
      <c r="AR174" s="79"/>
      <c r="AS174" s="79"/>
      <c r="AT174" s="79"/>
      <c r="AU174" s="62" t="s">
        <v>636</v>
      </c>
      <c r="AV174" s="792"/>
    </row>
    <row r="175" ht="27.75" hidden="1" customHeight="1">
      <c r="A175" s="345">
        <f t="shared" si="6"/>
        <v>26</v>
      </c>
      <c r="B175" s="452" t="s">
        <v>637</v>
      </c>
      <c r="C175" s="67">
        <v>12.6</v>
      </c>
      <c r="D175" s="67" t="s">
        <v>217</v>
      </c>
      <c r="E175" s="67" t="s">
        <v>840</v>
      </c>
      <c r="F175" s="1234"/>
      <c r="G175" s="79" t="s">
        <v>84</v>
      </c>
      <c r="H175" s="82" t="b">
        <v>1</v>
      </c>
      <c r="I175" s="459">
        <v>45663.0</v>
      </c>
      <c r="J175" s="82" t="b">
        <v>1</v>
      </c>
      <c r="K175" s="1238"/>
      <c r="L175" s="891"/>
      <c r="M175" s="1367" t="s">
        <v>320</v>
      </c>
      <c r="N175" s="1465" t="s">
        <v>1165</v>
      </c>
      <c r="O175" s="1358"/>
      <c r="P175" s="1087"/>
      <c r="Q175" s="100"/>
      <c r="R175" s="102">
        <v>45627.0</v>
      </c>
      <c r="S175" s="631">
        <v>46149.0</v>
      </c>
      <c r="T175" s="1464" t="s">
        <v>743</v>
      </c>
      <c r="U175" s="73">
        <f t="shared" si="8"/>
        <v>9</v>
      </c>
      <c r="V175" s="75">
        <v>10.0</v>
      </c>
      <c r="W175" s="114">
        <v>44603.0</v>
      </c>
      <c r="X175" s="68" t="b">
        <v>1</v>
      </c>
      <c r="Y175" s="114">
        <v>44677.0</v>
      </c>
      <c r="Z175" s="79" t="b">
        <v>1</v>
      </c>
      <c r="AA175" s="343">
        <v>45042.0</v>
      </c>
      <c r="AB175" s="79" t="b">
        <v>1</v>
      </c>
      <c r="AC175" s="182">
        <v>45266.0</v>
      </c>
      <c r="AD175" s="68" t="b">
        <v>1</v>
      </c>
      <c r="AE175" s="504">
        <v>45422.0</v>
      </c>
      <c r="AF175" s="661" t="b">
        <v>1</v>
      </c>
      <c r="AG175" s="504">
        <v>45607.0</v>
      </c>
      <c r="AH175" s="661" t="b">
        <v>1</v>
      </c>
      <c r="AI175" s="504">
        <v>45798.0</v>
      </c>
      <c r="AJ175" s="838" t="b">
        <v>1</v>
      </c>
      <c r="AK175" s="504">
        <v>45958.0</v>
      </c>
      <c r="AL175" s="838" t="b">
        <v>1</v>
      </c>
      <c r="AM175" s="182">
        <v>46149.0</v>
      </c>
      <c r="AN175" s="471" t="b">
        <v>1</v>
      </c>
      <c r="AO175" s="182">
        <v>46329.0</v>
      </c>
      <c r="AP175" s="471" t="b">
        <v>0</v>
      </c>
      <c r="AQ175" s="79"/>
      <c r="AR175" s="79"/>
      <c r="AS175" s="79"/>
      <c r="AT175" s="79"/>
      <c r="AU175" s="891"/>
      <c r="AV175" s="792"/>
    </row>
    <row r="176" ht="27.75" hidden="1" customHeight="1">
      <c r="A176" s="58">
        <f t="shared" si="6"/>
        <v>26</v>
      </c>
      <c r="B176" s="62" t="s">
        <v>1166</v>
      </c>
      <c r="C176" s="129">
        <v>22.08</v>
      </c>
      <c r="D176" s="129" t="s">
        <v>101</v>
      </c>
      <c r="E176" s="129" t="s">
        <v>845</v>
      </c>
      <c r="F176" s="147"/>
      <c r="G176" s="79" t="s">
        <v>84</v>
      </c>
      <c r="H176" s="82" t="b">
        <v>0</v>
      </c>
      <c r="I176" s="148"/>
      <c r="J176" s="82" t="b">
        <v>0</v>
      </c>
      <c r="K176" s="149"/>
      <c r="L176" s="186" t="s">
        <v>1167</v>
      </c>
      <c r="M176" s="1423"/>
      <c r="N176" s="151"/>
      <c r="O176" s="147"/>
      <c r="P176" s="1334">
        <v>46137.0</v>
      </c>
      <c r="Q176" s="155"/>
      <c r="R176" s="156">
        <v>46867.0</v>
      </c>
      <c r="S176" s="192"/>
      <c r="T176" s="160"/>
      <c r="U176" s="73">
        <f t="shared" si="8"/>
        <v>1</v>
      </c>
      <c r="V176" s="161">
        <v>4.0</v>
      </c>
      <c r="W176" s="330">
        <v>46252.0</v>
      </c>
      <c r="X176" s="259" t="b">
        <v>1</v>
      </c>
      <c r="Y176" s="330">
        <v>46419.0</v>
      </c>
      <c r="Z176" s="967" t="b">
        <v>0</v>
      </c>
      <c r="AA176" s="330">
        <v>46601.0</v>
      </c>
      <c r="AB176" s="967" t="b">
        <v>0</v>
      </c>
      <c r="AC176" s="330">
        <v>46790.0</v>
      </c>
      <c r="AD176" s="296" t="b">
        <v>0</v>
      </c>
      <c r="AE176" s="256"/>
      <c r="AF176" s="256"/>
      <c r="AG176" s="256"/>
      <c r="AH176" s="256"/>
      <c r="AI176" s="256"/>
      <c r="AJ176" s="256"/>
      <c r="AK176" s="256"/>
      <c r="AL176" s="256"/>
      <c r="AM176" s="256"/>
      <c r="AN176" s="256"/>
      <c r="AO176" s="256"/>
      <c r="AP176" s="256"/>
      <c r="AQ176" s="147"/>
      <c r="AR176" s="147"/>
      <c r="AS176" s="147"/>
      <c r="AT176" s="147"/>
      <c r="AU176" s="147"/>
      <c r="AV176" s="792"/>
    </row>
    <row r="177" ht="27.75" hidden="1" customHeight="1">
      <c r="A177" s="58">
        <f t="shared" si="6"/>
        <v>26</v>
      </c>
      <c r="B177" s="72" t="s">
        <v>639</v>
      </c>
      <c r="C177" s="639">
        <v>30.72</v>
      </c>
      <c r="D177" s="639" t="s">
        <v>1168</v>
      </c>
      <c r="E177" s="639" t="s">
        <v>845</v>
      </c>
      <c r="F177" s="391"/>
      <c r="G177" s="79" t="s">
        <v>243</v>
      </c>
      <c r="H177" s="82" t="b">
        <v>0</v>
      </c>
      <c r="I177" s="561"/>
      <c r="J177" s="82" t="b">
        <v>0</v>
      </c>
      <c r="K177" s="562"/>
      <c r="L177" s="356"/>
      <c r="M177" s="1466"/>
      <c r="N177" s="94"/>
      <c r="O177" s="1245"/>
      <c r="P177" s="1347"/>
      <c r="Q177" s="404"/>
      <c r="R177" s="406">
        <v>46601.0</v>
      </c>
      <c r="S177" s="463">
        <v>46044.0</v>
      </c>
      <c r="T177" s="498"/>
      <c r="U177" s="73">
        <f t="shared" si="8"/>
        <v>2</v>
      </c>
      <c r="V177" s="75">
        <v>4.0</v>
      </c>
      <c r="W177" s="1070">
        <v>46044.0</v>
      </c>
      <c r="X177" s="259" t="b">
        <v>1</v>
      </c>
      <c r="Y177" s="1070">
        <v>46252.0</v>
      </c>
      <c r="Z177" s="259" t="b">
        <v>1</v>
      </c>
      <c r="AA177" s="438">
        <v>46419.0</v>
      </c>
      <c r="AB177" s="259" t="b">
        <v>0</v>
      </c>
      <c r="AC177" s="182">
        <v>46601.0</v>
      </c>
      <c r="AD177" s="137" t="b">
        <v>0</v>
      </c>
      <c r="AE177" s="1068"/>
      <c r="AF177" s="1349"/>
      <c r="AG177" s="1068"/>
      <c r="AH177" s="1349"/>
      <c r="AI177" s="1068"/>
      <c r="AJ177" s="1349"/>
      <c r="AK177" s="1068"/>
      <c r="AL177" s="1349"/>
      <c r="AM177" s="1349"/>
      <c r="AN177" s="1349"/>
      <c r="AO177" s="1349"/>
      <c r="AP177" s="1349"/>
      <c r="AQ177" s="741"/>
      <c r="AR177" s="741"/>
      <c r="AS177" s="741"/>
      <c r="AT177" s="741"/>
      <c r="AU177" s="391"/>
      <c r="AV177" s="792"/>
    </row>
    <row r="178" ht="27.75" hidden="1" customHeight="1">
      <c r="A178" s="58">
        <f t="shared" si="6"/>
        <v>26</v>
      </c>
      <c r="B178" s="72" t="s">
        <v>878</v>
      </c>
      <c r="C178" s="639">
        <v>11.52</v>
      </c>
      <c r="D178" s="639" t="s">
        <v>1168</v>
      </c>
      <c r="E178" s="639" t="s">
        <v>845</v>
      </c>
      <c r="F178" s="391"/>
      <c r="G178" s="79" t="s">
        <v>243</v>
      </c>
      <c r="H178" s="82" t="b">
        <v>0</v>
      </c>
      <c r="I178" s="148"/>
      <c r="J178" s="82" t="b">
        <v>0</v>
      </c>
      <c r="K178" s="149"/>
      <c r="L178" s="186" t="s">
        <v>1169</v>
      </c>
      <c r="M178" s="147"/>
      <c r="N178" s="147"/>
      <c r="O178" s="147"/>
      <c r="P178" s="1334"/>
      <c r="Q178" s="155"/>
      <c r="R178" s="156">
        <v>46419.0</v>
      </c>
      <c r="S178" s="1467">
        <v>46044.0</v>
      </c>
      <c r="T178" s="160"/>
      <c r="U178" s="73">
        <f t="shared" si="8"/>
        <v>3</v>
      </c>
      <c r="V178" s="161">
        <v>4.0</v>
      </c>
      <c r="W178" s="330">
        <v>45873.0</v>
      </c>
      <c r="X178" s="967" t="b">
        <v>1</v>
      </c>
      <c r="Y178" s="330">
        <v>46044.0</v>
      </c>
      <c r="Z178" s="967" t="b">
        <v>1</v>
      </c>
      <c r="AA178" s="330">
        <v>46261.0</v>
      </c>
      <c r="AB178" s="259" t="b">
        <v>1</v>
      </c>
      <c r="AC178" s="330">
        <v>46419.0</v>
      </c>
      <c r="AD178" s="693" t="b">
        <v>0</v>
      </c>
      <c r="AE178" s="256"/>
      <c r="AF178" s="256"/>
      <c r="AG178" s="256"/>
      <c r="AH178" s="256"/>
      <c r="AI178" s="256"/>
      <c r="AJ178" s="256"/>
      <c r="AK178" s="256"/>
      <c r="AL178" s="256"/>
      <c r="AM178" s="256"/>
      <c r="AN178" s="256"/>
      <c r="AO178" s="256"/>
      <c r="AP178" s="256"/>
      <c r="AQ178" s="147"/>
      <c r="AR178" s="147"/>
      <c r="AS178" s="147"/>
      <c r="AT178" s="147"/>
      <c r="AU178" s="147"/>
      <c r="AV178" s="792"/>
    </row>
    <row r="179" ht="27.75" hidden="1" customHeight="1">
      <c r="A179" s="58">
        <f t="shared" si="6"/>
        <v>26</v>
      </c>
      <c r="B179" s="177" t="s">
        <v>907</v>
      </c>
      <c r="C179" s="639">
        <v>25.0</v>
      </c>
      <c r="D179" s="639" t="s">
        <v>1168</v>
      </c>
      <c r="E179" s="639" t="s">
        <v>845</v>
      </c>
      <c r="F179" s="391"/>
      <c r="G179" s="79" t="s">
        <v>243</v>
      </c>
      <c r="H179" s="82" t="b">
        <v>0</v>
      </c>
      <c r="I179" s="393"/>
      <c r="J179" s="82" t="b">
        <v>0</v>
      </c>
      <c r="K179" s="395"/>
      <c r="L179" s="396" t="s">
        <v>1170</v>
      </c>
      <c r="M179" s="1468" t="s">
        <v>1171</v>
      </c>
      <c r="N179" s="1469"/>
      <c r="O179" s="391"/>
      <c r="P179" s="1347">
        <v>45778.0</v>
      </c>
      <c r="Q179" s="404"/>
      <c r="R179" s="406">
        <v>46507.0</v>
      </c>
      <c r="S179" s="1343">
        <v>46044.0</v>
      </c>
      <c r="T179" s="498"/>
      <c r="U179" s="73">
        <f t="shared" si="8"/>
        <v>2</v>
      </c>
      <c r="V179" s="75">
        <v>4.0</v>
      </c>
      <c r="W179" s="1070">
        <v>45873.0</v>
      </c>
      <c r="X179" s="259" t="b">
        <v>1</v>
      </c>
      <c r="Y179" s="1070">
        <v>46044.0</v>
      </c>
      <c r="Z179" s="259" t="b">
        <v>1</v>
      </c>
      <c r="AA179" s="1070">
        <v>46237.0</v>
      </c>
      <c r="AB179" s="1067" t="b">
        <v>0</v>
      </c>
      <c r="AC179" s="438">
        <v>46419.0</v>
      </c>
      <c r="AD179" s="1471" t="b">
        <v>0</v>
      </c>
      <c r="AE179" s="1068"/>
      <c r="AF179" s="1349"/>
      <c r="AG179" s="1068"/>
      <c r="AH179" s="1349"/>
      <c r="AI179" s="1068"/>
      <c r="AJ179" s="1349"/>
      <c r="AK179" s="1068"/>
      <c r="AL179" s="1349"/>
      <c r="AM179" s="1349"/>
      <c r="AN179" s="1349"/>
      <c r="AO179" s="1349"/>
      <c r="AP179" s="1349"/>
      <c r="AQ179" s="741"/>
      <c r="AR179" s="741"/>
      <c r="AS179" s="741"/>
      <c r="AT179" s="741"/>
      <c r="AU179" s="391"/>
      <c r="AV179" s="792"/>
    </row>
    <row r="180" ht="27.75" customHeight="1">
      <c r="A180" s="58">
        <f t="shared" si="6"/>
        <v>27</v>
      </c>
      <c r="B180" s="170" t="s">
        <v>646</v>
      </c>
      <c r="C180" s="129">
        <v>11.52</v>
      </c>
      <c r="D180" s="129" t="s">
        <v>844</v>
      </c>
      <c r="E180" s="129" t="s">
        <v>845</v>
      </c>
      <c r="F180" s="67"/>
      <c r="G180" s="79" t="s">
        <v>105</v>
      </c>
      <c r="H180" s="82" t="b">
        <v>0</v>
      </c>
      <c r="I180" s="85"/>
      <c r="J180" s="82" t="b">
        <v>0</v>
      </c>
      <c r="K180" s="89"/>
      <c r="L180" s="62" t="s">
        <v>1172</v>
      </c>
      <c r="M180" s="1472" t="s">
        <v>1173</v>
      </c>
      <c r="N180" s="511"/>
      <c r="O180" s="1358"/>
      <c r="P180" s="1087"/>
      <c r="Q180" s="100"/>
      <c r="R180" s="102">
        <v>46044.0</v>
      </c>
      <c r="S180" s="1208">
        <v>45873.0</v>
      </c>
      <c r="T180" s="105"/>
      <c r="U180" s="73">
        <f t="shared" si="8"/>
        <v>4</v>
      </c>
      <c r="V180" s="75">
        <v>4.0</v>
      </c>
      <c r="W180" s="343">
        <v>45301.0</v>
      </c>
      <c r="X180" s="259" t="b">
        <v>1</v>
      </c>
      <c r="Y180" s="343">
        <v>45485.0</v>
      </c>
      <c r="Z180" s="259" t="b">
        <v>1</v>
      </c>
      <c r="AA180" s="343">
        <v>45873.0</v>
      </c>
      <c r="AB180" s="259" t="b">
        <v>1</v>
      </c>
      <c r="AC180" s="182">
        <v>46044.0</v>
      </c>
      <c r="AD180" s="693" t="b">
        <v>1</v>
      </c>
      <c r="AE180" s="182"/>
      <c r="AF180" s="79"/>
      <c r="AG180" s="182"/>
      <c r="AH180" s="79"/>
      <c r="AI180" s="182"/>
      <c r="AJ180" s="79"/>
      <c r="AK180" s="182"/>
      <c r="AL180" s="79"/>
      <c r="AM180" s="422"/>
      <c r="AN180" s="422"/>
      <c r="AO180" s="422"/>
      <c r="AP180" s="422"/>
      <c r="AQ180" s="79"/>
      <c r="AR180" s="79"/>
      <c r="AS180" s="79"/>
      <c r="AT180" s="79"/>
      <c r="AU180" s="62"/>
      <c r="AV180" s="792"/>
    </row>
    <row r="181" ht="27.75" hidden="1" customHeight="1">
      <c r="A181" s="58">
        <f t="shared" si="6"/>
        <v>27</v>
      </c>
      <c r="B181" s="293" t="s">
        <v>651</v>
      </c>
      <c r="C181" s="67">
        <v>24.96</v>
      </c>
      <c r="D181" s="67" t="s">
        <v>498</v>
      </c>
      <c r="E181" s="67" t="s">
        <v>845</v>
      </c>
      <c r="F181" s="67"/>
      <c r="G181" s="79" t="s">
        <v>243</v>
      </c>
      <c r="H181" s="82" t="b">
        <v>0</v>
      </c>
      <c r="I181" s="85"/>
      <c r="J181" s="82" t="b">
        <v>0</v>
      </c>
      <c r="K181" s="89"/>
      <c r="L181" s="62" t="s">
        <v>850</v>
      </c>
      <c r="M181" s="62"/>
      <c r="N181" s="1474" t="s">
        <v>851</v>
      </c>
      <c r="O181" s="1358"/>
      <c r="P181" s="1087"/>
      <c r="Q181" s="100"/>
      <c r="R181" s="102">
        <v>45976.0</v>
      </c>
      <c r="S181" s="631">
        <v>45971.0</v>
      </c>
      <c r="T181" s="1460" t="s">
        <v>1174</v>
      </c>
      <c r="U181" s="73">
        <f t="shared" si="8"/>
        <v>5</v>
      </c>
      <c r="V181" s="75">
        <v>6.0</v>
      </c>
      <c r="W181" s="343">
        <v>45520.0</v>
      </c>
      <c r="X181" s="79" t="b">
        <v>1</v>
      </c>
      <c r="Y181" s="182">
        <v>45633.0</v>
      </c>
      <c r="Z181" s="79" t="b">
        <v>1</v>
      </c>
      <c r="AA181" s="343">
        <v>45824.0</v>
      </c>
      <c r="AB181" s="79" t="b">
        <v>1</v>
      </c>
      <c r="AC181" s="182">
        <v>45971.0</v>
      </c>
      <c r="AD181" s="471" t="b">
        <v>1</v>
      </c>
      <c r="AE181" s="343">
        <v>46183.0</v>
      </c>
      <c r="AF181" s="471" t="b">
        <v>1</v>
      </c>
      <c r="AG181" s="182">
        <v>46360.0</v>
      </c>
      <c r="AH181" s="471" t="b">
        <v>0</v>
      </c>
      <c r="AI181" s="182"/>
      <c r="AJ181" s="471" t="b">
        <v>0</v>
      </c>
      <c r="AK181" s="182"/>
      <c r="AL181" s="471" t="b">
        <v>0</v>
      </c>
      <c r="AM181" s="422"/>
      <c r="AN181" s="422"/>
      <c r="AO181" s="422"/>
      <c r="AP181" s="422"/>
      <c r="AQ181" s="79"/>
      <c r="AR181" s="79"/>
      <c r="AS181" s="79"/>
      <c r="AT181" s="79"/>
      <c r="AU181" s="62" t="s">
        <v>658</v>
      </c>
      <c r="AV181" s="792"/>
    </row>
    <row r="182" ht="27.75" customHeight="1">
      <c r="A182" s="58">
        <f t="shared" si="6"/>
        <v>28</v>
      </c>
      <c r="B182" s="62" t="s">
        <v>659</v>
      </c>
      <c r="C182" s="67">
        <v>24.96</v>
      </c>
      <c r="D182" s="67" t="s">
        <v>498</v>
      </c>
      <c r="E182" s="67" t="s">
        <v>845</v>
      </c>
      <c r="F182" s="67"/>
      <c r="G182" s="79" t="s">
        <v>105</v>
      </c>
      <c r="H182" s="82" t="b">
        <v>0</v>
      </c>
      <c r="I182" s="85"/>
      <c r="J182" s="82" t="b">
        <v>0</v>
      </c>
      <c r="K182" s="89"/>
      <c r="L182" s="62"/>
      <c r="M182" s="1472" t="s">
        <v>855</v>
      </c>
      <c r="N182" s="511" t="s">
        <v>856</v>
      </c>
      <c r="O182" s="1475"/>
      <c r="P182" s="1087"/>
      <c r="Q182" s="100"/>
      <c r="R182" s="102">
        <v>46178.0</v>
      </c>
      <c r="S182" s="631">
        <v>46183.0</v>
      </c>
      <c r="T182" s="175" t="s">
        <v>1174</v>
      </c>
      <c r="U182" s="73">
        <f t="shared" si="8"/>
        <v>4</v>
      </c>
      <c r="V182" s="75">
        <v>4.0</v>
      </c>
      <c r="W182" s="182">
        <v>45633.0</v>
      </c>
      <c r="X182" s="259" t="b">
        <v>1</v>
      </c>
      <c r="Y182" s="343">
        <v>45824.0</v>
      </c>
      <c r="Z182" s="259" t="b">
        <v>1</v>
      </c>
      <c r="AA182" s="182">
        <v>45971.0</v>
      </c>
      <c r="AB182" s="618" t="b">
        <v>1</v>
      </c>
      <c r="AC182" s="343">
        <v>46183.0</v>
      </c>
      <c r="AD182" s="915" t="b">
        <v>1</v>
      </c>
      <c r="AE182" s="343"/>
      <c r="AF182" s="422"/>
      <c r="AG182" s="343"/>
      <c r="AH182" s="422"/>
      <c r="AI182" s="343"/>
      <c r="AJ182" s="422"/>
      <c r="AK182" s="343"/>
      <c r="AL182" s="422"/>
      <c r="AM182" s="422"/>
      <c r="AN182" s="422"/>
      <c r="AO182" s="422"/>
      <c r="AP182" s="422"/>
      <c r="AQ182" s="79"/>
      <c r="AR182" s="79"/>
      <c r="AS182" s="79"/>
      <c r="AT182" s="79"/>
      <c r="AU182" s="62"/>
      <c r="AV182" s="792"/>
    </row>
    <row r="183" ht="27.75" hidden="1" customHeight="1">
      <c r="A183" s="58">
        <f t="shared" si="6"/>
        <v>28</v>
      </c>
      <c r="B183" s="465" t="s">
        <v>568</v>
      </c>
      <c r="C183" s="67"/>
      <c r="D183" s="67" t="s">
        <v>858</v>
      </c>
      <c r="E183" s="67"/>
      <c r="F183" s="67"/>
      <c r="G183" s="79" t="s">
        <v>51</v>
      </c>
      <c r="H183" s="82" t="b">
        <v>0</v>
      </c>
      <c r="I183" s="85"/>
      <c r="J183" s="82" t="b">
        <v>0</v>
      </c>
      <c r="K183" s="89"/>
      <c r="L183" s="62" t="s">
        <v>859</v>
      </c>
      <c r="M183" s="1472"/>
      <c r="N183" s="1477" t="s">
        <v>860</v>
      </c>
      <c r="O183" s="1358" t="s">
        <v>861</v>
      </c>
      <c r="P183" s="1087"/>
      <c r="Q183" s="100"/>
      <c r="R183" s="102">
        <v>45902.0</v>
      </c>
      <c r="S183" s="1208"/>
      <c r="T183" s="105"/>
      <c r="U183" s="73">
        <f t="shared" si="8"/>
        <v>0</v>
      </c>
      <c r="V183" s="75">
        <v>4.0</v>
      </c>
      <c r="W183" s="343">
        <v>45355.0</v>
      </c>
      <c r="X183" s="567" t="b">
        <v>0</v>
      </c>
      <c r="Y183" s="343">
        <v>45540.0</v>
      </c>
      <c r="Z183" s="567" t="b">
        <v>0</v>
      </c>
      <c r="AA183" s="343">
        <v>45720.0</v>
      </c>
      <c r="AB183" s="567" t="b">
        <v>0</v>
      </c>
      <c r="AC183" s="182">
        <v>45902.0</v>
      </c>
      <c r="AD183" s="693" t="b">
        <v>0</v>
      </c>
      <c r="AE183" s="182"/>
      <c r="AF183" s="79"/>
      <c r="AG183" s="182"/>
      <c r="AH183" s="79"/>
      <c r="AI183" s="182"/>
      <c r="AJ183" s="79"/>
      <c r="AK183" s="182"/>
      <c r="AL183" s="79"/>
      <c r="AM183" s="422"/>
      <c r="AN183" s="422"/>
      <c r="AO183" s="422"/>
      <c r="AP183" s="422"/>
      <c r="AQ183" s="79"/>
      <c r="AR183" s="79"/>
      <c r="AS183" s="79"/>
      <c r="AT183" s="79"/>
      <c r="AU183" s="62"/>
      <c r="AV183" s="792"/>
    </row>
    <row r="184" ht="27.75" hidden="1" customHeight="1">
      <c r="A184" s="58">
        <f t="shared" si="6"/>
        <v>28</v>
      </c>
      <c r="B184" s="674" t="s">
        <v>667</v>
      </c>
      <c r="C184" s="1478">
        <v>7.56</v>
      </c>
      <c r="D184" s="1478" t="s">
        <v>629</v>
      </c>
      <c r="E184" s="1478" t="s">
        <v>629</v>
      </c>
      <c r="F184" s="1478"/>
      <c r="G184" s="1479" t="s">
        <v>84</v>
      </c>
      <c r="H184" s="82" t="b">
        <v>1</v>
      </c>
      <c r="I184" s="1480">
        <v>46133.0</v>
      </c>
      <c r="J184" s="82" t="b">
        <v>0</v>
      </c>
      <c r="K184" s="1481"/>
      <c r="L184" s="1482" t="s">
        <v>883</v>
      </c>
      <c r="M184" s="1483">
        <v>8.19128486E8</v>
      </c>
      <c r="N184" s="1484" t="s">
        <v>133</v>
      </c>
      <c r="O184" s="1485"/>
      <c r="P184" s="1486"/>
      <c r="Q184" s="1487"/>
      <c r="R184" s="1488"/>
      <c r="S184" s="1489"/>
      <c r="T184" s="1490"/>
      <c r="U184" s="73">
        <f t="shared" si="8"/>
        <v>2</v>
      </c>
      <c r="V184" s="680">
        <v>6.0</v>
      </c>
      <c r="W184" s="1491">
        <v>45454.0</v>
      </c>
      <c r="X184" s="259" t="b">
        <v>1</v>
      </c>
      <c r="Y184" s="1491">
        <v>45637.0</v>
      </c>
      <c r="Z184" s="1492" t="b">
        <v>1</v>
      </c>
      <c r="AA184" s="1491">
        <v>46146.0</v>
      </c>
      <c r="AB184" s="1492" t="b">
        <v>0</v>
      </c>
      <c r="AC184" s="1491">
        <v>46330.0</v>
      </c>
      <c r="AD184" s="1493" t="b">
        <v>0</v>
      </c>
      <c r="AE184" s="343">
        <v>46511.0</v>
      </c>
      <c r="AF184" s="471" t="b">
        <v>0</v>
      </c>
      <c r="AG184" s="182">
        <v>46695.0</v>
      </c>
      <c r="AH184" s="471" t="b">
        <v>0</v>
      </c>
      <c r="AI184" s="1491"/>
      <c r="AJ184" s="1494"/>
      <c r="AK184" s="1491"/>
      <c r="AL184" s="1494"/>
      <c r="AM184" s="422"/>
      <c r="AN184" s="422"/>
      <c r="AO184" s="422"/>
      <c r="AP184" s="422"/>
      <c r="AQ184" s="79"/>
      <c r="AR184" s="79"/>
      <c r="AS184" s="79"/>
      <c r="AT184" s="79"/>
      <c r="AU184" s="1482"/>
      <c r="AV184" s="792"/>
    </row>
    <row r="185" ht="27.75" hidden="1" customHeight="1">
      <c r="A185" s="58">
        <f t="shared" si="6"/>
        <v>28</v>
      </c>
      <c r="B185" s="113" t="s">
        <v>670</v>
      </c>
      <c r="C185" s="67">
        <v>31.68</v>
      </c>
      <c r="D185" s="67" t="s">
        <v>276</v>
      </c>
      <c r="E185" s="67" t="s">
        <v>868</v>
      </c>
      <c r="F185" s="67"/>
      <c r="G185" s="79" t="s">
        <v>84</v>
      </c>
      <c r="H185" s="82" t="b">
        <v>0</v>
      </c>
      <c r="I185" s="85"/>
      <c r="J185" s="82" t="b">
        <v>0</v>
      </c>
      <c r="K185" s="89"/>
      <c r="L185" s="62" t="s">
        <v>1175</v>
      </c>
      <c r="M185" s="1472">
        <v>9.90463787E8</v>
      </c>
      <c r="N185" s="511" t="s">
        <v>1176</v>
      </c>
      <c r="O185" s="1358" t="s">
        <v>1177</v>
      </c>
      <c r="P185" s="1087"/>
      <c r="Q185" s="100"/>
      <c r="R185" s="102">
        <v>46300.0</v>
      </c>
      <c r="S185" s="1208">
        <v>45875.0</v>
      </c>
      <c r="T185" s="711" t="s">
        <v>922</v>
      </c>
      <c r="U185" s="73">
        <f t="shared" si="8"/>
        <v>5</v>
      </c>
      <c r="V185" s="75">
        <v>6.0</v>
      </c>
      <c r="W185" s="343">
        <v>45320.0</v>
      </c>
      <c r="X185" s="259" t="b">
        <v>1</v>
      </c>
      <c r="Y185" s="114">
        <v>45537.0</v>
      </c>
      <c r="Z185" s="79" t="b">
        <v>1</v>
      </c>
      <c r="AA185" s="343">
        <v>45707.0</v>
      </c>
      <c r="AB185" s="79" t="b">
        <v>1</v>
      </c>
      <c r="AC185" s="182">
        <v>45875.0</v>
      </c>
      <c r="AD185" s="68" t="b">
        <v>1</v>
      </c>
      <c r="AE185" s="343">
        <v>46182.0</v>
      </c>
      <c r="AF185" s="471" t="b">
        <v>1</v>
      </c>
      <c r="AG185" s="182">
        <v>46300.0</v>
      </c>
      <c r="AH185" s="471" t="b">
        <v>0</v>
      </c>
      <c r="AI185" s="182"/>
      <c r="AJ185" s="79"/>
      <c r="AK185" s="182"/>
      <c r="AL185" s="79"/>
      <c r="AM185" s="422"/>
      <c r="AN185" s="422"/>
      <c r="AO185" s="422"/>
      <c r="AP185" s="422"/>
      <c r="AQ185" s="79"/>
      <c r="AR185" s="79"/>
      <c r="AS185" s="79"/>
      <c r="AT185" s="79"/>
      <c r="AU185" s="72" t="s">
        <v>1178</v>
      </c>
      <c r="AV185" s="855"/>
    </row>
    <row r="186" ht="27.75" hidden="1" customHeight="1">
      <c r="A186" s="58">
        <f t="shared" si="6"/>
        <v>28</v>
      </c>
      <c r="B186" s="186" t="s">
        <v>1179</v>
      </c>
      <c r="C186" s="188">
        <v>28.8</v>
      </c>
      <c r="D186" s="188" t="s">
        <v>199</v>
      </c>
      <c r="E186" s="147"/>
      <c r="F186" s="147"/>
      <c r="G186" s="79" t="s">
        <v>84</v>
      </c>
      <c r="H186" s="82" t="b">
        <v>0</v>
      </c>
      <c r="I186" s="148"/>
      <c r="J186" s="82" t="b">
        <v>0</v>
      </c>
      <c r="K186" s="149"/>
      <c r="L186" s="147"/>
      <c r="M186" s="147"/>
      <c r="N186" s="147"/>
      <c r="O186" s="147"/>
      <c r="P186" s="1334">
        <v>45940.0</v>
      </c>
      <c r="Q186" s="155"/>
      <c r="R186" s="1495">
        <v>47762.0</v>
      </c>
      <c r="S186" s="1244"/>
      <c r="T186" s="1496" t="s">
        <v>1181</v>
      </c>
      <c r="U186" s="73">
        <f t="shared" si="8"/>
        <v>1</v>
      </c>
      <c r="V186" s="1497">
        <v>10.0</v>
      </c>
      <c r="W186" s="1070">
        <v>46120.0</v>
      </c>
      <c r="X186" s="79" t="b">
        <v>1</v>
      </c>
      <c r="Y186" s="1070">
        <v>46301.0</v>
      </c>
      <c r="Z186" s="197" t="b">
        <v>0</v>
      </c>
      <c r="AA186" s="438">
        <v>46483.0</v>
      </c>
      <c r="AB186" s="1098" t="b">
        <v>0</v>
      </c>
      <c r="AC186" s="1070">
        <v>46666.0</v>
      </c>
      <c r="AD186" s="1471" t="b">
        <v>0</v>
      </c>
      <c r="AE186" s="960">
        <v>46849.0</v>
      </c>
      <c r="AF186" s="1354" t="b">
        <v>0</v>
      </c>
      <c r="AG186" s="960">
        <v>47032.0</v>
      </c>
      <c r="AH186" s="1354" t="b">
        <v>0</v>
      </c>
      <c r="AI186" s="960">
        <v>47214.0</v>
      </c>
      <c r="AJ186" s="1354" t="b">
        <v>0</v>
      </c>
      <c r="AK186" s="960">
        <v>47397.0</v>
      </c>
      <c r="AL186" s="1354" t="b">
        <v>0</v>
      </c>
      <c r="AM186" s="960">
        <v>230200.0</v>
      </c>
      <c r="AN186" s="1354" t="b">
        <v>0</v>
      </c>
      <c r="AO186" s="1498">
        <v>230383.0</v>
      </c>
      <c r="AP186" s="1354" t="b">
        <v>0</v>
      </c>
      <c r="AQ186" s="147"/>
      <c r="AR186" s="147"/>
      <c r="AS186" s="147"/>
      <c r="AT186" s="147"/>
      <c r="AU186" s="147"/>
      <c r="AV186" s="792"/>
    </row>
    <row r="187" ht="27.75" hidden="1" customHeight="1">
      <c r="A187" s="58">
        <f t="shared" si="6"/>
        <v>28</v>
      </c>
      <c r="B187" s="186" t="s">
        <v>1182</v>
      </c>
      <c r="C187" s="188">
        <v>23.5</v>
      </c>
      <c r="D187" s="188" t="s">
        <v>199</v>
      </c>
      <c r="E187" s="147"/>
      <c r="F187" s="147"/>
      <c r="G187" s="79" t="s">
        <v>84</v>
      </c>
      <c r="H187" s="82" t="b">
        <v>0</v>
      </c>
      <c r="I187" s="148"/>
      <c r="J187" s="82" t="b">
        <v>0</v>
      </c>
      <c r="K187" s="149"/>
      <c r="L187" s="147"/>
      <c r="M187" s="147"/>
      <c r="N187" s="147"/>
      <c r="O187" s="147"/>
      <c r="P187" s="1334">
        <v>45940.0</v>
      </c>
      <c r="Q187" s="155"/>
      <c r="R187" s="1495">
        <v>47762.0</v>
      </c>
      <c r="S187" s="1244"/>
      <c r="T187" s="1496" t="s">
        <v>1181</v>
      </c>
      <c r="U187" s="73">
        <f t="shared" si="8"/>
        <v>1</v>
      </c>
      <c r="V187" s="1497">
        <v>10.0</v>
      </c>
      <c r="W187" s="1070">
        <v>46120.0</v>
      </c>
      <c r="X187" s="259" t="b">
        <v>1</v>
      </c>
      <c r="Y187" s="1070">
        <v>46301.0</v>
      </c>
      <c r="Z187" s="1067" t="b">
        <v>0</v>
      </c>
      <c r="AA187" s="438">
        <v>46483.0</v>
      </c>
      <c r="AB187" s="1098" t="b">
        <v>0</v>
      </c>
      <c r="AC187" s="1070">
        <v>46666.0</v>
      </c>
      <c r="AD187" s="1471" t="b">
        <v>0</v>
      </c>
      <c r="AE187" s="960">
        <v>46849.0</v>
      </c>
      <c r="AF187" s="1354" t="b">
        <v>0</v>
      </c>
      <c r="AG187" s="960">
        <v>47032.0</v>
      </c>
      <c r="AH187" s="1354" t="b">
        <v>0</v>
      </c>
      <c r="AI187" s="960">
        <v>47214.0</v>
      </c>
      <c r="AJ187" s="1354" t="b">
        <v>0</v>
      </c>
      <c r="AK187" s="960">
        <v>47397.0</v>
      </c>
      <c r="AL187" s="1354" t="b">
        <v>0</v>
      </c>
      <c r="AM187" s="960">
        <v>230200.0</v>
      </c>
      <c r="AN187" s="1354" t="b">
        <v>0</v>
      </c>
      <c r="AO187" s="1498">
        <v>230383.0</v>
      </c>
      <c r="AP187" s="1354" t="b">
        <v>0</v>
      </c>
      <c r="AQ187" s="147"/>
      <c r="AR187" s="147"/>
      <c r="AS187" s="147"/>
      <c r="AT187" s="147"/>
      <c r="AU187" s="147"/>
      <c r="AV187" s="792"/>
    </row>
    <row r="188" ht="27.75" hidden="1" customHeight="1">
      <c r="A188" s="58">
        <f t="shared" si="6"/>
        <v>28</v>
      </c>
      <c r="B188" s="201" t="s">
        <v>673</v>
      </c>
      <c r="C188" s="67">
        <v>8.1</v>
      </c>
      <c r="D188" s="67" t="s">
        <v>498</v>
      </c>
      <c r="E188" s="67"/>
      <c r="F188" s="67"/>
      <c r="G188" s="79" t="s">
        <v>84</v>
      </c>
      <c r="H188" s="82" t="b">
        <v>1</v>
      </c>
      <c r="I188" s="85">
        <v>46072.0</v>
      </c>
      <c r="J188" s="82" t="b">
        <v>1</v>
      </c>
      <c r="K188" s="89">
        <v>46073.0</v>
      </c>
      <c r="L188" s="891"/>
      <c r="M188" s="1472" t="s">
        <v>1183</v>
      </c>
      <c r="N188" s="511" t="s">
        <v>877</v>
      </c>
      <c r="O188" s="1358"/>
      <c r="P188" s="1087"/>
      <c r="Q188" s="100"/>
      <c r="R188" s="102">
        <v>46442.0</v>
      </c>
      <c r="S188" s="1343">
        <v>46078.0</v>
      </c>
      <c r="T188" s="1460" t="s">
        <v>645</v>
      </c>
      <c r="U188" s="73">
        <f t="shared" si="8"/>
        <v>8</v>
      </c>
      <c r="V188" s="75">
        <v>10.0</v>
      </c>
      <c r="W188" s="343">
        <v>44883.0</v>
      </c>
      <c r="X188" s="79" t="b">
        <v>1</v>
      </c>
      <c r="Y188" s="343">
        <v>44655.0</v>
      </c>
      <c r="Z188" s="79" t="b">
        <v>1</v>
      </c>
      <c r="AA188" s="343">
        <v>44930.0</v>
      </c>
      <c r="AB188" s="79" t="b">
        <v>1</v>
      </c>
      <c r="AC188" s="182">
        <v>45485.0</v>
      </c>
      <c r="AD188" s="79" t="b">
        <v>1</v>
      </c>
      <c r="AE188" s="182">
        <v>45618.0</v>
      </c>
      <c r="AF188" s="79" t="b">
        <v>1</v>
      </c>
      <c r="AG188" s="182">
        <v>45854.0</v>
      </c>
      <c r="AH188" s="79" t="b">
        <v>1</v>
      </c>
      <c r="AI188" s="182">
        <v>46078.0</v>
      </c>
      <c r="AJ188" s="79" t="b">
        <v>1</v>
      </c>
      <c r="AK188" s="182">
        <v>46261.0</v>
      </c>
      <c r="AL188" s="79" t="b">
        <v>1</v>
      </c>
      <c r="AM188" s="422">
        <v>46442.0</v>
      </c>
      <c r="AN188" s="1353" t="b">
        <v>0</v>
      </c>
      <c r="AO188" s="422">
        <v>46624.0</v>
      </c>
      <c r="AP188" s="1353" t="b">
        <v>0</v>
      </c>
      <c r="AQ188" s="79"/>
      <c r="AR188" s="79"/>
      <c r="AS188" s="79"/>
      <c r="AT188" s="79"/>
      <c r="AU188" s="62"/>
      <c r="AV188" s="792"/>
    </row>
    <row r="189" ht="27.75" hidden="1" customHeight="1">
      <c r="A189" s="977">
        <f t="shared" si="6"/>
        <v>28</v>
      </c>
      <c r="B189" s="201" t="s">
        <v>580</v>
      </c>
      <c r="C189" s="67">
        <v>12.6</v>
      </c>
      <c r="D189" s="67" t="s">
        <v>217</v>
      </c>
      <c r="E189" s="67"/>
      <c r="F189" s="67"/>
      <c r="G189" s="79" t="s">
        <v>84</v>
      </c>
      <c r="H189" s="82" t="b">
        <v>1</v>
      </c>
      <c r="I189" s="85">
        <v>45805.0</v>
      </c>
      <c r="J189" s="82" t="b">
        <v>1</v>
      </c>
      <c r="K189" s="89">
        <v>45841.0</v>
      </c>
      <c r="L189" s="62" t="s">
        <v>1184</v>
      </c>
      <c r="M189" s="1499">
        <v>6.47285501E8</v>
      </c>
      <c r="N189" s="511" t="s">
        <v>880</v>
      </c>
      <c r="O189" s="1358"/>
      <c r="P189" s="1087"/>
      <c r="Q189" s="100"/>
      <c r="R189" s="102">
        <v>45649.0</v>
      </c>
      <c r="S189" s="1343">
        <v>46034.0</v>
      </c>
      <c r="T189" s="1460" t="s">
        <v>882</v>
      </c>
      <c r="U189" s="73">
        <f t="shared" si="8"/>
        <v>7</v>
      </c>
      <c r="V189" s="75">
        <v>8.0</v>
      </c>
      <c r="W189" s="343">
        <v>45107.0</v>
      </c>
      <c r="X189" s="79" t="b">
        <v>1</v>
      </c>
      <c r="Y189" s="343">
        <v>45320.0</v>
      </c>
      <c r="Z189" s="79" t="b">
        <v>1</v>
      </c>
      <c r="AA189" s="343">
        <v>45474.0</v>
      </c>
      <c r="AB189" s="79" t="b">
        <v>1</v>
      </c>
      <c r="AC189" s="182">
        <v>45628.0</v>
      </c>
      <c r="AD189" s="79" t="b">
        <v>1</v>
      </c>
      <c r="AE189" s="1070">
        <v>45857.0</v>
      </c>
      <c r="AF189" s="79" t="b">
        <v>1</v>
      </c>
      <c r="AG189" s="1070">
        <v>46034.0</v>
      </c>
      <c r="AH189" s="79" t="b">
        <v>1</v>
      </c>
      <c r="AI189" s="1070">
        <v>46239.0</v>
      </c>
      <c r="AJ189" s="79" t="b">
        <v>1</v>
      </c>
      <c r="AK189" s="438">
        <v>46388.0</v>
      </c>
      <c r="AL189" s="1354" t="b">
        <v>0</v>
      </c>
      <c r="AM189" s="422"/>
      <c r="AN189" s="422"/>
      <c r="AO189" s="422"/>
      <c r="AP189" s="422"/>
      <c r="AQ189" s="79"/>
      <c r="AR189" s="79"/>
      <c r="AS189" s="79"/>
      <c r="AT189" s="79"/>
      <c r="AU189" s="194"/>
      <c r="AV189" s="792"/>
    </row>
    <row r="190" ht="27.75" hidden="1" customHeight="1">
      <c r="A190" s="58">
        <f t="shared" si="6"/>
        <v>28</v>
      </c>
      <c r="B190" s="177" t="s">
        <v>682</v>
      </c>
      <c r="C190" s="385">
        <v>10.56</v>
      </c>
      <c r="D190" s="385" t="s">
        <v>465</v>
      </c>
      <c r="E190" s="387"/>
      <c r="F190" s="391"/>
      <c r="G190" s="79" t="s">
        <v>243</v>
      </c>
      <c r="H190" s="82" t="b">
        <v>0</v>
      </c>
      <c r="I190" s="393"/>
      <c r="J190" s="82" t="b">
        <v>0</v>
      </c>
      <c r="K190" s="395"/>
      <c r="L190" s="391"/>
      <c r="M190" s="1500"/>
      <c r="N190" s="511"/>
      <c r="O190" s="1245"/>
      <c r="P190" s="1347">
        <v>45499.0</v>
      </c>
      <c r="Q190" s="404"/>
      <c r="R190" s="406">
        <v>46198.0</v>
      </c>
      <c r="S190" s="1343">
        <v>46039.0</v>
      </c>
      <c r="T190" s="393"/>
      <c r="U190" s="73">
        <f t="shared" si="8"/>
        <v>3</v>
      </c>
      <c r="V190" s="75">
        <v>4.0</v>
      </c>
      <c r="W190" s="1070">
        <v>45794.0</v>
      </c>
      <c r="X190" s="79" t="b">
        <v>1</v>
      </c>
      <c r="Y190" s="1070">
        <v>46039.0</v>
      </c>
      <c r="Z190" s="79" t="b">
        <v>1</v>
      </c>
      <c r="AA190" s="1070">
        <v>46182.0</v>
      </c>
      <c r="AB190" s="79" t="b">
        <v>1</v>
      </c>
      <c r="AC190" s="438">
        <v>46343.0</v>
      </c>
      <c r="AD190" s="1354" t="b">
        <v>0</v>
      </c>
      <c r="AE190" s="1068"/>
      <c r="AF190" s="1349"/>
      <c r="AG190" s="1068"/>
      <c r="AH190" s="1349"/>
      <c r="AI190" s="1068"/>
      <c r="AJ190" s="1349"/>
      <c r="AK190" s="1068"/>
      <c r="AL190" s="1349"/>
      <c r="AM190" s="1349"/>
      <c r="AN190" s="1349"/>
      <c r="AO190" s="1349"/>
      <c r="AP190" s="1349"/>
      <c r="AQ190" s="741"/>
      <c r="AR190" s="741"/>
      <c r="AS190" s="741"/>
      <c r="AT190" s="741"/>
      <c r="AU190" s="391"/>
      <c r="AV190" s="792"/>
    </row>
    <row r="191" ht="27.75" hidden="1" customHeight="1">
      <c r="A191" s="58">
        <f t="shared" si="6"/>
        <v>28</v>
      </c>
      <c r="B191" s="62" t="s">
        <v>1186</v>
      </c>
      <c r="C191" s="67">
        <v>8.12</v>
      </c>
      <c r="D191" s="67" t="s">
        <v>1083</v>
      </c>
      <c r="E191" s="67" t="s">
        <v>1187</v>
      </c>
      <c r="F191" s="147"/>
      <c r="G191" s="79" t="s">
        <v>84</v>
      </c>
      <c r="H191" s="82" t="b">
        <v>0</v>
      </c>
      <c r="I191" s="148"/>
      <c r="J191" s="82" t="b">
        <v>0</v>
      </c>
      <c r="K191" s="149"/>
      <c r="L191" s="147"/>
      <c r="M191" s="147"/>
      <c r="N191" s="147"/>
      <c r="O191" s="147"/>
      <c r="P191" s="1334">
        <v>46011.0</v>
      </c>
      <c r="Q191" s="155"/>
      <c r="R191" s="156">
        <v>46740.0</v>
      </c>
      <c r="S191" s="1244"/>
      <c r="T191" s="147"/>
      <c r="U191" s="73">
        <f t="shared" si="8"/>
        <v>1</v>
      </c>
      <c r="V191" s="161">
        <v>4.0</v>
      </c>
      <c r="W191" s="1501">
        <v>46122.0</v>
      </c>
      <c r="X191" s="79" t="b">
        <v>1</v>
      </c>
      <c r="Y191" s="330">
        <v>46304.0</v>
      </c>
      <c r="Z191" s="1341" t="b">
        <v>0</v>
      </c>
      <c r="AA191" s="330">
        <v>46486.0</v>
      </c>
      <c r="AB191" s="1341" t="b">
        <v>0</v>
      </c>
      <c r="AC191" s="330">
        <v>46668.0</v>
      </c>
      <c r="AD191" s="79" t="b">
        <v>0</v>
      </c>
      <c r="AE191" s="256"/>
      <c r="AF191" s="256"/>
      <c r="AG191" s="256"/>
      <c r="AH191" s="256"/>
      <c r="AI191" s="256"/>
      <c r="AJ191" s="256"/>
      <c r="AK191" s="256"/>
      <c r="AL191" s="256"/>
      <c r="AM191" s="256"/>
      <c r="AN191" s="256"/>
      <c r="AO191" s="256"/>
      <c r="AP191" s="256"/>
      <c r="AQ191" s="147"/>
      <c r="AR191" s="147"/>
      <c r="AS191" s="147"/>
      <c r="AT191" s="147"/>
      <c r="AU191" s="147"/>
      <c r="AV191" s="792"/>
    </row>
    <row r="192" ht="27.75" hidden="1" customHeight="1">
      <c r="A192" s="58">
        <f t="shared" si="6"/>
        <v>28</v>
      </c>
      <c r="B192" s="177" t="s">
        <v>896</v>
      </c>
      <c r="C192" s="385">
        <v>19.2</v>
      </c>
      <c r="D192" s="387"/>
      <c r="E192" s="387"/>
      <c r="F192" s="391"/>
      <c r="G192" s="79" t="s">
        <v>243</v>
      </c>
      <c r="H192" s="82" t="b">
        <v>0</v>
      </c>
      <c r="I192" s="393"/>
      <c r="J192" s="82" t="b">
        <v>0</v>
      </c>
      <c r="K192" s="395"/>
      <c r="L192" s="391"/>
      <c r="M192" s="391"/>
      <c r="N192" s="1469"/>
      <c r="O192" s="391"/>
      <c r="P192" s="1502"/>
      <c r="Q192" s="404"/>
      <c r="R192" s="406">
        <v>46465.0</v>
      </c>
      <c r="S192" s="631">
        <v>45920.0</v>
      </c>
      <c r="T192" s="393"/>
      <c r="U192" s="73">
        <f t="shared" si="8"/>
        <v>1</v>
      </c>
      <c r="V192" s="75">
        <v>4.0</v>
      </c>
      <c r="W192" s="1070">
        <v>45920.0</v>
      </c>
      <c r="X192" s="79" t="b">
        <v>1</v>
      </c>
      <c r="Y192" s="1070">
        <v>46101.0</v>
      </c>
      <c r="Z192" s="1352" t="b">
        <v>0</v>
      </c>
      <c r="AA192" s="1070">
        <v>46283.0</v>
      </c>
      <c r="AB192" s="1353" t="b">
        <v>0</v>
      </c>
      <c r="AC192" s="438">
        <v>46465.0</v>
      </c>
      <c r="AD192" s="1354" t="b">
        <v>0</v>
      </c>
      <c r="AE192" s="1068"/>
      <c r="AF192" s="1349"/>
      <c r="AG192" s="1068"/>
      <c r="AH192" s="1349"/>
      <c r="AI192" s="1068"/>
      <c r="AJ192" s="1349"/>
      <c r="AK192" s="1068"/>
      <c r="AL192" s="1349"/>
      <c r="AM192" s="1349"/>
      <c r="AN192" s="1349"/>
      <c r="AO192" s="1349"/>
      <c r="AP192" s="1349"/>
      <c r="AQ192" s="741"/>
      <c r="AR192" s="741"/>
      <c r="AS192" s="741"/>
      <c r="AT192" s="741"/>
      <c r="AU192" s="391"/>
      <c r="AV192" s="792"/>
    </row>
    <row r="193" ht="27.75" hidden="1" customHeight="1">
      <c r="A193" s="58">
        <f t="shared" si="6"/>
        <v>28</v>
      </c>
      <c r="B193" s="62" t="s">
        <v>1188</v>
      </c>
      <c r="C193" s="67">
        <v>17.28</v>
      </c>
      <c r="D193" s="67" t="s">
        <v>834</v>
      </c>
      <c r="E193" s="67"/>
      <c r="F193" s="147"/>
      <c r="G193" s="79" t="s">
        <v>84</v>
      </c>
      <c r="H193" s="82" t="b">
        <v>0</v>
      </c>
      <c r="I193" s="148"/>
      <c r="J193" s="82" t="b">
        <v>0</v>
      </c>
      <c r="K193" s="149"/>
      <c r="L193" s="186" t="s">
        <v>1188</v>
      </c>
      <c r="M193" s="1503" t="s">
        <v>1189</v>
      </c>
      <c r="N193" s="147"/>
      <c r="O193" s="147"/>
      <c r="P193" s="1334">
        <v>46004.0</v>
      </c>
      <c r="Q193" s="155"/>
      <c r="R193" s="156">
        <v>46733.0</v>
      </c>
      <c r="S193" s="1467">
        <v>46077.0</v>
      </c>
      <c r="T193" s="147"/>
      <c r="U193" s="73">
        <f t="shared" si="8"/>
        <v>1</v>
      </c>
      <c r="V193" s="161">
        <v>4.0</v>
      </c>
      <c r="W193" s="330">
        <v>46077.0</v>
      </c>
      <c r="X193" s="1341" t="b">
        <v>1</v>
      </c>
      <c r="Y193" s="330">
        <v>46259.0</v>
      </c>
      <c r="Z193" s="1341" t="b">
        <v>0</v>
      </c>
      <c r="AA193" s="330">
        <v>46441.0</v>
      </c>
      <c r="AB193" s="1341" t="b">
        <v>0</v>
      </c>
      <c r="AC193" s="330">
        <v>46623.0</v>
      </c>
      <c r="AD193" s="1341" t="b">
        <v>0</v>
      </c>
      <c r="AE193" s="256"/>
      <c r="AF193" s="256"/>
      <c r="AG193" s="256"/>
      <c r="AH193" s="256"/>
      <c r="AI193" s="256"/>
      <c r="AJ193" s="256"/>
      <c r="AK193" s="256"/>
      <c r="AL193" s="256"/>
      <c r="AM193" s="256"/>
      <c r="AN193" s="256"/>
      <c r="AO193" s="256"/>
      <c r="AP193" s="256"/>
      <c r="AQ193" s="147"/>
      <c r="AR193" s="147"/>
      <c r="AS193" s="147"/>
      <c r="AT193" s="147"/>
      <c r="AU193" s="147"/>
      <c r="AV193" s="792"/>
    </row>
    <row r="194" ht="27.75" hidden="1" customHeight="1">
      <c r="A194" s="58">
        <f t="shared" si="6"/>
        <v>28</v>
      </c>
      <c r="B194" s="72" t="s">
        <v>691</v>
      </c>
      <c r="C194" s="1504">
        <v>10.0</v>
      </c>
      <c r="D194" s="1504" t="s">
        <v>498</v>
      </c>
      <c r="E194" s="67"/>
      <c r="F194" s="67"/>
      <c r="G194" s="79" t="s">
        <v>55</v>
      </c>
      <c r="H194" s="82" t="b">
        <v>1</v>
      </c>
      <c r="I194" s="85">
        <v>46072.0</v>
      </c>
      <c r="J194" s="82" t="b">
        <v>0</v>
      </c>
      <c r="K194" s="89"/>
      <c r="L194" s="62" t="s">
        <v>1190</v>
      </c>
      <c r="M194" s="1472" t="s">
        <v>888</v>
      </c>
      <c r="N194" s="1505" t="s">
        <v>1191</v>
      </c>
      <c r="O194" s="1358"/>
      <c r="P194" s="1087"/>
      <c r="Q194" s="100"/>
      <c r="R194" s="102">
        <v>45849.0</v>
      </c>
      <c r="S194" s="1208">
        <v>45849.0</v>
      </c>
      <c r="T194" s="1460" t="s">
        <v>645</v>
      </c>
      <c r="U194" s="73">
        <f t="shared" si="8"/>
        <v>4</v>
      </c>
      <c r="V194" s="75">
        <v>4.0</v>
      </c>
      <c r="W194" s="343">
        <v>45306.0</v>
      </c>
      <c r="X194" s="79" t="b">
        <v>1</v>
      </c>
      <c r="Y194" s="182">
        <v>45485.0</v>
      </c>
      <c r="Z194" s="79" t="b">
        <v>1</v>
      </c>
      <c r="AA194" s="119">
        <v>45618.0</v>
      </c>
      <c r="AB194" s="484" t="b">
        <v>1</v>
      </c>
      <c r="AC194" s="182">
        <v>45849.0</v>
      </c>
      <c r="AD194" s="484" t="b">
        <v>1</v>
      </c>
      <c r="AE194" s="119"/>
      <c r="AF194" s="485"/>
      <c r="AG194" s="182"/>
      <c r="AH194" s="484"/>
      <c r="AI194" s="182"/>
      <c r="AJ194" s="79"/>
      <c r="AK194" s="182"/>
      <c r="AL194" s="79"/>
      <c r="AM194" s="422"/>
      <c r="AN194" s="422"/>
      <c r="AO194" s="422"/>
      <c r="AP194" s="422"/>
      <c r="AQ194" s="79"/>
      <c r="AR194" s="79"/>
      <c r="AS194" s="79"/>
      <c r="AT194" s="79"/>
      <c r="AU194" s="62"/>
      <c r="AV194" s="792"/>
    </row>
    <row r="195" ht="27.75" customHeight="1">
      <c r="A195" s="58">
        <f t="shared" si="6"/>
        <v>29</v>
      </c>
      <c r="B195" s="728" t="s">
        <v>692</v>
      </c>
      <c r="C195" s="67">
        <v>7.68</v>
      </c>
      <c r="D195" s="67" t="s">
        <v>498</v>
      </c>
      <c r="E195" s="67"/>
      <c r="F195" s="67"/>
      <c r="G195" s="79" t="s">
        <v>105</v>
      </c>
      <c r="H195" s="82" t="b">
        <v>0</v>
      </c>
      <c r="I195" s="85"/>
      <c r="J195" s="82" t="b">
        <v>0</v>
      </c>
      <c r="K195" s="89"/>
      <c r="L195" s="62" t="s">
        <v>890</v>
      </c>
      <c r="M195" s="1472" t="s">
        <v>891</v>
      </c>
      <c r="N195" s="511" t="s">
        <v>892</v>
      </c>
      <c r="O195" s="1475"/>
      <c r="P195" s="1087"/>
      <c r="Q195" s="100"/>
      <c r="R195" s="102">
        <v>46125.0</v>
      </c>
      <c r="S195" s="631">
        <v>46183.0</v>
      </c>
      <c r="T195" s="1208"/>
      <c r="U195" s="73">
        <f t="shared" si="8"/>
        <v>4</v>
      </c>
      <c r="V195" s="75">
        <v>4.0</v>
      </c>
      <c r="W195" s="343">
        <v>45618.0</v>
      </c>
      <c r="X195" s="259" t="b">
        <v>1</v>
      </c>
      <c r="Y195" s="343">
        <v>45735.0</v>
      </c>
      <c r="Z195" s="259" t="b">
        <v>1</v>
      </c>
      <c r="AA195" s="182">
        <v>46044.0</v>
      </c>
      <c r="AB195" s="484" t="b">
        <v>1</v>
      </c>
      <c r="AC195" s="119">
        <v>46183.0</v>
      </c>
      <c r="AD195" s="484" t="b">
        <v>1</v>
      </c>
      <c r="AE195" s="343"/>
      <c r="AF195" s="485"/>
      <c r="AG195" s="115"/>
      <c r="AH195" s="485"/>
      <c r="AI195" s="343"/>
      <c r="AJ195" s="422"/>
      <c r="AK195" s="343"/>
      <c r="AL195" s="422"/>
      <c r="AM195" s="422"/>
      <c r="AN195" s="422"/>
      <c r="AO195" s="422"/>
      <c r="AP195" s="422"/>
      <c r="AQ195" s="79"/>
      <c r="AR195" s="79"/>
      <c r="AS195" s="79"/>
      <c r="AT195" s="79"/>
      <c r="AU195" s="62"/>
      <c r="AV195" s="792"/>
    </row>
    <row r="196" ht="27.75" hidden="1" customHeight="1">
      <c r="A196" s="977">
        <f t="shared" si="6"/>
        <v>29</v>
      </c>
      <c r="B196" s="201" t="s">
        <v>696</v>
      </c>
      <c r="C196" s="67">
        <v>21.6</v>
      </c>
      <c r="D196" s="67" t="s">
        <v>47</v>
      </c>
      <c r="E196" s="469"/>
      <c r="F196" s="469"/>
      <c r="G196" s="471" t="s">
        <v>84</v>
      </c>
      <c r="H196" s="82" t="b">
        <v>1</v>
      </c>
      <c r="I196" s="459">
        <v>45813.0</v>
      </c>
      <c r="J196" s="82" t="b">
        <v>1</v>
      </c>
      <c r="K196" s="474">
        <v>45813.0</v>
      </c>
      <c r="L196" s="464" t="s">
        <v>594</v>
      </c>
      <c r="M196" s="1506">
        <v>6.28251979E8</v>
      </c>
      <c r="N196" s="511" t="s">
        <v>1192</v>
      </c>
      <c r="O196" s="1358"/>
      <c r="P196" s="1087"/>
      <c r="Q196" s="100"/>
      <c r="R196" s="547">
        <v>45511.0</v>
      </c>
      <c r="S196" s="631">
        <v>45975.0</v>
      </c>
      <c r="T196" s="1208"/>
      <c r="U196" s="73">
        <f t="shared" si="8"/>
        <v>9</v>
      </c>
      <c r="V196" s="258">
        <v>10.0</v>
      </c>
      <c r="W196" s="182">
        <v>44562.0</v>
      </c>
      <c r="X196" s="471" t="b">
        <v>1</v>
      </c>
      <c r="Y196" s="182">
        <v>44679.0</v>
      </c>
      <c r="Z196" s="471" t="b">
        <v>1</v>
      </c>
      <c r="AA196" s="182">
        <v>44971.0</v>
      </c>
      <c r="AB196" s="653" t="b">
        <v>1</v>
      </c>
      <c r="AC196" s="119">
        <v>45140.0</v>
      </c>
      <c r="AD196" s="484" t="b">
        <v>1</v>
      </c>
      <c r="AE196" s="182">
        <v>45329.0</v>
      </c>
      <c r="AF196" s="653" t="b">
        <v>1</v>
      </c>
      <c r="AG196" s="119">
        <v>45493.0</v>
      </c>
      <c r="AH196" s="471" t="b">
        <v>1</v>
      </c>
      <c r="AI196" s="182">
        <v>45826.0</v>
      </c>
      <c r="AJ196" s="79" t="b">
        <v>1</v>
      </c>
      <c r="AK196" s="182">
        <v>45975.0</v>
      </c>
      <c r="AL196" s="79" t="b">
        <v>1</v>
      </c>
      <c r="AM196" s="182">
        <v>46182.0</v>
      </c>
      <c r="AN196" s="79" t="b">
        <v>1</v>
      </c>
      <c r="AO196" s="182">
        <v>46361.0</v>
      </c>
      <c r="AP196" s="79" t="b">
        <v>0</v>
      </c>
      <c r="AQ196" s="236"/>
      <c r="AR196" s="79"/>
      <c r="AS196" s="79"/>
      <c r="AT196" s="79"/>
      <c r="AU196" s="464"/>
      <c r="AV196" s="792"/>
    </row>
    <row r="197" ht="27.75" customHeight="1">
      <c r="A197" s="58">
        <f t="shared" si="6"/>
        <v>30</v>
      </c>
      <c r="B197" s="202" t="s">
        <v>699</v>
      </c>
      <c r="C197" s="354">
        <v>11.52</v>
      </c>
      <c r="D197" s="354" t="s">
        <v>911</v>
      </c>
      <c r="E197" s="354" t="s">
        <v>912</v>
      </c>
      <c r="F197" s="356"/>
      <c r="G197" s="79" t="s">
        <v>105</v>
      </c>
      <c r="H197" s="82" t="b">
        <v>0</v>
      </c>
      <c r="I197" s="561"/>
      <c r="J197" s="82" t="b">
        <v>0</v>
      </c>
      <c r="K197" s="562"/>
      <c r="L197" s="356"/>
      <c r="M197" s="1500"/>
      <c r="N197" s="511"/>
      <c r="O197" s="1507"/>
      <c r="P197" s="1347">
        <v>45476.0</v>
      </c>
      <c r="Q197" s="371"/>
      <c r="R197" s="406">
        <v>46174.0</v>
      </c>
      <c r="S197" s="631">
        <v>46231.0</v>
      </c>
      <c r="T197" s="1508" t="s">
        <v>915</v>
      </c>
      <c r="U197" s="73">
        <f t="shared" si="8"/>
        <v>4</v>
      </c>
      <c r="V197" s="75">
        <v>4.0</v>
      </c>
      <c r="W197" s="343">
        <v>45639.0</v>
      </c>
      <c r="X197" s="79" t="b">
        <v>1</v>
      </c>
      <c r="Y197" s="343">
        <v>45780.0</v>
      </c>
      <c r="Z197" s="79" t="b">
        <v>1</v>
      </c>
      <c r="AA197" s="343">
        <v>46060.0</v>
      </c>
      <c r="AB197" s="79" t="b">
        <v>1</v>
      </c>
      <c r="AC197" s="182">
        <v>46231.0</v>
      </c>
      <c r="AD197" s="471" t="b">
        <v>1</v>
      </c>
      <c r="AE197" s="1068"/>
      <c r="AF197" s="1349"/>
      <c r="AG197" s="1068"/>
      <c r="AH197" s="1349"/>
      <c r="AI197" s="1068"/>
      <c r="AJ197" s="1349"/>
      <c r="AK197" s="1068"/>
      <c r="AL197" s="1349"/>
      <c r="AM197" s="1349"/>
      <c r="AN197" s="1349"/>
      <c r="AO197" s="1349"/>
      <c r="AP197" s="1349"/>
      <c r="AQ197" s="79"/>
      <c r="AR197" s="79"/>
      <c r="AS197" s="79"/>
      <c r="AT197" s="79"/>
      <c r="AU197" s="356"/>
      <c r="AV197" s="792"/>
    </row>
    <row r="198" ht="27.75" hidden="1" customHeight="1">
      <c r="A198" s="58">
        <f t="shared" si="6"/>
        <v>30</v>
      </c>
      <c r="B198" s="62" t="s">
        <v>901</v>
      </c>
      <c r="C198" s="67"/>
      <c r="D198" s="67" t="s">
        <v>898</v>
      </c>
      <c r="E198" s="67" t="s">
        <v>931</v>
      </c>
      <c r="F198" s="67"/>
      <c r="G198" s="79" t="s">
        <v>243</v>
      </c>
      <c r="H198" s="82" t="b">
        <v>0</v>
      </c>
      <c r="I198" s="85"/>
      <c r="J198" s="82" t="b">
        <v>0</v>
      </c>
      <c r="K198" s="89"/>
      <c r="L198" s="62" t="s">
        <v>168</v>
      </c>
      <c r="M198" s="1472">
        <v>8.3650888E8</v>
      </c>
      <c r="N198" s="511"/>
      <c r="O198" s="1358"/>
      <c r="P198" s="1087">
        <v>45750.0</v>
      </c>
      <c r="Q198" s="100"/>
      <c r="R198" s="102">
        <v>46479.0</v>
      </c>
      <c r="S198" s="631">
        <v>45910.0</v>
      </c>
      <c r="T198" s="1208"/>
      <c r="U198" s="515">
        <f t="shared" si="8"/>
        <v>3</v>
      </c>
      <c r="V198" s="534">
        <v>4.0</v>
      </c>
      <c r="W198" s="182">
        <v>45910.0</v>
      </c>
      <c r="X198" s="79" t="b">
        <v>1</v>
      </c>
      <c r="Y198" s="343">
        <v>46058.0</v>
      </c>
      <c r="Z198" s="79" t="b">
        <v>1</v>
      </c>
      <c r="AA198" s="343">
        <v>46254.0</v>
      </c>
      <c r="AB198" s="79" t="b">
        <v>1</v>
      </c>
      <c r="AC198" s="182">
        <v>46424.0</v>
      </c>
      <c r="AD198" s="79" t="b">
        <v>0</v>
      </c>
      <c r="AE198" s="182"/>
      <c r="AF198" s="79"/>
      <c r="AG198" s="182"/>
      <c r="AH198" s="471"/>
      <c r="AI198" s="182"/>
      <c r="AJ198" s="79"/>
      <c r="AK198" s="182"/>
      <c r="AL198" s="79"/>
      <c r="AM198" s="422"/>
      <c r="AN198" s="422"/>
      <c r="AO198" s="422"/>
      <c r="AP198" s="422"/>
      <c r="AQ198" s="79"/>
      <c r="AR198" s="79"/>
      <c r="AS198" s="79"/>
      <c r="AT198" s="79"/>
      <c r="AU198" s="891"/>
      <c r="AV198" s="792"/>
    </row>
    <row r="199" ht="27.75" hidden="1" customHeight="1">
      <c r="A199" s="58">
        <f t="shared" si="6"/>
        <v>30</v>
      </c>
      <c r="B199" s="201" t="s">
        <v>700</v>
      </c>
      <c r="C199" s="67"/>
      <c r="D199" s="67" t="s">
        <v>898</v>
      </c>
      <c r="E199" s="67" t="s">
        <v>931</v>
      </c>
      <c r="F199" s="67"/>
      <c r="G199" s="79" t="s">
        <v>55</v>
      </c>
      <c r="H199" s="82" t="b">
        <v>1</v>
      </c>
      <c r="I199" s="85">
        <v>46058.0</v>
      </c>
      <c r="J199" s="82" t="b">
        <v>0</v>
      </c>
      <c r="K199" s="89"/>
      <c r="L199" s="62" t="s">
        <v>899</v>
      </c>
      <c r="M199" s="1472">
        <v>8.3650888E8</v>
      </c>
      <c r="N199" s="511"/>
      <c r="O199" s="1358"/>
      <c r="P199" s="1087"/>
      <c r="Q199" s="100"/>
      <c r="R199" s="102">
        <v>45936.0</v>
      </c>
      <c r="S199" s="1208">
        <v>45728.0</v>
      </c>
      <c r="T199" s="1208"/>
      <c r="U199" s="73">
        <f t="shared" si="8"/>
        <v>6</v>
      </c>
      <c r="V199" s="75">
        <v>6.0</v>
      </c>
      <c r="W199" s="343">
        <v>44833.0</v>
      </c>
      <c r="X199" s="79" t="b">
        <v>1</v>
      </c>
      <c r="Y199" s="343">
        <v>45014.0</v>
      </c>
      <c r="Z199" s="79" t="b">
        <v>1</v>
      </c>
      <c r="AA199" s="343">
        <v>45328.0</v>
      </c>
      <c r="AB199" s="79" t="b">
        <v>1</v>
      </c>
      <c r="AC199" s="182">
        <v>45496.0</v>
      </c>
      <c r="AD199" s="79" t="b">
        <v>1</v>
      </c>
      <c r="AE199" s="182">
        <v>45728.0</v>
      </c>
      <c r="AF199" s="79" t="b">
        <v>1</v>
      </c>
      <c r="AG199" s="182">
        <v>45910.0</v>
      </c>
      <c r="AH199" s="471" t="b">
        <v>1</v>
      </c>
      <c r="AI199" s="182"/>
      <c r="AJ199" s="79"/>
      <c r="AK199" s="182"/>
      <c r="AL199" s="79"/>
      <c r="AM199" s="422"/>
      <c r="AN199" s="422"/>
      <c r="AO199" s="422"/>
      <c r="AP199" s="422"/>
      <c r="AQ199" s="79"/>
      <c r="AR199" s="79"/>
      <c r="AS199" s="79"/>
      <c r="AT199" s="79"/>
      <c r="AU199" s="891"/>
      <c r="AV199" s="792"/>
    </row>
    <row r="200" ht="27.75" hidden="1" customHeight="1">
      <c r="A200" s="58">
        <f t="shared" si="6"/>
        <v>30</v>
      </c>
      <c r="B200" s="177" t="s">
        <v>905</v>
      </c>
      <c r="C200" s="354">
        <v>24.9</v>
      </c>
      <c r="D200" s="354" t="s">
        <v>911</v>
      </c>
      <c r="E200" s="354" t="s">
        <v>912</v>
      </c>
      <c r="F200" s="391"/>
      <c r="G200" s="79" t="s">
        <v>243</v>
      </c>
      <c r="H200" s="82" t="b">
        <v>0</v>
      </c>
      <c r="I200" s="393"/>
      <c r="J200" s="82" t="b">
        <v>0</v>
      </c>
      <c r="K200" s="395"/>
      <c r="L200" s="1509" t="s">
        <v>1193</v>
      </c>
      <c r="M200" s="1510">
        <v>9.57894964E8</v>
      </c>
      <c r="N200" s="1245"/>
      <c r="O200" s="1245"/>
      <c r="P200" s="1347">
        <v>45780.0</v>
      </c>
      <c r="Q200" s="404"/>
      <c r="R200" s="406">
        <v>46509.0</v>
      </c>
      <c r="S200" s="1343">
        <v>46060.0</v>
      </c>
      <c r="T200" s="1508"/>
      <c r="U200" s="73">
        <f t="shared" si="8"/>
        <v>2</v>
      </c>
      <c r="V200" s="75">
        <v>4.0</v>
      </c>
      <c r="W200" s="115">
        <v>46060.0</v>
      </c>
      <c r="X200" s="68" t="b">
        <v>1</v>
      </c>
      <c r="Y200" s="119">
        <v>46231.0</v>
      </c>
      <c r="Z200" s="137" t="b">
        <v>1</v>
      </c>
      <c r="AA200" s="115">
        <v>46373.0</v>
      </c>
      <c r="AB200" s="143" t="b">
        <v>0</v>
      </c>
      <c r="AC200" s="182">
        <v>46555.0</v>
      </c>
      <c r="AD200" s="471" t="b">
        <v>0</v>
      </c>
      <c r="AE200" s="1068"/>
      <c r="AF200" s="1349"/>
      <c r="AG200" s="1068"/>
      <c r="AH200" s="1349"/>
      <c r="AI200" s="1068"/>
      <c r="AJ200" s="1349"/>
      <c r="AK200" s="1068"/>
      <c r="AL200" s="1349"/>
      <c r="AM200" s="1349"/>
      <c r="AN200" s="1349"/>
      <c r="AO200" s="1349"/>
      <c r="AP200" s="1349"/>
      <c r="AQ200" s="741"/>
      <c r="AR200" s="741"/>
      <c r="AS200" s="741"/>
      <c r="AT200" s="741"/>
      <c r="AU200" s="391"/>
      <c r="AV200" s="792"/>
    </row>
    <row r="201" ht="27.75" hidden="1" customHeight="1">
      <c r="A201" s="58">
        <f t="shared" si="6"/>
        <v>30</v>
      </c>
      <c r="B201" s="177" t="s">
        <v>706</v>
      </c>
      <c r="C201" s="354">
        <v>9.6</v>
      </c>
      <c r="D201" s="354" t="s">
        <v>911</v>
      </c>
      <c r="E201" s="354" t="s">
        <v>912</v>
      </c>
      <c r="F201" s="391"/>
      <c r="G201" s="79" t="s">
        <v>243</v>
      </c>
      <c r="H201" s="82" t="b">
        <v>0</v>
      </c>
      <c r="I201" s="393"/>
      <c r="J201" s="82" t="b">
        <v>0</v>
      </c>
      <c r="K201" s="395"/>
      <c r="L201" s="396" t="s">
        <v>1193</v>
      </c>
      <c r="M201" s="1510">
        <v>9.57894964E8</v>
      </c>
      <c r="N201" s="511"/>
      <c r="O201" s="1245"/>
      <c r="P201" s="1347">
        <v>45541.0</v>
      </c>
      <c r="Q201" s="404"/>
      <c r="R201" s="406">
        <v>46174.0</v>
      </c>
      <c r="S201" s="1343">
        <v>46060.0</v>
      </c>
      <c r="T201" s="1508" t="s">
        <v>915</v>
      </c>
      <c r="U201" s="1016">
        <f t="shared" si="8"/>
        <v>4</v>
      </c>
      <c r="V201" s="1017">
        <v>4.0</v>
      </c>
      <c r="W201" s="343">
        <v>45639.0</v>
      </c>
      <c r="X201" s="79" t="b">
        <v>1</v>
      </c>
      <c r="Y201" s="343">
        <v>45780.0</v>
      </c>
      <c r="Z201" s="79" t="b">
        <v>1</v>
      </c>
      <c r="AA201" s="343">
        <v>46060.0</v>
      </c>
      <c r="AB201" s="79" t="b">
        <v>1</v>
      </c>
      <c r="AC201" s="182">
        <v>46231.0</v>
      </c>
      <c r="AD201" s="471" t="b">
        <v>1</v>
      </c>
      <c r="AE201" s="1068"/>
      <c r="AF201" s="1349"/>
      <c r="AG201" s="1068"/>
      <c r="AH201" s="1349"/>
      <c r="AI201" s="1068"/>
      <c r="AJ201" s="1349"/>
      <c r="AK201" s="1068"/>
      <c r="AL201" s="1349"/>
      <c r="AM201" s="1349"/>
      <c r="AN201" s="1349"/>
      <c r="AO201" s="354">
        <v>20.0</v>
      </c>
      <c r="AP201" s="1349"/>
      <c r="AQ201" s="741"/>
      <c r="AR201" s="741"/>
      <c r="AS201" s="741"/>
      <c r="AT201" s="741"/>
      <c r="AU201" s="391"/>
      <c r="AV201" s="792"/>
    </row>
    <row r="202" ht="27.75" hidden="1" customHeight="1">
      <c r="A202" s="79">
        <f t="shared" si="6"/>
        <v>30</v>
      </c>
      <c r="B202" s="177" t="s">
        <v>708</v>
      </c>
      <c r="C202" s="385">
        <v>28.8</v>
      </c>
      <c r="D202" s="385" t="s">
        <v>1083</v>
      </c>
      <c r="E202" s="385" t="s">
        <v>1194</v>
      </c>
      <c r="F202" s="391"/>
      <c r="G202" s="79" t="s">
        <v>243</v>
      </c>
      <c r="H202" s="82" t="b">
        <v>0</v>
      </c>
      <c r="I202" s="393"/>
      <c r="J202" s="82" t="b">
        <v>0</v>
      </c>
      <c r="K202" s="395"/>
      <c r="L202" s="391"/>
      <c r="M202" s="391"/>
      <c r="N202" s="1469"/>
      <c r="O202" s="391"/>
      <c r="P202" s="1347">
        <v>45672.0</v>
      </c>
      <c r="Q202" s="404"/>
      <c r="R202" s="406">
        <v>46401.0</v>
      </c>
      <c r="S202" s="1208">
        <v>45752.0</v>
      </c>
      <c r="T202" s="1508" t="s">
        <v>1195</v>
      </c>
      <c r="U202" s="73">
        <f t="shared" si="8"/>
        <v>3</v>
      </c>
      <c r="V202" s="75">
        <v>4.0</v>
      </c>
      <c r="W202" s="343">
        <v>45752.0</v>
      </c>
      <c r="X202" s="79" t="b">
        <v>1</v>
      </c>
      <c r="Y202" s="343">
        <v>45911.0</v>
      </c>
      <c r="Z202" s="79" t="b">
        <v>1</v>
      </c>
      <c r="AA202" s="182">
        <v>46092.0</v>
      </c>
      <c r="AB202" s="79" t="b">
        <v>1</v>
      </c>
      <c r="AC202" s="626">
        <v>46274.0</v>
      </c>
      <c r="AD202" s="1354" t="b">
        <v>0</v>
      </c>
      <c r="AE202" s="1068"/>
      <c r="AF202" s="1349"/>
      <c r="AG202" s="1068"/>
      <c r="AH202" s="1349"/>
      <c r="AI202" s="1068"/>
      <c r="AJ202" s="1349"/>
      <c r="AK202" s="1068"/>
      <c r="AL202" s="1349"/>
      <c r="AM202" s="1349"/>
      <c r="AN202" s="1349"/>
      <c r="AO202" s="1349"/>
      <c r="AP202" s="1349"/>
      <c r="AQ202" s="741"/>
      <c r="AR202" s="741"/>
      <c r="AS202" s="741"/>
      <c r="AT202" s="741"/>
      <c r="AU202" s="391"/>
      <c r="AV202" s="792"/>
    </row>
    <row r="203" ht="27.75" hidden="1" customHeight="1">
      <c r="A203" s="79">
        <f t="shared" si="6"/>
        <v>30</v>
      </c>
      <c r="B203" s="177" t="s">
        <v>709</v>
      </c>
      <c r="C203" s="385">
        <v>12.0</v>
      </c>
      <c r="D203" s="385" t="s">
        <v>1083</v>
      </c>
      <c r="E203" s="385" t="s">
        <v>1194</v>
      </c>
      <c r="F203" s="391"/>
      <c r="G203" s="79" t="s">
        <v>945</v>
      </c>
      <c r="H203" s="82" t="b">
        <v>0</v>
      </c>
      <c r="I203" s="393"/>
      <c r="J203" s="82" t="b">
        <v>0</v>
      </c>
      <c r="K203" s="395"/>
      <c r="L203" s="391"/>
      <c r="M203" s="391"/>
      <c r="N203" s="1469"/>
      <c r="O203" s="391"/>
      <c r="P203" s="1502"/>
      <c r="Q203" s="404"/>
      <c r="R203" s="1093"/>
      <c r="S203" s="1219">
        <v>45911.0</v>
      </c>
      <c r="T203" s="393"/>
      <c r="U203" s="73">
        <f t="shared" si="8"/>
        <v>2</v>
      </c>
      <c r="V203" s="75">
        <v>4.0</v>
      </c>
      <c r="W203" s="343">
        <v>45911.0</v>
      </c>
      <c r="X203" s="68" t="b">
        <v>1</v>
      </c>
      <c r="Y203" s="182">
        <v>46092.0</v>
      </c>
      <c r="Z203" s="259" t="b">
        <v>1</v>
      </c>
      <c r="AA203" s="626">
        <v>46274.0</v>
      </c>
      <c r="AB203" s="1471" t="b">
        <v>0</v>
      </c>
      <c r="AC203" s="438">
        <v>46456.0</v>
      </c>
      <c r="AD203" s="1354" t="b">
        <v>0</v>
      </c>
      <c r="AE203" s="1068"/>
      <c r="AF203" s="1349"/>
      <c r="AG203" s="1068"/>
      <c r="AH203" s="1349"/>
      <c r="AI203" s="1068"/>
      <c r="AJ203" s="1349"/>
      <c r="AK203" s="1068"/>
      <c r="AL203" s="1349"/>
      <c r="AM203" s="1349"/>
      <c r="AN203" s="1349"/>
      <c r="AO203" s="1349"/>
      <c r="AP203" s="1349"/>
      <c r="AQ203" s="741"/>
      <c r="AR203" s="741"/>
      <c r="AS203" s="741"/>
      <c r="AT203" s="741"/>
      <c r="AU203" s="391"/>
      <c r="AV203" s="792"/>
    </row>
    <row r="204" ht="27.75" hidden="1" customHeight="1">
      <c r="A204" s="79">
        <f t="shared" si="6"/>
        <v>30</v>
      </c>
      <c r="B204" s="177" t="s">
        <v>711</v>
      </c>
      <c r="C204" s="385"/>
      <c r="D204" s="385" t="s">
        <v>1083</v>
      </c>
      <c r="E204" s="385" t="s">
        <v>1194</v>
      </c>
      <c r="F204" s="391"/>
      <c r="G204" s="79" t="s">
        <v>945</v>
      </c>
      <c r="H204" s="82" t="b">
        <v>0</v>
      </c>
      <c r="I204" s="393"/>
      <c r="J204" s="82" t="b">
        <v>0</v>
      </c>
      <c r="K204" s="395"/>
      <c r="L204" s="391"/>
      <c r="M204" s="391"/>
      <c r="N204" s="1469"/>
      <c r="O204" s="391"/>
      <c r="P204" s="1502"/>
      <c r="Q204" s="404"/>
      <c r="R204" s="1093"/>
      <c r="S204" s="393"/>
      <c r="T204" s="393"/>
      <c r="U204" s="73">
        <f t="shared" si="8"/>
        <v>0</v>
      </c>
      <c r="V204" s="75">
        <v>4.0</v>
      </c>
      <c r="W204" s="343"/>
      <c r="X204" s="79" t="b">
        <v>0</v>
      </c>
      <c r="Y204" s="182"/>
      <c r="Z204" s="1353" t="b">
        <v>0</v>
      </c>
      <c r="AA204" s="626"/>
      <c r="AB204" s="1354" t="b">
        <v>0</v>
      </c>
      <c r="AC204" s="438"/>
      <c r="AD204" s="1354" t="b">
        <v>0</v>
      </c>
      <c r="AE204" s="1068"/>
      <c r="AF204" s="1349"/>
      <c r="AG204" s="1068"/>
      <c r="AH204" s="1349"/>
      <c r="AI204" s="1068"/>
      <c r="AJ204" s="1349"/>
      <c r="AK204" s="1068"/>
      <c r="AL204" s="1349"/>
      <c r="AM204" s="1349"/>
      <c r="AN204" s="1349"/>
      <c r="AO204" s="1349"/>
      <c r="AP204" s="1349"/>
      <c r="AQ204" s="741"/>
      <c r="AR204" s="741"/>
      <c r="AS204" s="741"/>
      <c r="AT204" s="741"/>
      <c r="AU204" s="391"/>
      <c r="AV204" s="792"/>
    </row>
    <row r="205" ht="27.75" hidden="1" customHeight="1">
      <c r="A205" s="79">
        <f t="shared" si="6"/>
        <v>30</v>
      </c>
      <c r="B205" s="177" t="s">
        <v>712</v>
      </c>
      <c r="C205" s="385">
        <v>52.3</v>
      </c>
      <c r="D205" s="385" t="s">
        <v>1083</v>
      </c>
      <c r="E205" s="385" t="s">
        <v>1194</v>
      </c>
      <c r="F205" s="391"/>
      <c r="G205" s="79" t="s">
        <v>243</v>
      </c>
      <c r="H205" s="82" t="b">
        <v>0</v>
      </c>
      <c r="I205" s="393"/>
      <c r="J205" s="82" t="b">
        <v>0</v>
      </c>
      <c r="K205" s="395"/>
      <c r="L205" s="391"/>
      <c r="M205" s="391"/>
      <c r="N205" s="1469"/>
      <c r="O205" s="391"/>
      <c r="P205" s="1347">
        <v>45767.0</v>
      </c>
      <c r="Q205" s="404"/>
      <c r="R205" s="1093"/>
      <c r="S205" s="1219">
        <v>45911.0</v>
      </c>
      <c r="T205" s="393"/>
      <c r="U205" s="1016">
        <f t="shared" si="8"/>
        <v>2</v>
      </c>
      <c r="V205" s="1017">
        <v>4.0</v>
      </c>
      <c r="W205" s="343">
        <v>45911.0</v>
      </c>
      <c r="X205" s="79" t="b">
        <v>1</v>
      </c>
      <c r="Y205" s="182">
        <v>46092.0</v>
      </c>
      <c r="Z205" s="79" t="b">
        <v>1</v>
      </c>
      <c r="AA205" s="626">
        <v>46274.0</v>
      </c>
      <c r="AB205" s="1354" t="b">
        <v>0</v>
      </c>
      <c r="AC205" s="438">
        <v>46456.0</v>
      </c>
      <c r="AD205" s="1354" t="b">
        <v>0</v>
      </c>
      <c r="AE205" s="1068"/>
      <c r="AF205" s="1349"/>
      <c r="AG205" s="1068"/>
      <c r="AH205" s="1349"/>
      <c r="AI205" s="1068"/>
      <c r="AJ205" s="1349"/>
      <c r="AK205" s="1068"/>
      <c r="AL205" s="1349"/>
      <c r="AM205" s="1349"/>
      <c r="AN205" s="1349"/>
      <c r="AO205" s="1349"/>
      <c r="AP205" s="1349"/>
      <c r="AQ205" s="741"/>
      <c r="AR205" s="741"/>
      <c r="AS205" s="741"/>
      <c r="AT205" s="741"/>
      <c r="AU205" s="391"/>
      <c r="AV205" s="792"/>
    </row>
    <row r="206" ht="27.75" hidden="1" customHeight="1">
      <c r="A206" s="79">
        <f t="shared" si="6"/>
        <v>30</v>
      </c>
      <c r="B206" s="177" t="s">
        <v>714</v>
      </c>
      <c r="C206" s="385">
        <v>20.0</v>
      </c>
      <c r="D206" s="385" t="s">
        <v>1083</v>
      </c>
      <c r="E206" s="385" t="s">
        <v>1194</v>
      </c>
      <c r="F206" s="391"/>
      <c r="G206" s="79" t="s">
        <v>243</v>
      </c>
      <c r="H206" s="82" t="b">
        <v>0</v>
      </c>
      <c r="I206" s="393"/>
      <c r="J206" s="82" t="b">
        <v>0</v>
      </c>
      <c r="K206" s="395"/>
      <c r="L206" s="396" t="s">
        <v>1196</v>
      </c>
      <c r="M206" s="396" t="s">
        <v>1197</v>
      </c>
      <c r="N206" s="1469"/>
      <c r="O206" s="391"/>
      <c r="P206" s="1347">
        <v>45789.0</v>
      </c>
      <c r="Q206" s="404"/>
      <c r="R206" s="1093"/>
      <c r="S206" s="1219">
        <v>45911.0</v>
      </c>
      <c r="T206" s="393"/>
      <c r="U206" s="1016">
        <f t="shared" si="8"/>
        <v>2</v>
      </c>
      <c r="V206" s="1017">
        <v>4.0</v>
      </c>
      <c r="W206" s="343">
        <v>45911.0</v>
      </c>
      <c r="X206" s="79" t="b">
        <v>1</v>
      </c>
      <c r="Y206" s="182">
        <v>46092.0</v>
      </c>
      <c r="Z206" s="79" t="b">
        <v>1</v>
      </c>
      <c r="AA206" s="626">
        <v>46274.0</v>
      </c>
      <c r="AB206" s="1354" t="b">
        <v>0</v>
      </c>
      <c r="AC206" s="438">
        <v>46456.0</v>
      </c>
      <c r="AD206" s="1354" t="b">
        <v>0</v>
      </c>
      <c r="AE206" s="1068"/>
      <c r="AF206" s="1349"/>
      <c r="AG206" s="1068"/>
      <c r="AH206" s="1349"/>
      <c r="AI206" s="1068"/>
      <c r="AJ206" s="1349"/>
      <c r="AK206" s="1068"/>
      <c r="AL206" s="1349"/>
      <c r="AM206" s="1349"/>
      <c r="AN206" s="1349"/>
      <c r="AO206" s="1349"/>
      <c r="AP206" s="1349"/>
      <c r="AQ206" s="741"/>
      <c r="AR206" s="741"/>
      <c r="AS206" s="741"/>
      <c r="AT206" s="741"/>
      <c r="AU206" s="391"/>
      <c r="AV206" s="110"/>
    </row>
    <row r="207" ht="27.75" hidden="1" customHeight="1">
      <c r="A207" s="79">
        <f t="shared" si="6"/>
        <v>30</v>
      </c>
      <c r="B207" s="202" t="s">
        <v>715</v>
      </c>
      <c r="C207" s="354">
        <v>10.08</v>
      </c>
      <c r="D207" s="354" t="s">
        <v>1083</v>
      </c>
      <c r="E207" s="354" t="s">
        <v>1094</v>
      </c>
      <c r="F207" s="356"/>
      <c r="G207" s="79" t="s">
        <v>243</v>
      </c>
      <c r="H207" s="82" t="b">
        <v>0</v>
      </c>
      <c r="I207" s="582"/>
      <c r="J207" s="82" t="b">
        <v>0</v>
      </c>
      <c r="K207" s="583"/>
      <c r="L207" s="202" t="s">
        <v>1198</v>
      </c>
      <c r="M207" s="1514">
        <v>8.48483995E8</v>
      </c>
      <c r="N207" s="1515" t="s">
        <v>1199</v>
      </c>
      <c r="O207" s="1507"/>
      <c r="P207" s="1347">
        <v>45503.0</v>
      </c>
      <c r="Q207" s="371"/>
      <c r="R207" s="793">
        <v>46181.0</v>
      </c>
      <c r="S207" s="1208">
        <v>45752.0</v>
      </c>
      <c r="T207" s="1508" t="s">
        <v>1195</v>
      </c>
      <c r="U207" s="73">
        <f t="shared" si="8"/>
        <v>2</v>
      </c>
      <c r="V207" s="75">
        <v>4.0</v>
      </c>
      <c r="W207" s="343">
        <v>45752.0</v>
      </c>
      <c r="X207" s="79" t="b">
        <v>1</v>
      </c>
      <c r="Y207" s="343">
        <v>45911.0</v>
      </c>
      <c r="Z207" s="79" t="b">
        <v>1</v>
      </c>
      <c r="AA207" s="182">
        <v>46092.0</v>
      </c>
      <c r="AB207" s="79" t="b">
        <v>0</v>
      </c>
      <c r="AC207" s="626">
        <v>46274.0</v>
      </c>
      <c r="AD207" s="1354" t="b">
        <v>0</v>
      </c>
      <c r="AE207" s="1516"/>
      <c r="AF207" s="1517"/>
      <c r="AG207" s="1068"/>
      <c r="AH207" s="1349"/>
      <c r="AI207" s="1068"/>
      <c r="AJ207" s="1349"/>
      <c r="AK207" s="1068"/>
      <c r="AL207" s="1349"/>
      <c r="AM207" s="1349"/>
      <c r="AN207" s="1349"/>
      <c r="AO207" s="1349"/>
      <c r="AP207" s="1349"/>
      <c r="AQ207" s="79"/>
      <c r="AR207" s="79"/>
      <c r="AS207" s="79"/>
      <c r="AT207" s="79"/>
      <c r="AU207" s="356"/>
      <c r="AV207" s="792"/>
    </row>
    <row r="208" ht="27.75" hidden="1" customHeight="1">
      <c r="A208" s="79">
        <f t="shared" si="6"/>
        <v>30</v>
      </c>
      <c r="B208" s="62" t="s">
        <v>1200</v>
      </c>
      <c r="C208" s="67">
        <v>22.08</v>
      </c>
      <c r="D208" s="67"/>
      <c r="E208" s="67"/>
      <c r="F208" s="147"/>
      <c r="G208" s="79" t="s">
        <v>84</v>
      </c>
      <c r="H208" s="82" t="b">
        <v>0</v>
      </c>
      <c r="I208" s="148"/>
      <c r="J208" s="82" t="b">
        <v>0</v>
      </c>
      <c r="K208" s="149"/>
      <c r="L208" s="147"/>
      <c r="M208" s="147"/>
      <c r="N208" s="147"/>
      <c r="O208" s="147"/>
      <c r="P208" s="1334">
        <v>46098.0</v>
      </c>
      <c r="Q208" s="155"/>
      <c r="R208" s="156">
        <v>46828.0</v>
      </c>
      <c r="S208" s="1244"/>
      <c r="T208" s="147"/>
      <c r="U208" s="1016">
        <f t="shared" si="8"/>
        <v>0</v>
      </c>
      <c r="V208" s="1519">
        <v>4.0</v>
      </c>
      <c r="W208" s="960">
        <v>46274.0</v>
      </c>
      <c r="X208" s="79" t="b">
        <v>0</v>
      </c>
      <c r="Y208" s="960">
        <v>46456.0</v>
      </c>
      <c r="Z208" s="79" t="b">
        <v>0</v>
      </c>
      <c r="AA208" s="960">
        <v>46638.0</v>
      </c>
      <c r="AB208" s="79" t="b">
        <v>0</v>
      </c>
      <c r="AC208" s="960">
        <v>46820.0</v>
      </c>
      <c r="AD208" s="79" t="b">
        <v>0</v>
      </c>
      <c r="AE208" s="256"/>
      <c r="AF208" s="256"/>
      <c r="AG208" s="256"/>
      <c r="AH208" s="256"/>
      <c r="AI208" s="256"/>
      <c r="AJ208" s="256"/>
      <c r="AK208" s="256"/>
      <c r="AL208" s="256"/>
      <c r="AM208" s="256"/>
      <c r="AN208" s="256"/>
      <c r="AO208" s="256"/>
      <c r="AP208" s="256"/>
      <c r="AQ208" s="147"/>
      <c r="AR208" s="147"/>
      <c r="AS208" s="147"/>
      <c r="AT208" s="147"/>
      <c r="AU208" s="147"/>
      <c r="AV208" s="110"/>
    </row>
    <row r="209" ht="27.75" hidden="1" customHeight="1">
      <c r="A209" s="79">
        <f t="shared" si="6"/>
        <v>30</v>
      </c>
      <c r="B209" s="62" t="s">
        <v>1200</v>
      </c>
      <c r="C209" s="67">
        <v>25.5</v>
      </c>
      <c r="D209" s="67" t="s">
        <v>236</v>
      </c>
      <c r="E209" s="67" t="s">
        <v>1202</v>
      </c>
      <c r="F209" s="147"/>
      <c r="G209" s="79" t="s">
        <v>84</v>
      </c>
      <c r="H209" s="82" t="b">
        <v>0</v>
      </c>
      <c r="I209" s="148"/>
      <c r="J209" s="82" t="b">
        <v>0</v>
      </c>
      <c r="K209" s="149"/>
      <c r="L209" s="147"/>
      <c r="M209" s="147"/>
      <c r="N209" s="147"/>
      <c r="O209" s="186"/>
      <c r="P209" s="1334">
        <v>46253.0</v>
      </c>
      <c r="Q209" s="155"/>
      <c r="R209" s="156">
        <v>46983.0</v>
      </c>
      <c r="S209" s="1244"/>
      <c r="T209" s="147"/>
      <c r="U209" s="515">
        <f t="shared" si="8"/>
        <v>0</v>
      </c>
      <c r="V209" s="1030">
        <v>4.0</v>
      </c>
      <c r="W209" s="960"/>
      <c r="X209" s="79" t="b">
        <v>0</v>
      </c>
      <c r="Y209" s="960"/>
      <c r="Z209" s="79" t="b">
        <v>0</v>
      </c>
      <c r="AA209" s="960"/>
      <c r="AB209" s="79" t="b">
        <v>0</v>
      </c>
      <c r="AC209" s="960"/>
      <c r="AD209" s="79" t="b">
        <v>0</v>
      </c>
      <c r="AE209" s="256"/>
      <c r="AF209" s="256"/>
      <c r="AG209" s="256"/>
      <c r="AH209" s="256"/>
      <c r="AI209" s="256"/>
      <c r="AJ209" s="256"/>
      <c r="AK209" s="256"/>
      <c r="AL209" s="256"/>
      <c r="AM209" s="256"/>
      <c r="AN209" s="256"/>
      <c r="AO209" s="256"/>
      <c r="AP209" s="256"/>
      <c r="AQ209" s="147"/>
      <c r="AR209" s="147"/>
      <c r="AS209" s="147"/>
      <c r="AT209" s="147"/>
      <c r="AU209" s="147"/>
      <c r="AV209" s="792"/>
    </row>
    <row r="210" ht="27.75" hidden="1" customHeight="1">
      <c r="A210" s="58">
        <f t="shared" si="6"/>
        <v>30</v>
      </c>
      <c r="B210" s="177" t="s">
        <v>895</v>
      </c>
      <c r="C210" s="385">
        <v>7.68</v>
      </c>
      <c r="D210" s="385" t="s">
        <v>101</v>
      </c>
      <c r="E210" s="385" t="s">
        <v>1204</v>
      </c>
      <c r="F210" s="391"/>
      <c r="G210" s="79" t="s">
        <v>243</v>
      </c>
      <c r="H210" s="82" t="b">
        <v>0</v>
      </c>
      <c r="I210" s="393"/>
      <c r="J210" s="82" t="b">
        <v>0</v>
      </c>
      <c r="K210" s="395"/>
      <c r="L210" s="391"/>
      <c r="M210" s="391"/>
      <c r="N210" s="1469"/>
      <c r="O210" s="391"/>
      <c r="P210" s="1502"/>
      <c r="Q210" s="404"/>
      <c r="R210" s="406">
        <v>46419.0</v>
      </c>
      <c r="S210" s="1343">
        <v>46055.0</v>
      </c>
      <c r="T210" s="393"/>
      <c r="U210" s="73">
        <f t="shared" si="8"/>
        <v>3</v>
      </c>
      <c r="V210" s="75">
        <v>4.0</v>
      </c>
      <c r="W210" s="1070">
        <v>45873.0</v>
      </c>
      <c r="X210" s="79" t="b">
        <v>1</v>
      </c>
      <c r="Y210" s="1070">
        <v>46055.0</v>
      </c>
      <c r="Z210" s="79" t="b">
        <v>1</v>
      </c>
      <c r="AA210" s="1070">
        <v>46252.0</v>
      </c>
      <c r="AB210" s="79" t="b">
        <v>1</v>
      </c>
      <c r="AC210" s="438">
        <v>46419.0</v>
      </c>
      <c r="AD210" s="1354" t="b">
        <v>0</v>
      </c>
      <c r="AE210" s="1068"/>
      <c r="AF210" s="1349"/>
      <c r="AG210" s="1068"/>
      <c r="AH210" s="1349"/>
      <c r="AI210" s="1068"/>
      <c r="AJ210" s="1349"/>
      <c r="AK210" s="1068"/>
      <c r="AL210" s="1349"/>
      <c r="AM210" s="1349"/>
      <c r="AN210" s="1349"/>
      <c r="AO210" s="1349"/>
      <c r="AP210" s="1349"/>
      <c r="AQ210" s="741"/>
      <c r="AR210" s="741"/>
      <c r="AS210" s="741"/>
      <c r="AT210" s="741"/>
      <c r="AU210" s="391"/>
      <c r="AV210" s="792"/>
    </row>
    <row r="211" ht="27.75" hidden="1" customHeight="1">
      <c r="A211" s="58">
        <f t="shared" si="6"/>
        <v>30</v>
      </c>
      <c r="B211" s="62" t="s">
        <v>1205</v>
      </c>
      <c r="C211" s="67">
        <v>8.16</v>
      </c>
      <c r="D211" s="67"/>
      <c r="E211" s="67"/>
      <c r="F211" s="147"/>
      <c r="G211" s="79" t="s">
        <v>84</v>
      </c>
      <c r="H211" s="82" t="b">
        <v>0</v>
      </c>
      <c r="I211" s="148"/>
      <c r="J211" s="82" t="b">
        <v>0</v>
      </c>
      <c r="K211" s="149"/>
      <c r="L211" s="147"/>
      <c r="M211" s="147"/>
      <c r="N211" s="147"/>
      <c r="O211" s="147"/>
      <c r="P211" s="1334">
        <v>46114.0</v>
      </c>
      <c r="Q211" s="1520"/>
      <c r="R211" s="156">
        <v>46844.0</v>
      </c>
      <c r="S211" s="1244"/>
      <c r="T211" s="147"/>
      <c r="U211" s="73">
        <f t="shared" si="8"/>
        <v>0</v>
      </c>
      <c r="V211" s="161">
        <v>4.0</v>
      </c>
      <c r="W211" s="960">
        <v>46312.0</v>
      </c>
      <c r="X211" s="79" t="b">
        <v>0</v>
      </c>
      <c r="Y211" s="960">
        <v>46494.0</v>
      </c>
      <c r="Z211" s="79" t="b">
        <v>0</v>
      </c>
      <c r="AA211" s="960">
        <v>46676.0</v>
      </c>
      <c r="AB211" s="79" t="b">
        <v>0</v>
      </c>
      <c r="AC211" s="960">
        <v>46858.0</v>
      </c>
      <c r="AD211" s="79" t="b">
        <v>0</v>
      </c>
      <c r="AE211" s="256"/>
      <c r="AF211" s="256"/>
      <c r="AG211" s="256"/>
      <c r="AH211" s="256"/>
      <c r="AI211" s="256"/>
      <c r="AJ211" s="256"/>
      <c r="AK211" s="256"/>
      <c r="AL211" s="256"/>
      <c r="AM211" s="256"/>
      <c r="AN211" s="256"/>
      <c r="AO211" s="256"/>
      <c r="AP211" s="256"/>
      <c r="AQ211" s="147"/>
      <c r="AR211" s="147"/>
      <c r="AS211" s="147"/>
      <c r="AT211" s="147"/>
      <c r="AU211" s="147"/>
      <c r="AV211" s="792"/>
    </row>
    <row r="212" ht="27.75" hidden="1" customHeight="1">
      <c r="A212" s="58">
        <f t="shared" si="6"/>
        <v>30</v>
      </c>
      <c r="B212" s="177" t="s">
        <v>1206</v>
      </c>
      <c r="C212" s="385">
        <v>11.2</v>
      </c>
      <c r="D212" s="385" t="s">
        <v>721</v>
      </c>
      <c r="E212" s="385"/>
      <c r="F212" s="391"/>
      <c r="G212" s="79" t="s">
        <v>555</v>
      </c>
      <c r="H212" s="82" t="b">
        <v>0</v>
      </c>
      <c r="I212" s="393"/>
      <c r="J212" s="82" t="b">
        <v>0</v>
      </c>
      <c r="K212" s="395"/>
      <c r="L212" s="391"/>
      <c r="M212" s="391"/>
      <c r="N212" s="1469"/>
      <c r="O212" s="391"/>
      <c r="P212" s="1347"/>
      <c r="Q212" s="633"/>
      <c r="R212" s="406"/>
      <c r="S212" s="393"/>
      <c r="T212" s="1521"/>
      <c r="U212" s="73">
        <f t="shared" si="8"/>
        <v>0</v>
      </c>
      <c r="V212" s="75">
        <v>4.0</v>
      </c>
      <c r="W212" s="343"/>
      <c r="X212" s="79" t="b">
        <v>0</v>
      </c>
      <c r="Y212" s="182"/>
      <c r="Z212" s="1353" t="b">
        <v>0</v>
      </c>
      <c r="AA212" s="626"/>
      <c r="AB212" s="1353" t="b">
        <v>0</v>
      </c>
      <c r="AC212" s="626"/>
      <c r="AD212" s="1354" t="b">
        <v>0</v>
      </c>
      <c r="AE212" s="1068"/>
      <c r="AF212" s="1349"/>
      <c r="AG212" s="1068"/>
      <c r="AH212" s="1349"/>
      <c r="AI212" s="1068"/>
      <c r="AJ212" s="1349"/>
      <c r="AK212" s="1068"/>
      <c r="AL212" s="1349"/>
      <c r="AM212" s="1349"/>
      <c r="AN212" s="1349"/>
      <c r="AO212" s="1349"/>
      <c r="AP212" s="1349"/>
      <c r="AQ212" s="741"/>
      <c r="AR212" s="741"/>
      <c r="AS212" s="741"/>
      <c r="AT212" s="741"/>
      <c r="AU212" s="391"/>
      <c r="AV212" s="792"/>
    </row>
    <row r="213" ht="27.75" customHeight="1">
      <c r="A213" s="304">
        <f t="shared" si="6"/>
        <v>31</v>
      </c>
      <c r="B213" s="72" t="s">
        <v>716</v>
      </c>
      <c r="C213" s="756"/>
      <c r="D213" s="756" t="s">
        <v>111</v>
      </c>
      <c r="E213" s="587"/>
      <c r="F213" s="587"/>
      <c r="G213" s="1522" t="s">
        <v>105</v>
      </c>
      <c r="H213" s="82" t="b">
        <v>0</v>
      </c>
      <c r="I213" s="85"/>
      <c r="J213" s="82" t="b">
        <v>0</v>
      </c>
      <c r="K213" s="474"/>
      <c r="L213" s="1523" t="s">
        <v>329</v>
      </c>
      <c r="M213" s="1524"/>
      <c r="N213" s="1525"/>
      <c r="O213" s="1526"/>
      <c r="P213" s="1527"/>
      <c r="Q213" s="477"/>
      <c r="R213" s="547">
        <v>45345.0</v>
      </c>
      <c r="S213" s="529">
        <v>45345.0</v>
      </c>
      <c r="T213" s="529"/>
      <c r="U213" s="757">
        <f t="shared" si="8"/>
        <v>2</v>
      </c>
      <c r="V213" s="759">
        <v>2.0</v>
      </c>
      <c r="W213" s="1528">
        <v>44963.0</v>
      </c>
      <c r="X213" s="1522" t="b">
        <v>1</v>
      </c>
      <c r="Y213" s="1529">
        <v>45345.0</v>
      </c>
      <c r="Z213" s="1522" t="b">
        <v>1</v>
      </c>
      <c r="AA213" s="343"/>
      <c r="AB213" s="79"/>
      <c r="AC213" s="182"/>
      <c r="AD213" s="471"/>
      <c r="AE213" s="182"/>
      <c r="AF213" s="79"/>
      <c r="AG213" s="182"/>
      <c r="AH213" s="471"/>
      <c r="AI213" s="1528"/>
      <c r="AJ213" s="1522"/>
      <c r="AK213" s="1528"/>
      <c r="AL213" s="1522"/>
      <c r="AM213" s="422"/>
      <c r="AN213" s="422"/>
      <c r="AO213" s="422"/>
      <c r="AP213" s="422"/>
      <c r="AQ213" s="79"/>
      <c r="AR213" s="79"/>
      <c r="AS213" s="79"/>
      <c r="AT213" s="79"/>
      <c r="AU213" s="1530"/>
      <c r="AV213" s="792"/>
    </row>
    <row r="214" ht="27.75" hidden="1" customHeight="1">
      <c r="A214" s="79">
        <f t="shared" si="6"/>
        <v>31</v>
      </c>
      <c r="B214" s="62" t="s">
        <v>1207</v>
      </c>
      <c r="C214" s="67">
        <v>25.4</v>
      </c>
      <c r="D214" s="67" t="s">
        <v>236</v>
      </c>
      <c r="E214" s="67" t="s">
        <v>1208</v>
      </c>
      <c r="F214" s="147"/>
      <c r="G214" s="79" t="s">
        <v>84</v>
      </c>
      <c r="H214" s="82" t="b">
        <v>0</v>
      </c>
      <c r="I214" s="148"/>
      <c r="J214" s="82" t="b">
        <v>0</v>
      </c>
      <c r="K214" s="149"/>
      <c r="L214" s="186" t="s">
        <v>1209</v>
      </c>
      <c r="M214" s="147"/>
      <c r="N214" s="147"/>
      <c r="O214" s="186" t="s">
        <v>219</v>
      </c>
      <c r="P214" s="1334">
        <v>46133.0</v>
      </c>
      <c r="Q214" s="155"/>
      <c r="R214" s="156">
        <v>46863.0</v>
      </c>
      <c r="S214" s="1244"/>
      <c r="T214" s="147"/>
      <c r="U214" s="73">
        <f t="shared" si="8"/>
        <v>1</v>
      </c>
      <c r="V214" s="161">
        <v>4.0</v>
      </c>
      <c r="W214" s="960">
        <v>46239.0</v>
      </c>
      <c r="X214" s="79" t="b">
        <v>1</v>
      </c>
      <c r="Y214" s="960">
        <v>46409.0</v>
      </c>
      <c r="Z214" s="79" t="b">
        <v>0</v>
      </c>
      <c r="AA214" s="960">
        <v>46590.0</v>
      </c>
      <c r="AB214" s="79" t="b">
        <v>0</v>
      </c>
      <c r="AC214" s="960">
        <v>46774.0</v>
      </c>
      <c r="AD214" s="79" t="b">
        <v>0</v>
      </c>
      <c r="AE214" s="256"/>
      <c r="AF214" s="256"/>
      <c r="AG214" s="256"/>
      <c r="AH214" s="256"/>
      <c r="AI214" s="256"/>
      <c r="AJ214" s="256"/>
      <c r="AK214" s="256"/>
      <c r="AL214" s="256"/>
      <c r="AM214" s="256"/>
      <c r="AN214" s="256"/>
      <c r="AO214" s="256"/>
      <c r="AP214" s="256"/>
      <c r="AQ214" s="147"/>
      <c r="AR214" s="147"/>
      <c r="AS214" s="147"/>
      <c r="AT214" s="147"/>
      <c r="AU214" s="147"/>
      <c r="AV214" s="792"/>
    </row>
    <row r="215" ht="27.75" hidden="1" customHeight="1">
      <c r="A215" s="79">
        <f t="shared" si="6"/>
        <v>31</v>
      </c>
      <c r="B215" s="1531" t="s">
        <v>604</v>
      </c>
      <c r="C215" s="1532"/>
      <c r="D215" s="1532" t="s">
        <v>906</v>
      </c>
      <c r="E215" s="1532"/>
      <c r="F215" s="1532"/>
      <c r="G215" s="779" t="s">
        <v>555</v>
      </c>
      <c r="H215" s="82" t="b">
        <v>0</v>
      </c>
      <c r="I215" s="1533"/>
      <c r="J215" s="82" t="b">
        <v>0</v>
      </c>
      <c r="K215" s="1534"/>
      <c r="L215" s="765" t="s">
        <v>605</v>
      </c>
      <c r="M215" s="1535">
        <v>8.17369884E8</v>
      </c>
      <c r="N215" s="1537"/>
      <c r="O215" s="1538"/>
      <c r="P215" s="1539"/>
      <c r="Q215" s="1540" t="s">
        <v>105</v>
      </c>
      <c r="R215" s="1541">
        <v>45114.0</v>
      </c>
      <c r="S215" s="1542">
        <v>45114.0</v>
      </c>
      <c r="T215" s="1542"/>
      <c r="U215" s="767">
        <f t="shared" si="8"/>
        <v>4</v>
      </c>
      <c r="V215" s="771">
        <v>4.0</v>
      </c>
      <c r="W215" s="1543">
        <v>44564.0</v>
      </c>
      <c r="X215" s="779" t="b">
        <v>1</v>
      </c>
      <c r="Y215" s="1543">
        <v>44713.0</v>
      </c>
      <c r="Z215" s="779" t="b">
        <v>1</v>
      </c>
      <c r="AA215" s="1543">
        <v>44931.0</v>
      </c>
      <c r="AB215" s="779" t="b">
        <v>1</v>
      </c>
      <c r="AC215" s="1543">
        <v>45114.0</v>
      </c>
      <c r="AD215" s="779" t="b">
        <v>1</v>
      </c>
      <c r="AE215" s="1543"/>
      <c r="AF215" s="779"/>
      <c r="AG215" s="1543"/>
      <c r="AH215" s="779"/>
      <c r="AI215" s="1543"/>
      <c r="AJ215" s="779"/>
      <c r="AK215" s="1543"/>
      <c r="AL215" s="779"/>
      <c r="AM215" s="422"/>
      <c r="AN215" s="422"/>
      <c r="AO215" s="422"/>
      <c r="AP215" s="422"/>
      <c r="AQ215" s="79"/>
      <c r="AR215" s="79"/>
      <c r="AS215" s="79"/>
      <c r="AT215" s="79"/>
      <c r="AU215" s="765" t="s">
        <v>734</v>
      </c>
      <c r="AV215" s="792"/>
    </row>
    <row r="216" ht="27.75" hidden="1" customHeight="1">
      <c r="A216" s="79">
        <f t="shared" si="6"/>
        <v>31</v>
      </c>
      <c r="B216" s="202" t="s">
        <v>736</v>
      </c>
      <c r="C216" s="354">
        <v>7.68</v>
      </c>
      <c r="D216" s="354" t="s">
        <v>911</v>
      </c>
      <c r="E216" s="354" t="s">
        <v>1210</v>
      </c>
      <c r="F216" s="356"/>
      <c r="G216" s="79" t="s">
        <v>243</v>
      </c>
      <c r="H216" s="82" t="b">
        <v>0</v>
      </c>
      <c r="I216" s="561"/>
      <c r="J216" s="82" t="b">
        <v>0</v>
      </c>
      <c r="K216" s="562"/>
      <c r="L216" s="1509" t="s">
        <v>1211</v>
      </c>
      <c r="M216" s="1510" t="s">
        <v>1211</v>
      </c>
      <c r="N216" s="511"/>
      <c r="O216" s="1507"/>
      <c r="P216" s="1347">
        <v>45534.0</v>
      </c>
      <c r="Q216" s="371"/>
      <c r="R216" s="793">
        <v>46307.0</v>
      </c>
      <c r="S216" s="631">
        <v>45950.0</v>
      </c>
      <c r="T216" s="1508" t="s">
        <v>915</v>
      </c>
      <c r="U216" s="73">
        <f t="shared" si="8"/>
        <v>3</v>
      </c>
      <c r="V216" s="75">
        <v>4.0</v>
      </c>
      <c r="W216" s="114">
        <v>45639.0</v>
      </c>
      <c r="X216" s="79" t="b">
        <v>1</v>
      </c>
      <c r="Y216" s="343">
        <v>45950.0</v>
      </c>
      <c r="Z216" s="79" t="b">
        <v>1</v>
      </c>
      <c r="AA216" s="343">
        <v>46110.0</v>
      </c>
      <c r="AB216" s="79" t="b">
        <v>1</v>
      </c>
      <c r="AC216" s="182">
        <v>46307.0</v>
      </c>
      <c r="AD216" s="471" t="b">
        <v>0</v>
      </c>
      <c r="AE216" s="1068"/>
      <c r="AF216" s="1349"/>
      <c r="AG216" s="1068"/>
      <c r="AH216" s="1349"/>
      <c r="AI216" s="1068"/>
      <c r="AJ216" s="1349"/>
      <c r="AK216" s="1068"/>
      <c r="AL216" s="1349"/>
      <c r="AM216" s="1349"/>
      <c r="AN216" s="1349"/>
      <c r="AO216" s="1349"/>
      <c r="AP216" s="1349"/>
      <c r="AQ216" s="79"/>
      <c r="AR216" s="79"/>
      <c r="AS216" s="79"/>
      <c r="AT216" s="79"/>
      <c r="AU216" s="356"/>
      <c r="AV216" s="792"/>
    </row>
    <row r="217" ht="27.75" hidden="1" customHeight="1">
      <c r="A217" s="79">
        <f t="shared" si="6"/>
        <v>31</v>
      </c>
      <c r="B217" s="795" t="s">
        <v>745</v>
      </c>
      <c r="C217" s="67">
        <v>18.0</v>
      </c>
      <c r="D217" s="67" t="s">
        <v>137</v>
      </c>
      <c r="E217" s="67"/>
      <c r="F217" s="488" t="s">
        <v>138</v>
      </c>
      <c r="G217" s="79" t="s">
        <v>243</v>
      </c>
      <c r="H217" s="82" t="b">
        <v>0</v>
      </c>
      <c r="I217" s="85"/>
      <c r="J217" s="82" t="b">
        <v>0</v>
      </c>
      <c r="K217" s="89"/>
      <c r="L217" s="62"/>
      <c r="M217" s="1472" t="s">
        <v>913</v>
      </c>
      <c r="N217" s="511" t="s">
        <v>914</v>
      </c>
      <c r="O217" s="1358"/>
      <c r="P217" s="1087"/>
      <c r="Q217" s="100"/>
      <c r="R217" s="102">
        <v>46140.0</v>
      </c>
      <c r="S217" s="631">
        <v>45948.0</v>
      </c>
      <c r="T217" s="1464" t="s">
        <v>415</v>
      </c>
      <c r="U217" s="73">
        <f t="shared" si="8"/>
        <v>5</v>
      </c>
      <c r="V217" s="75">
        <v>6.0</v>
      </c>
      <c r="W217" s="343">
        <v>45226.0</v>
      </c>
      <c r="X217" s="79" t="b">
        <v>1</v>
      </c>
      <c r="Y217" s="343">
        <v>45414.0</v>
      </c>
      <c r="Z217" s="79" t="b">
        <v>1</v>
      </c>
      <c r="AA217" s="343">
        <v>45619.0</v>
      </c>
      <c r="AB217" s="79" t="b">
        <v>1</v>
      </c>
      <c r="AC217" s="182">
        <v>45769.0</v>
      </c>
      <c r="AD217" s="79" t="b">
        <v>1</v>
      </c>
      <c r="AE217" s="343">
        <v>45948.0</v>
      </c>
      <c r="AF217" s="79" t="b">
        <v>1</v>
      </c>
      <c r="AG217" s="182">
        <v>46140.0</v>
      </c>
      <c r="AH217" s="79" t="b">
        <v>0</v>
      </c>
      <c r="AI217" s="182"/>
      <c r="AJ217" s="79"/>
      <c r="AK217" s="182"/>
      <c r="AL217" s="79"/>
      <c r="AM217" s="422"/>
      <c r="AN217" s="422"/>
      <c r="AO217" s="422"/>
      <c r="AP217" s="422"/>
      <c r="AQ217" s="79"/>
      <c r="AR217" s="79"/>
      <c r="AS217" s="79"/>
      <c r="AT217" s="79"/>
      <c r="AU217" s="62"/>
      <c r="AV217" s="792"/>
    </row>
    <row r="218" ht="27.75" hidden="1" customHeight="1">
      <c r="A218" s="79">
        <f t="shared" si="6"/>
        <v>31</v>
      </c>
      <c r="B218" s="177" t="s">
        <v>1214</v>
      </c>
      <c r="C218" s="385">
        <v>12.4</v>
      </c>
      <c r="D218" s="385" t="s">
        <v>101</v>
      </c>
      <c r="E218" s="385"/>
      <c r="F218" s="391"/>
      <c r="G218" s="79" t="s">
        <v>84</v>
      </c>
      <c r="H218" s="82" t="b">
        <v>0</v>
      </c>
      <c r="I218" s="393"/>
      <c r="J218" s="82" t="b">
        <v>0</v>
      </c>
      <c r="K218" s="395"/>
      <c r="L218" s="391"/>
      <c r="M218" s="391"/>
      <c r="N218" s="1469"/>
      <c r="O218" s="391"/>
      <c r="P218" s="1347">
        <v>45863.0</v>
      </c>
      <c r="Q218" s="633"/>
      <c r="R218" s="406">
        <v>46601.0</v>
      </c>
      <c r="S218" s="1343">
        <v>46055.0</v>
      </c>
      <c r="T218" s="1521"/>
      <c r="U218" s="73">
        <f t="shared" si="8"/>
        <v>1</v>
      </c>
      <c r="V218" s="75">
        <v>4.0</v>
      </c>
      <c r="W218" s="411">
        <v>46055.0</v>
      </c>
      <c r="X218" s="68" t="b">
        <v>1</v>
      </c>
      <c r="Y218" s="411">
        <v>46237.0</v>
      </c>
      <c r="Z218" s="197" t="b">
        <v>0</v>
      </c>
      <c r="AA218" s="438">
        <v>46419.0</v>
      </c>
      <c r="AB218" s="1354" t="b">
        <v>0</v>
      </c>
      <c r="AC218" s="626">
        <v>46601.0</v>
      </c>
      <c r="AD218" s="1354" t="b">
        <v>0</v>
      </c>
      <c r="AE218" s="1068"/>
      <c r="AF218" s="1349"/>
      <c r="AG218" s="1068"/>
      <c r="AH218" s="1349"/>
      <c r="AI218" s="1068"/>
      <c r="AJ218" s="1349"/>
      <c r="AK218" s="1068"/>
      <c r="AL218" s="1349"/>
      <c r="AM218" s="1349"/>
      <c r="AN218" s="1349"/>
      <c r="AO218" s="1349"/>
      <c r="AP218" s="1349"/>
      <c r="AQ218" s="741"/>
      <c r="AR218" s="741"/>
      <c r="AS218" s="741"/>
      <c r="AT218" s="741"/>
      <c r="AU218" s="391"/>
      <c r="AV218" s="792"/>
    </row>
    <row r="219" ht="27.75" hidden="1" customHeight="1">
      <c r="A219" s="79">
        <f t="shared" si="6"/>
        <v>31</v>
      </c>
      <c r="B219" s="62" t="s">
        <v>748</v>
      </c>
      <c r="C219" s="67"/>
      <c r="D219" s="67" t="s">
        <v>465</v>
      </c>
      <c r="E219" s="67"/>
      <c r="F219" s="67"/>
      <c r="G219" s="79" t="s">
        <v>243</v>
      </c>
      <c r="H219" s="82" t="b">
        <v>0</v>
      </c>
      <c r="I219" s="85"/>
      <c r="J219" s="82" t="b">
        <v>0</v>
      </c>
      <c r="K219" s="89"/>
      <c r="L219" s="62"/>
      <c r="M219" s="1472"/>
      <c r="N219" s="511"/>
      <c r="O219" s="1358"/>
      <c r="P219" s="1087"/>
      <c r="Q219" s="100"/>
      <c r="R219" s="102">
        <v>45942.0</v>
      </c>
      <c r="S219" s="1208">
        <v>45339.0</v>
      </c>
      <c r="T219" s="1460" t="s">
        <v>922</v>
      </c>
      <c r="U219" s="73">
        <f t="shared" si="8"/>
        <v>1</v>
      </c>
      <c r="V219" s="75">
        <v>4.0</v>
      </c>
      <c r="W219" s="343">
        <v>45429.0</v>
      </c>
      <c r="X219" s="79" t="b">
        <v>1</v>
      </c>
      <c r="Y219" s="343">
        <v>45517.0</v>
      </c>
      <c r="Z219" s="422" t="b">
        <v>0</v>
      </c>
      <c r="AA219" s="182">
        <v>45699.0</v>
      </c>
      <c r="AB219" s="79" t="b">
        <v>0</v>
      </c>
      <c r="AC219" s="343">
        <v>45881.0</v>
      </c>
      <c r="AD219" s="422" t="b">
        <v>0</v>
      </c>
      <c r="AE219" s="343">
        <v>46063.0</v>
      </c>
      <c r="AF219" s="471" t="b">
        <v>0</v>
      </c>
      <c r="AG219" s="182"/>
      <c r="AH219" s="79"/>
      <c r="AI219" s="182"/>
      <c r="AJ219" s="79"/>
      <c r="AK219" s="182"/>
      <c r="AL219" s="79"/>
      <c r="AM219" s="422"/>
      <c r="AN219" s="422"/>
      <c r="AO219" s="422"/>
      <c r="AP219" s="422"/>
      <c r="AQ219" s="79"/>
      <c r="AR219" s="79"/>
      <c r="AS219" s="79"/>
      <c r="AT219" s="79"/>
      <c r="AU219" s="62"/>
      <c r="AV219" s="792"/>
    </row>
    <row r="220" ht="27.75" hidden="1" customHeight="1">
      <c r="A220" s="79">
        <f t="shared" si="6"/>
        <v>31</v>
      </c>
      <c r="B220" s="1549" t="s">
        <v>149</v>
      </c>
      <c r="C220" s="587">
        <v>12.0</v>
      </c>
      <c r="D220" s="587" t="s">
        <v>111</v>
      </c>
      <c r="E220" s="587"/>
      <c r="F220" s="1550" t="s">
        <v>150</v>
      </c>
      <c r="G220" s="1522" t="s">
        <v>84</v>
      </c>
      <c r="H220" s="82" t="b">
        <v>1</v>
      </c>
      <c r="I220" s="1551">
        <v>45827.0</v>
      </c>
      <c r="J220" s="82" t="b">
        <v>1</v>
      </c>
      <c r="K220" s="89">
        <v>45965.0</v>
      </c>
      <c r="L220" s="1523" t="s">
        <v>926</v>
      </c>
      <c r="M220" s="1524" t="s">
        <v>927</v>
      </c>
      <c r="N220" s="511" t="s">
        <v>928</v>
      </c>
      <c r="O220" s="1358" t="s">
        <v>929</v>
      </c>
      <c r="P220" s="1087"/>
      <c r="Q220" s="100"/>
      <c r="R220" s="102">
        <v>45817.0</v>
      </c>
      <c r="S220" s="631">
        <v>45974.0</v>
      </c>
      <c r="T220" s="1208"/>
      <c r="U220" s="73">
        <f t="shared" si="8"/>
        <v>6</v>
      </c>
      <c r="V220" s="759">
        <v>8.0</v>
      </c>
      <c r="W220" s="1528">
        <v>45268.0</v>
      </c>
      <c r="X220" s="1522" t="b">
        <v>1</v>
      </c>
      <c r="Y220" s="1552">
        <v>45450.0</v>
      </c>
      <c r="Z220" s="1522" t="b">
        <v>1</v>
      </c>
      <c r="AA220" s="1528">
        <v>45628.0</v>
      </c>
      <c r="AB220" s="1522" t="b">
        <v>1</v>
      </c>
      <c r="AC220" s="1528">
        <v>45786.0</v>
      </c>
      <c r="AD220" s="1522" t="b">
        <v>1</v>
      </c>
      <c r="AE220" s="1528">
        <v>45974.0</v>
      </c>
      <c r="AF220" s="471" t="b">
        <v>1</v>
      </c>
      <c r="AG220" s="1528">
        <v>46139.0</v>
      </c>
      <c r="AH220" s="471" t="b">
        <v>1</v>
      </c>
      <c r="AI220" s="1528">
        <v>46332.0</v>
      </c>
      <c r="AJ220" s="471" t="b">
        <v>0</v>
      </c>
      <c r="AK220" s="1528">
        <v>46514.0</v>
      </c>
      <c r="AL220" s="471" t="b">
        <v>0</v>
      </c>
      <c r="AM220" s="422"/>
      <c r="AN220" s="422"/>
      <c r="AO220" s="422"/>
      <c r="AP220" s="422"/>
      <c r="AQ220" s="79"/>
      <c r="AR220" s="79"/>
      <c r="AS220" s="79"/>
      <c r="AT220" s="79"/>
      <c r="AU220" s="1523"/>
      <c r="AV220" s="792"/>
    </row>
    <row r="221" ht="27.75" customHeight="1">
      <c r="A221" s="79">
        <f t="shared" si="6"/>
        <v>32</v>
      </c>
      <c r="B221" s="72" t="s">
        <v>767</v>
      </c>
      <c r="C221" s="67">
        <v>24.1</v>
      </c>
      <c r="D221" s="67" t="s">
        <v>933</v>
      </c>
      <c r="E221" s="67"/>
      <c r="F221" s="67"/>
      <c r="G221" s="79" t="s">
        <v>105</v>
      </c>
      <c r="H221" s="82" t="b">
        <v>0</v>
      </c>
      <c r="I221" s="85"/>
      <c r="J221" s="82" t="b">
        <v>0</v>
      </c>
      <c r="K221" s="89"/>
      <c r="L221" s="62" t="s">
        <v>934</v>
      </c>
      <c r="M221" s="1472" t="s">
        <v>935</v>
      </c>
      <c r="N221" s="1553" t="s">
        <v>936</v>
      </c>
      <c r="O221" s="1358"/>
      <c r="P221" s="1087"/>
      <c r="Q221" s="100"/>
      <c r="R221" s="102">
        <v>46010.0</v>
      </c>
      <c r="S221" s="1521" t="s">
        <v>18</v>
      </c>
      <c r="T221" s="1460" t="s">
        <v>937</v>
      </c>
      <c r="U221" s="73">
        <f t="shared" si="8"/>
        <v>4</v>
      </c>
      <c r="V221" s="75">
        <v>4.0</v>
      </c>
      <c r="W221" s="343">
        <v>45464.0</v>
      </c>
      <c r="X221" s="79" t="b">
        <v>1</v>
      </c>
      <c r="Y221" s="343">
        <v>45638.0</v>
      </c>
      <c r="Z221" s="79" t="b">
        <v>1</v>
      </c>
      <c r="AA221" s="343">
        <v>45787.0</v>
      </c>
      <c r="AB221" s="79" t="b">
        <v>1</v>
      </c>
      <c r="AC221" s="182">
        <v>46153.0</v>
      </c>
      <c r="AD221" s="471" t="b">
        <v>1</v>
      </c>
      <c r="AE221" s="182"/>
      <c r="AF221" s="79"/>
      <c r="AG221" s="182"/>
      <c r="AH221" s="79"/>
      <c r="AI221" s="182"/>
      <c r="AJ221" s="79"/>
      <c r="AK221" s="182"/>
      <c r="AL221" s="79"/>
      <c r="AM221" s="422"/>
      <c r="AN221" s="422"/>
      <c r="AO221" s="422"/>
      <c r="AP221" s="422"/>
      <c r="AQ221" s="79"/>
      <c r="AR221" s="79"/>
      <c r="AS221" s="79"/>
      <c r="AT221" s="79"/>
      <c r="AU221" s="62"/>
      <c r="AV221" s="792"/>
    </row>
    <row r="222" ht="27.75" hidden="1" customHeight="1">
      <c r="A222" s="79">
        <f t="shared" si="6"/>
        <v>32</v>
      </c>
      <c r="B222" s="62" t="s">
        <v>1217</v>
      </c>
      <c r="C222" s="67">
        <v>24.96</v>
      </c>
      <c r="D222" s="67" t="s">
        <v>774</v>
      </c>
      <c r="E222" s="67" t="s">
        <v>1218</v>
      </c>
      <c r="F222" s="147"/>
      <c r="G222" s="79" t="s">
        <v>84</v>
      </c>
      <c r="H222" s="1554" t="b">
        <v>0</v>
      </c>
      <c r="I222" s="148"/>
      <c r="J222" s="1554" t="b">
        <v>0</v>
      </c>
      <c r="K222" s="149"/>
      <c r="L222" s="147"/>
      <c r="M222" s="147"/>
      <c r="N222" s="147"/>
      <c r="O222" s="186"/>
      <c r="P222" s="1334">
        <v>46217.0</v>
      </c>
      <c r="Q222" s="155"/>
      <c r="R222" s="156">
        <v>46947.0</v>
      </c>
      <c r="S222" s="1244"/>
      <c r="T222" s="147"/>
      <c r="U222" s="1016">
        <f t="shared" si="8"/>
        <v>0</v>
      </c>
      <c r="V222" s="1519">
        <v>4.0</v>
      </c>
      <c r="W222" s="960">
        <v>46262.0</v>
      </c>
      <c r="X222" s="79" t="b">
        <v>0</v>
      </c>
      <c r="Y222" s="960"/>
      <c r="Z222" s="79" t="b">
        <v>0</v>
      </c>
      <c r="AA222" s="960"/>
      <c r="AB222" s="79" t="b">
        <v>0</v>
      </c>
      <c r="AC222" s="960"/>
      <c r="AD222" s="79" t="b">
        <v>0</v>
      </c>
      <c r="AE222" s="256"/>
      <c r="AF222" s="256"/>
      <c r="AG222" s="256"/>
      <c r="AH222" s="256"/>
      <c r="AI222" s="256"/>
      <c r="AJ222" s="256"/>
      <c r="AK222" s="256"/>
      <c r="AL222" s="256"/>
      <c r="AM222" s="256"/>
      <c r="AN222" s="256"/>
      <c r="AO222" s="256"/>
      <c r="AP222" s="256"/>
      <c r="AQ222" s="147"/>
      <c r="AR222" s="147"/>
      <c r="AS222" s="147"/>
      <c r="AT222" s="147"/>
      <c r="AU222" s="147"/>
      <c r="AV222" s="792"/>
    </row>
    <row r="223" ht="27.75" hidden="1" customHeight="1">
      <c r="A223" s="1556">
        <f t="shared" si="6"/>
        <v>32</v>
      </c>
      <c r="B223" s="201" t="s">
        <v>771</v>
      </c>
      <c r="C223" s="67">
        <v>9.9</v>
      </c>
      <c r="D223" s="67" t="s">
        <v>465</v>
      </c>
      <c r="E223" s="67"/>
      <c r="F223" s="67" t="s">
        <v>939</v>
      </c>
      <c r="G223" s="79" t="s">
        <v>84</v>
      </c>
      <c r="H223" s="1554" t="b">
        <v>1</v>
      </c>
      <c r="I223" s="85">
        <v>45805.0</v>
      </c>
      <c r="J223" s="1554" t="b">
        <v>1</v>
      </c>
      <c r="K223" s="89">
        <v>45821.0</v>
      </c>
      <c r="L223" s="62" t="s">
        <v>523</v>
      </c>
      <c r="M223" s="1472" t="s">
        <v>1219</v>
      </c>
      <c r="N223" s="511" t="s">
        <v>940</v>
      </c>
      <c r="O223" s="1358"/>
      <c r="P223" s="1087"/>
      <c r="Q223" s="100"/>
      <c r="R223" s="102">
        <v>46430.0</v>
      </c>
      <c r="S223" s="1343">
        <v>46066.0</v>
      </c>
      <c r="T223" s="1460" t="s">
        <v>922</v>
      </c>
      <c r="U223" s="1016">
        <f t="shared" si="8"/>
        <v>7</v>
      </c>
      <c r="V223" s="1017">
        <v>8.0</v>
      </c>
      <c r="W223" s="115">
        <v>45153.0</v>
      </c>
      <c r="X223" s="83" t="b">
        <v>1</v>
      </c>
      <c r="Y223" s="115">
        <v>45329.0</v>
      </c>
      <c r="Z223" s="83" t="b">
        <v>1</v>
      </c>
      <c r="AA223" s="115">
        <v>45545.0</v>
      </c>
      <c r="AB223" s="68" t="b">
        <v>1</v>
      </c>
      <c r="AC223" s="119">
        <v>45699.0</v>
      </c>
      <c r="AD223" s="68" t="b">
        <v>1</v>
      </c>
      <c r="AE223" s="182">
        <v>45881.0</v>
      </c>
      <c r="AF223" s="137" t="b">
        <v>1</v>
      </c>
      <c r="AG223" s="182">
        <v>46066.0</v>
      </c>
      <c r="AH223" s="137" t="b">
        <v>1</v>
      </c>
      <c r="AI223" s="182">
        <v>46262.0</v>
      </c>
      <c r="AJ223" s="137" t="b">
        <v>1</v>
      </c>
      <c r="AK223" s="182">
        <v>46430.0</v>
      </c>
      <c r="AL223" s="137" t="b">
        <v>0</v>
      </c>
      <c r="AM223" s="422"/>
      <c r="AN223" s="143"/>
      <c r="AO223" s="422"/>
      <c r="AP223" s="143"/>
      <c r="AQ223" s="79"/>
      <c r="AR223" s="79"/>
      <c r="AS223" s="79"/>
      <c r="AT223" s="79"/>
      <c r="AU223" s="62"/>
      <c r="AV223" s="792"/>
    </row>
    <row r="224" ht="27.75" hidden="1" customHeight="1">
      <c r="A224" s="79">
        <f t="shared" si="6"/>
        <v>32</v>
      </c>
      <c r="B224" s="62" t="s">
        <v>1220</v>
      </c>
      <c r="C224" s="67">
        <v>17.28</v>
      </c>
      <c r="D224" s="67" t="s">
        <v>1221</v>
      </c>
      <c r="E224" s="67"/>
      <c r="F224" s="147"/>
      <c r="G224" s="79" t="s">
        <v>84</v>
      </c>
      <c r="H224" s="1554" t="b">
        <v>0</v>
      </c>
      <c r="I224" s="148"/>
      <c r="J224" s="1554" t="b">
        <v>0</v>
      </c>
      <c r="K224" s="149"/>
      <c r="L224" s="147"/>
      <c r="M224" s="147"/>
      <c r="N224" s="147"/>
      <c r="O224" s="147"/>
      <c r="P224" s="1334">
        <v>45954.0</v>
      </c>
      <c r="Q224" s="155"/>
      <c r="R224" s="156">
        <v>46683.0</v>
      </c>
      <c r="S224" s="1467">
        <v>46088.0</v>
      </c>
      <c r="T224" s="147"/>
      <c r="U224" s="1016">
        <f t="shared" si="8"/>
        <v>1</v>
      </c>
      <c r="V224" s="1519">
        <v>4.0</v>
      </c>
      <c r="W224" s="163">
        <v>46088.0</v>
      </c>
      <c r="X224" s="83" t="b">
        <v>1</v>
      </c>
      <c r="Y224" s="163">
        <v>46270.0</v>
      </c>
      <c r="Z224" s="83" t="b">
        <v>0</v>
      </c>
      <c r="AA224" s="163">
        <v>46452.0</v>
      </c>
      <c r="AB224" s="68" t="b">
        <v>0</v>
      </c>
      <c r="AC224" s="163">
        <v>46634.0</v>
      </c>
      <c r="AD224" s="68" t="b">
        <v>0</v>
      </c>
      <c r="AE224" s="256"/>
      <c r="AF224" s="167"/>
      <c r="AG224" s="256"/>
      <c r="AH224" s="167"/>
      <c r="AI224" s="256"/>
      <c r="AJ224" s="167"/>
      <c r="AK224" s="256"/>
      <c r="AL224" s="167"/>
      <c r="AM224" s="256"/>
      <c r="AN224" s="167"/>
      <c r="AO224" s="256"/>
      <c r="AP224" s="167"/>
      <c r="AQ224" s="147"/>
      <c r="AR224" s="147"/>
      <c r="AS224" s="147"/>
      <c r="AT224" s="147"/>
      <c r="AU224" s="147"/>
      <c r="AV224" s="792"/>
    </row>
    <row r="225" ht="27.75" hidden="1" customHeight="1">
      <c r="A225" s="79">
        <f t="shared" si="6"/>
        <v>32</v>
      </c>
      <c r="B225" s="62" t="s">
        <v>773</v>
      </c>
      <c r="C225" s="67">
        <v>115.2</v>
      </c>
      <c r="D225" s="67" t="s">
        <v>111</v>
      </c>
      <c r="E225" s="67"/>
      <c r="F225" s="67"/>
      <c r="G225" s="79" t="s">
        <v>243</v>
      </c>
      <c r="H225" s="1554" t="b">
        <v>0</v>
      </c>
      <c r="I225" s="85"/>
      <c r="J225" s="1554" t="b">
        <v>0</v>
      </c>
      <c r="K225" s="89"/>
      <c r="L225" s="62" t="s">
        <v>942</v>
      </c>
      <c r="M225" s="1472">
        <v>6.11735011E8</v>
      </c>
      <c r="N225" s="511"/>
      <c r="O225" s="1358"/>
      <c r="P225" s="1087"/>
      <c r="Q225" s="100"/>
      <c r="R225" s="102">
        <v>46035.0</v>
      </c>
      <c r="S225" s="1208">
        <v>45730.0</v>
      </c>
      <c r="T225" s="1460" t="s">
        <v>271</v>
      </c>
      <c r="U225" s="1016">
        <f t="shared" si="8"/>
        <v>4</v>
      </c>
      <c r="V225" s="1017">
        <v>10.0</v>
      </c>
      <c r="W225" s="115">
        <v>45483.0</v>
      </c>
      <c r="X225" s="83" t="b">
        <v>1</v>
      </c>
      <c r="Y225" s="115">
        <v>45730.0</v>
      </c>
      <c r="Z225" s="83" t="b">
        <v>1</v>
      </c>
      <c r="AA225" s="115">
        <v>45919.0</v>
      </c>
      <c r="AB225" s="68" t="b">
        <v>1</v>
      </c>
      <c r="AC225" s="119">
        <v>46120.0</v>
      </c>
      <c r="AD225" s="137" t="b">
        <v>1</v>
      </c>
      <c r="AE225" s="182">
        <v>46283.0</v>
      </c>
      <c r="AF225" s="79" t="b">
        <v>0</v>
      </c>
      <c r="AG225" s="182">
        <v>46465.0</v>
      </c>
      <c r="AH225" s="79" t="b">
        <v>0</v>
      </c>
      <c r="AI225" s="182">
        <v>46647.0</v>
      </c>
      <c r="AJ225" s="79" t="b">
        <v>0</v>
      </c>
      <c r="AK225" s="182">
        <v>46829.0</v>
      </c>
      <c r="AL225" s="79" t="b">
        <v>0</v>
      </c>
      <c r="AM225" s="182">
        <v>47011.0</v>
      </c>
      <c r="AN225" s="79" t="b">
        <v>0</v>
      </c>
      <c r="AO225" s="182">
        <v>47193.0</v>
      </c>
      <c r="AP225" s="79" t="b">
        <v>0</v>
      </c>
      <c r="AQ225" s="236">
        <v>47382.0</v>
      </c>
      <c r="AR225" s="79" t="b">
        <v>0</v>
      </c>
      <c r="AS225" s="236">
        <v>47557.0</v>
      </c>
      <c r="AT225" s="79" t="b">
        <v>0</v>
      </c>
      <c r="AU225" s="62"/>
      <c r="AV225" s="792"/>
    </row>
    <row r="226" ht="27.75" customHeight="1">
      <c r="A226" s="79">
        <f t="shared" si="6"/>
        <v>33</v>
      </c>
      <c r="B226" s="72" t="s">
        <v>166</v>
      </c>
      <c r="C226" s="127">
        <v>33.45</v>
      </c>
      <c r="D226" s="127" t="s">
        <v>47</v>
      </c>
      <c r="E226" s="67"/>
      <c r="F226" s="126" t="s">
        <v>946</v>
      </c>
      <c r="G226" s="79" t="s">
        <v>105</v>
      </c>
      <c r="H226" s="1554" t="b">
        <v>0</v>
      </c>
      <c r="I226" s="85"/>
      <c r="J226" s="1554" t="b">
        <v>0</v>
      </c>
      <c r="K226" s="89"/>
      <c r="L226" s="62" t="s">
        <v>1222</v>
      </c>
      <c r="M226" s="1472" t="s">
        <v>1223</v>
      </c>
      <c r="N226" s="511" t="s">
        <v>949</v>
      </c>
      <c r="O226" s="1358"/>
      <c r="P226" s="1087"/>
      <c r="Q226" s="100"/>
      <c r="R226" s="102">
        <v>46133.0</v>
      </c>
      <c r="S226" s="631">
        <v>46133.0</v>
      </c>
      <c r="T226" s="1464" t="s">
        <v>258</v>
      </c>
      <c r="U226" s="1016">
        <f t="shared" si="8"/>
        <v>6</v>
      </c>
      <c r="V226" s="1017">
        <v>6.0</v>
      </c>
      <c r="W226" s="343">
        <v>45226.0</v>
      </c>
      <c r="X226" s="79" t="b">
        <v>1</v>
      </c>
      <c r="Y226" s="343">
        <v>45392.0</v>
      </c>
      <c r="Z226" s="79" t="b">
        <v>1</v>
      </c>
      <c r="AA226" s="182">
        <v>45583.0</v>
      </c>
      <c r="AB226" s="79" t="b">
        <v>1</v>
      </c>
      <c r="AC226" s="343">
        <v>45793.0</v>
      </c>
      <c r="AD226" s="471" t="b">
        <v>1</v>
      </c>
      <c r="AE226" s="182">
        <v>45947.0</v>
      </c>
      <c r="AF226" s="79" t="b">
        <v>1</v>
      </c>
      <c r="AG226" s="343">
        <v>46133.0</v>
      </c>
      <c r="AH226" s="471" t="b">
        <v>1</v>
      </c>
      <c r="AI226" s="182"/>
      <c r="AJ226" s="79"/>
      <c r="AK226" s="182"/>
      <c r="AL226" s="79"/>
      <c r="AM226" s="422"/>
      <c r="AN226" s="422"/>
      <c r="AO226" s="422"/>
      <c r="AP226" s="422"/>
      <c r="AQ226" s="79"/>
      <c r="AR226" s="79"/>
      <c r="AS226" s="79"/>
      <c r="AT226" s="79"/>
      <c r="AU226" s="1557" t="s">
        <v>776</v>
      </c>
      <c r="AV226" s="792"/>
    </row>
    <row r="227" ht="27.75" hidden="1" customHeight="1">
      <c r="A227" s="79">
        <f t="shared" si="6"/>
        <v>33</v>
      </c>
      <c r="B227" s="201" t="s">
        <v>777</v>
      </c>
      <c r="C227" s="67">
        <v>11.04</v>
      </c>
      <c r="D227" s="67" t="s">
        <v>683</v>
      </c>
      <c r="E227" s="67"/>
      <c r="F227" s="67"/>
      <c r="G227" s="79" t="s">
        <v>55</v>
      </c>
      <c r="H227" s="1554" t="b">
        <v>1</v>
      </c>
      <c r="I227" s="85">
        <v>46059.0</v>
      </c>
      <c r="J227" s="1554" t="b">
        <v>0</v>
      </c>
      <c r="K227" s="89"/>
      <c r="L227" s="62" t="s">
        <v>777</v>
      </c>
      <c r="M227" s="1558" t="s">
        <v>950</v>
      </c>
      <c r="N227" s="511"/>
      <c r="O227" s="1358"/>
      <c r="P227" s="1087"/>
      <c r="Q227" s="100"/>
      <c r="R227" s="102">
        <v>45933.0</v>
      </c>
      <c r="S227" s="1208">
        <v>45751.0</v>
      </c>
      <c r="T227" s="1464" t="s">
        <v>687</v>
      </c>
      <c r="U227" s="1016">
        <f t="shared" si="8"/>
        <v>4</v>
      </c>
      <c r="V227" s="1017">
        <v>4.0</v>
      </c>
      <c r="W227" s="343">
        <v>45387.0</v>
      </c>
      <c r="X227" s="79" t="b">
        <v>1</v>
      </c>
      <c r="Y227" s="343">
        <v>45588.0</v>
      </c>
      <c r="Z227" s="79" t="b">
        <v>1</v>
      </c>
      <c r="AA227" s="343">
        <v>45751.0</v>
      </c>
      <c r="AB227" s="79" t="b">
        <v>1</v>
      </c>
      <c r="AC227" s="182">
        <v>45945.0</v>
      </c>
      <c r="AD227" s="471" t="b">
        <v>1</v>
      </c>
      <c r="AE227" s="182"/>
      <c r="AF227" s="79"/>
      <c r="AG227" s="182"/>
      <c r="AH227" s="79"/>
      <c r="AI227" s="182"/>
      <c r="AJ227" s="79"/>
      <c r="AK227" s="182"/>
      <c r="AL227" s="79"/>
      <c r="AM227" s="422"/>
      <c r="AN227" s="422"/>
      <c r="AO227" s="422"/>
      <c r="AP227" s="422"/>
      <c r="AQ227" s="79"/>
      <c r="AR227" s="79"/>
      <c r="AS227" s="79"/>
      <c r="AT227" s="79"/>
      <c r="AU227" s="62"/>
      <c r="AV227" s="792"/>
    </row>
    <row r="228" ht="27.75" hidden="1" customHeight="1">
      <c r="A228" s="1559">
        <f t="shared" si="6"/>
        <v>33</v>
      </c>
      <c r="B228" s="72" t="s">
        <v>608</v>
      </c>
      <c r="C228" s="1504">
        <v>30.75</v>
      </c>
      <c r="D228" s="1504" t="s">
        <v>498</v>
      </c>
      <c r="E228" s="67"/>
      <c r="F228" s="176"/>
      <c r="G228" s="79" t="s">
        <v>55</v>
      </c>
      <c r="H228" s="1554" t="b">
        <v>1</v>
      </c>
      <c r="I228" s="85">
        <v>46210.0</v>
      </c>
      <c r="J228" s="1554" t="b">
        <v>0</v>
      </c>
      <c r="K228" s="89"/>
      <c r="L228" s="62" t="s">
        <v>957</v>
      </c>
      <c r="M228" s="1472" t="s">
        <v>958</v>
      </c>
      <c r="N228" s="511" t="s">
        <v>960</v>
      </c>
      <c r="O228" s="1358"/>
      <c r="P228" s="1087"/>
      <c r="Q228" s="100"/>
      <c r="R228" s="102">
        <v>45859.0</v>
      </c>
      <c r="S228" s="631">
        <v>45847.0</v>
      </c>
      <c r="T228" s="1464" t="s">
        <v>963</v>
      </c>
      <c r="U228" s="1016">
        <f t="shared" si="8"/>
        <v>4</v>
      </c>
      <c r="V228" s="1017">
        <v>4.0</v>
      </c>
      <c r="W228" s="343">
        <v>45306.0</v>
      </c>
      <c r="X228" s="79" t="b">
        <v>1</v>
      </c>
      <c r="Y228" s="343">
        <v>45495.0</v>
      </c>
      <c r="Z228" s="79" t="b">
        <v>1</v>
      </c>
      <c r="AA228" s="343">
        <v>45686.0</v>
      </c>
      <c r="AB228" s="79" t="b">
        <v>1</v>
      </c>
      <c r="AC228" s="182">
        <v>45847.0</v>
      </c>
      <c r="AD228" s="79" t="b">
        <v>1</v>
      </c>
      <c r="AE228" s="182"/>
      <c r="AF228" s="79"/>
      <c r="AG228" s="182"/>
      <c r="AH228" s="79"/>
      <c r="AI228" s="182"/>
      <c r="AJ228" s="79"/>
      <c r="AK228" s="182"/>
      <c r="AL228" s="79"/>
      <c r="AM228" s="422"/>
      <c r="AN228" s="422"/>
      <c r="AO228" s="422"/>
      <c r="AP228" s="422"/>
      <c r="AQ228" s="79"/>
      <c r="AR228" s="79"/>
      <c r="AS228" s="79"/>
      <c r="AT228" s="79"/>
      <c r="AU228" s="62"/>
      <c r="AV228" s="792"/>
    </row>
    <row r="229" ht="27.75" hidden="1" customHeight="1">
      <c r="A229" s="1559">
        <f t="shared" si="6"/>
        <v>33</v>
      </c>
      <c r="B229" s="72" t="s">
        <v>611</v>
      </c>
      <c r="C229" s="1504">
        <v>46.08</v>
      </c>
      <c r="D229" s="1504" t="s">
        <v>498</v>
      </c>
      <c r="E229" s="67"/>
      <c r="F229" s="176"/>
      <c r="G229" s="79" t="s">
        <v>55</v>
      </c>
      <c r="H229" s="1554" t="b">
        <v>1</v>
      </c>
      <c r="I229" s="85">
        <v>46210.0</v>
      </c>
      <c r="J229" s="1554" t="b">
        <v>0</v>
      </c>
      <c r="K229" s="89"/>
      <c r="L229" s="62" t="s">
        <v>957</v>
      </c>
      <c r="M229" s="1472" t="s">
        <v>958</v>
      </c>
      <c r="N229" s="511" t="s">
        <v>960</v>
      </c>
      <c r="O229" s="1358"/>
      <c r="P229" s="1087"/>
      <c r="Q229" s="100"/>
      <c r="R229" s="102">
        <v>45859.0</v>
      </c>
      <c r="S229" s="631">
        <v>45847.0</v>
      </c>
      <c r="T229" s="1464" t="s">
        <v>963</v>
      </c>
      <c r="U229" s="1016">
        <f t="shared" si="8"/>
        <v>4</v>
      </c>
      <c r="V229" s="1017">
        <v>4.0</v>
      </c>
      <c r="W229" s="343">
        <v>45306.0</v>
      </c>
      <c r="X229" s="79" t="b">
        <v>1</v>
      </c>
      <c r="Y229" s="343">
        <v>45495.0</v>
      </c>
      <c r="Z229" s="79" t="b">
        <v>1</v>
      </c>
      <c r="AA229" s="343">
        <v>45694.0</v>
      </c>
      <c r="AB229" s="79" t="b">
        <v>1</v>
      </c>
      <c r="AC229" s="182">
        <v>45847.0</v>
      </c>
      <c r="AD229" s="79" t="b">
        <v>1</v>
      </c>
      <c r="AE229" s="182"/>
      <c r="AF229" s="79"/>
      <c r="AG229" s="182"/>
      <c r="AH229" s="79"/>
      <c r="AI229" s="182"/>
      <c r="AJ229" s="79"/>
      <c r="AK229" s="182"/>
      <c r="AL229" s="79"/>
      <c r="AM229" s="422"/>
      <c r="AN229" s="422"/>
      <c r="AO229" s="422"/>
      <c r="AP229" s="422"/>
      <c r="AQ229" s="79"/>
      <c r="AR229" s="79"/>
      <c r="AS229" s="79"/>
      <c r="AT229" s="79"/>
      <c r="AU229" s="62"/>
      <c r="AV229" s="792"/>
    </row>
    <row r="230" ht="27.75" customHeight="1">
      <c r="A230" s="1560">
        <f t="shared" si="6"/>
        <v>34</v>
      </c>
      <c r="B230" s="293" t="s">
        <v>787</v>
      </c>
      <c r="C230" s="67">
        <v>7.2</v>
      </c>
      <c r="D230" s="67" t="s">
        <v>970</v>
      </c>
      <c r="E230" s="67"/>
      <c r="F230" s="176"/>
      <c r="G230" s="79" t="s">
        <v>105</v>
      </c>
      <c r="H230" s="1554" t="b">
        <v>0</v>
      </c>
      <c r="I230" s="85"/>
      <c r="J230" s="1554" t="b">
        <v>0</v>
      </c>
      <c r="K230" s="89"/>
      <c r="L230" s="62" t="s">
        <v>971</v>
      </c>
      <c r="M230" s="1472">
        <v>6.2245846E8</v>
      </c>
      <c r="N230" s="1561" t="s">
        <v>972</v>
      </c>
      <c r="O230" s="1358"/>
      <c r="P230" s="1087"/>
      <c r="Q230" s="100"/>
      <c r="R230" s="102">
        <v>45950.0</v>
      </c>
      <c r="S230" s="631">
        <v>46110.0</v>
      </c>
      <c r="T230" s="1208"/>
      <c r="U230" s="1016">
        <f t="shared" si="8"/>
        <v>4</v>
      </c>
      <c r="V230" s="1017">
        <v>4.0</v>
      </c>
      <c r="W230" s="343">
        <v>45457.0</v>
      </c>
      <c r="X230" s="79" t="b">
        <v>1</v>
      </c>
      <c r="Y230" s="343">
        <v>45739.0</v>
      </c>
      <c r="Z230" s="79" t="b">
        <v>1</v>
      </c>
      <c r="AA230" s="343">
        <v>45949.0</v>
      </c>
      <c r="AB230" s="79" t="b">
        <v>1</v>
      </c>
      <c r="AC230" s="182">
        <v>46110.0</v>
      </c>
      <c r="AD230" s="471" t="b">
        <v>1</v>
      </c>
      <c r="AE230" s="182"/>
      <c r="AF230" s="79"/>
      <c r="AG230" s="182"/>
      <c r="AH230" s="79"/>
      <c r="AI230" s="182"/>
      <c r="AJ230" s="79"/>
      <c r="AK230" s="182"/>
      <c r="AL230" s="79"/>
      <c r="AM230" s="422"/>
      <c r="AN230" s="422"/>
      <c r="AO230" s="422"/>
      <c r="AP230" s="422"/>
      <c r="AQ230" s="79"/>
      <c r="AR230" s="79"/>
      <c r="AS230" s="79"/>
      <c r="AT230" s="79"/>
      <c r="AU230" s="62"/>
      <c r="AV230" s="792"/>
    </row>
    <row r="231" ht="27.75" hidden="1" customHeight="1">
      <c r="A231" s="1556">
        <f t="shared" si="6"/>
        <v>34</v>
      </c>
      <c r="B231" s="201" t="s">
        <v>791</v>
      </c>
      <c r="C231" s="67"/>
      <c r="D231" s="67" t="s">
        <v>654</v>
      </c>
      <c r="E231" s="1234"/>
      <c r="F231" s="1562"/>
      <c r="G231" s="79" t="s">
        <v>84</v>
      </c>
      <c r="H231" s="1554" t="b">
        <v>1</v>
      </c>
      <c r="I231" s="85">
        <v>45805.0</v>
      </c>
      <c r="J231" s="1554" t="b">
        <v>1</v>
      </c>
      <c r="K231" s="89">
        <v>45819.0</v>
      </c>
      <c r="L231" s="891"/>
      <c r="M231" s="1472" t="s">
        <v>538</v>
      </c>
      <c r="N231" s="1563" t="s">
        <v>974</v>
      </c>
      <c r="O231" s="1358"/>
      <c r="P231" s="1087"/>
      <c r="Q231" s="100"/>
      <c r="R231" s="547">
        <v>45470.0</v>
      </c>
      <c r="S231" s="1208">
        <v>45834.0</v>
      </c>
      <c r="T231" s="1464" t="s">
        <v>560</v>
      </c>
      <c r="U231" s="1016">
        <f t="shared" si="8"/>
        <v>6</v>
      </c>
      <c r="V231" s="1017">
        <v>8.0</v>
      </c>
      <c r="W231" s="343">
        <v>44880.0</v>
      </c>
      <c r="X231" s="79" t="b">
        <v>1</v>
      </c>
      <c r="Y231" s="343">
        <v>45017.0</v>
      </c>
      <c r="Z231" s="79" t="b">
        <v>1</v>
      </c>
      <c r="AA231" s="343">
        <v>45253.0</v>
      </c>
      <c r="AB231" s="79" t="b">
        <v>1</v>
      </c>
      <c r="AC231" s="343">
        <v>45534.0</v>
      </c>
      <c r="AD231" s="79" t="b">
        <v>1</v>
      </c>
      <c r="AE231" s="182">
        <v>45832.0</v>
      </c>
      <c r="AF231" s="471" t="b">
        <v>1</v>
      </c>
      <c r="AG231" s="182">
        <v>46118.0</v>
      </c>
      <c r="AH231" s="471" t="b">
        <v>1</v>
      </c>
      <c r="AI231" s="182">
        <v>46196.0</v>
      </c>
      <c r="AJ231" s="471" t="b">
        <v>0</v>
      </c>
      <c r="AK231" s="182">
        <v>46378.0</v>
      </c>
      <c r="AL231" s="471" t="b">
        <v>0</v>
      </c>
      <c r="AM231" s="422"/>
      <c r="AN231" s="422"/>
      <c r="AO231" s="422"/>
      <c r="AP231" s="422"/>
      <c r="AQ231" s="79"/>
      <c r="AR231" s="79"/>
      <c r="AS231" s="79"/>
      <c r="AT231" s="79"/>
      <c r="AU231" s="72" t="s">
        <v>792</v>
      </c>
      <c r="AV231" s="792"/>
    </row>
    <row r="232" ht="27.75" hidden="1" customHeight="1">
      <c r="A232" s="79">
        <f t="shared" si="6"/>
        <v>34</v>
      </c>
      <c r="B232" s="72" t="s">
        <v>793</v>
      </c>
      <c r="C232" s="67">
        <v>11.52</v>
      </c>
      <c r="D232" s="67" t="s">
        <v>976</v>
      </c>
      <c r="E232" s="1234"/>
      <c r="F232" s="67"/>
      <c r="G232" s="79" t="s">
        <v>55</v>
      </c>
      <c r="H232" s="1554" t="b">
        <v>1</v>
      </c>
      <c r="I232" s="85">
        <v>46059.0</v>
      </c>
      <c r="J232" s="1554" t="b">
        <v>0</v>
      </c>
      <c r="K232" s="89"/>
      <c r="L232" s="62" t="s">
        <v>1224</v>
      </c>
      <c r="M232" s="1472">
        <v>9.61210925E8</v>
      </c>
      <c r="N232" s="1561" t="s">
        <v>978</v>
      </c>
      <c r="O232" s="1358"/>
      <c r="P232" s="1087"/>
      <c r="Q232" s="100"/>
      <c r="R232" s="102">
        <v>45933.0</v>
      </c>
      <c r="S232" s="631">
        <v>46161.0</v>
      </c>
      <c r="T232" s="1464" t="s">
        <v>687</v>
      </c>
      <c r="U232" s="1016">
        <f t="shared" si="8"/>
        <v>5</v>
      </c>
      <c r="V232" s="1017">
        <v>8.0</v>
      </c>
      <c r="W232" s="343">
        <v>45387.0</v>
      </c>
      <c r="X232" s="79" t="b">
        <v>1</v>
      </c>
      <c r="Y232" s="343">
        <v>45609.0</v>
      </c>
      <c r="Z232" s="79" t="b">
        <v>1</v>
      </c>
      <c r="AA232" s="343">
        <v>45751.0</v>
      </c>
      <c r="AB232" s="79" t="b">
        <v>1</v>
      </c>
      <c r="AC232" s="182">
        <v>45924.0</v>
      </c>
      <c r="AD232" s="471" t="b">
        <v>1</v>
      </c>
      <c r="AE232" s="182">
        <v>46161.0</v>
      </c>
      <c r="AF232" s="471" t="b">
        <v>1</v>
      </c>
      <c r="AG232" s="471"/>
      <c r="AH232" s="79"/>
      <c r="AI232" s="182"/>
      <c r="AJ232" s="79"/>
      <c r="AK232" s="182"/>
      <c r="AL232" s="79"/>
      <c r="AM232" s="422"/>
      <c r="AN232" s="422"/>
      <c r="AO232" s="422"/>
      <c r="AP232" s="422"/>
      <c r="AQ232" s="79"/>
      <c r="AR232" s="79"/>
      <c r="AS232" s="79"/>
      <c r="AT232" s="79"/>
      <c r="AU232" s="62"/>
      <c r="AV232" s="792"/>
    </row>
    <row r="233" ht="27.75" hidden="1" customHeight="1">
      <c r="A233" s="79">
        <f t="shared" si="6"/>
        <v>34</v>
      </c>
      <c r="B233" s="62" t="s">
        <v>1225</v>
      </c>
      <c r="C233" s="67">
        <v>20.0</v>
      </c>
      <c r="D233" s="67" t="s">
        <v>1226</v>
      </c>
      <c r="E233" s="67"/>
      <c r="F233" s="147"/>
      <c r="G233" s="79" t="s">
        <v>84</v>
      </c>
      <c r="H233" s="1554" t="b">
        <v>0</v>
      </c>
      <c r="I233" s="148"/>
      <c r="J233" s="1554" t="b">
        <v>0</v>
      </c>
      <c r="K233" s="149"/>
      <c r="L233" s="147"/>
      <c r="M233" s="147"/>
      <c r="N233" s="147"/>
      <c r="O233" s="147"/>
      <c r="P233" s="1334">
        <v>46238.0</v>
      </c>
      <c r="Q233" s="155"/>
      <c r="R233" s="190"/>
      <c r="S233" s="1244"/>
      <c r="T233" s="147"/>
      <c r="U233" s="1016">
        <f t="shared" si="8"/>
        <v>0</v>
      </c>
      <c r="V233" s="1519">
        <v>4.0</v>
      </c>
      <c r="W233" s="960"/>
      <c r="X233" s="79" t="b">
        <v>0</v>
      </c>
      <c r="Y233" s="960"/>
      <c r="Z233" s="79" t="b">
        <v>0</v>
      </c>
      <c r="AA233" s="960"/>
      <c r="AB233" s="79" t="b">
        <v>0</v>
      </c>
      <c r="AC233" s="960"/>
      <c r="AD233" s="79" t="b">
        <v>0</v>
      </c>
      <c r="AE233" s="256"/>
      <c r="AF233" s="256"/>
      <c r="AG233" s="256"/>
      <c r="AH233" s="256"/>
      <c r="AI233" s="256"/>
      <c r="AJ233" s="256"/>
      <c r="AK233" s="256"/>
      <c r="AL233" s="256"/>
      <c r="AM233" s="256"/>
      <c r="AN233" s="256"/>
      <c r="AO233" s="256"/>
      <c r="AP233" s="256"/>
      <c r="AQ233" s="147"/>
      <c r="AR233" s="147"/>
      <c r="AS233" s="147"/>
      <c r="AT233" s="147"/>
      <c r="AU233" s="147"/>
      <c r="AV233" s="792"/>
    </row>
    <row r="234" ht="27.75" customHeight="1">
      <c r="A234" s="79">
        <f t="shared" si="6"/>
        <v>35</v>
      </c>
      <c r="B234" s="72" t="s">
        <v>798</v>
      </c>
      <c r="C234" s="67">
        <v>13.5</v>
      </c>
      <c r="D234" s="67" t="s">
        <v>1227</v>
      </c>
      <c r="E234" s="67" t="s">
        <v>979</v>
      </c>
      <c r="F234" s="67"/>
      <c r="G234" s="79" t="s">
        <v>105</v>
      </c>
      <c r="H234" s="1554" t="b">
        <v>0</v>
      </c>
      <c r="I234" s="85"/>
      <c r="J234" s="1554" t="b">
        <v>0</v>
      </c>
      <c r="K234" s="89"/>
      <c r="L234" s="62"/>
      <c r="M234" s="1558" t="s">
        <v>980</v>
      </c>
      <c r="N234" s="1561" t="s">
        <v>981</v>
      </c>
      <c r="O234" s="1358"/>
      <c r="P234" s="1087"/>
      <c r="Q234" s="100"/>
      <c r="R234" s="102">
        <v>46014.0</v>
      </c>
      <c r="S234" s="1343">
        <v>46044.0</v>
      </c>
      <c r="T234" s="1460" t="s">
        <v>744</v>
      </c>
      <c r="U234" s="1564">
        <f t="shared" si="8"/>
        <v>6</v>
      </c>
      <c r="V234" s="1017">
        <v>6.0</v>
      </c>
      <c r="W234" s="343">
        <v>44562.0</v>
      </c>
      <c r="X234" s="209" t="b">
        <v>1</v>
      </c>
      <c r="Y234" s="1565">
        <v>44562.0</v>
      </c>
      <c r="Z234" s="209" t="b">
        <v>1</v>
      </c>
      <c r="AA234" s="343">
        <v>45468.0</v>
      </c>
      <c r="AB234" s="79" t="b">
        <v>1</v>
      </c>
      <c r="AC234" s="182">
        <v>45637.0</v>
      </c>
      <c r="AD234" s="471" t="b">
        <v>1</v>
      </c>
      <c r="AE234" s="343">
        <v>45870.0</v>
      </c>
      <c r="AF234" s="79" t="b">
        <v>1</v>
      </c>
      <c r="AG234" s="182">
        <v>46044.0</v>
      </c>
      <c r="AH234" s="471" t="b">
        <v>1</v>
      </c>
      <c r="AI234" s="182"/>
      <c r="AJ234" s="79"/>
      <c r="AK234" s="182"/>
      <c r="AL234" s="79"/>
      <c r="AM234" s="422"/>
      <c r="AN234" s="422"/>
      <c r="AO234" s="422"/>
      <c r="AP234" s="422"/>
      <c r="AQ234" s="79"/>
      <c r="AR234" s="79"/>
      <c r="AS234" s="79"/>
      <c r="AT234" s="79"/>
      <c r="AU234" s="62"/>
      <c r="AV234" s="792"/>
    </row>
    <row r="235" ht="27.75" hidden="1" customHeight="1">
      <c r="A235" s="79">
        <f t="shared" si="6"/>
        <v>35</v>
      </c>
      <c r="B235" s="177" t="s">
        <v>802</v>
      </c>
      <c r="C235" s="385">
        <v>21.6</v>
      </c>
      <c r="D235" s="385" t="s">
        <v>498</v>
      </c>
      <c r="E235" s="387"/>
      <c r="F235" s="391"/>
      <c r="G235" s="79" t="s">
        <v>243</v>
      </c>
      <c r="H235" s="1554" t="b">
        <v>0</v>
      </c>
      <c r="I235" s="393"/>
      <c r="J235" s="1554" t="b">
        <v>0</v>
      </c>
      <c r="K235" s="395"/>
      <c r="L235" s="391"/>
      <c r="M235" s="1500"/>
      <c r="N235" s="511"/>
      <c r="O235" s="1245"/>
      <c r="P235" s="1347">
        <v>45517.0</v>
      </c>
      <c r="Q235" s="404"/>
      <c r="R235" s="406">
        <v>46246.0</v>
      </c>
      <c r="S235" s="631">
        <v>46121.0</v>
      </c>
      <c r="T235" s="396" t="s">
        <v>727</v>
      </c>
      <c r="U235" s="1016">
        <f t="shared" si="8"/>
        <v>3</v>
      </c>
      <c r="V235" s="1017">
        <v>4.0</v>
      </c>
      <c r="W235" s="343">
        <v>45736.0</v>
      </c>
      <c r="X235" s="79" t="b">
        <v>1</v>
      </c>
      <c r="Y235" s="343">
        <v>45958.0</v>
      </c>
      <c r="Z235" s="79" t="b">
        <v>1</v>
      </c>
      <c r="AA235" s="343">
        <v>46121.0</v>
      </c>
      <c r="AB235" s="79" t="b">
        <v>1</v>
      </c>
      <c r="AC235" s="182">
        <v>46282.0</v>
      </c>
      <c r="AD235" s="471" t="b">
        <v>0</v>
      </c>
      <c r="AE235" s="1068"/>
      <c r="AF235" s="1349"/>
      <c r="AG235" s="1068"/>
      <c r="AH235" s="1349"/>
      <c r="AI235" s="1068"/>
      <c r="AJ235" s="1349"/>
      <c r="AK235" s="1068"/>
      <c r="AL235" s="1349"/>
      <c r="AM235" s="1349"/>
      <c r="AN235" s="1349"/>
      <c r="AO235" s="1349"/>
      <c r="AP235" s="1349"/>
      <c r="AQ235" s="741"/>
      <c r="AR235" s="741"/>
      <c r="AS235" s="741"/>
      <c r="AT235" s="741"/>
      <c r="AU235" s="391"/>
      <c r="AV235" s="792"/>
    </row>
    <row r="236" ht="27.75" hidden="1" customHeight="1">
      <c r="A236" s="79">
        <f t="shared" si="6"/>
        <v>35</v>
      </c>
      <c r="B236" s="72" t="s">
        <v>619</v>
      </c>
      <c r="C236" s="67">
        <v>12.04</v>
      </c>
      <c r="D236" s="67" t="s">
        <v>47</v>
      </c>
      <c r="E236" s="67"/>
      <c r="F236" s="67"/>
      <c r="G236" s="79" t="s">
        <v>55</v>
      </c>
      <c r="H236" s="1554" t="b">
        <v>1</v>
      </c>
      <c r="I236" s="517">
        <v>45827.0</v>
      </c>
      <c r="J236" s="1554" t="b">
        <v>0</v>
      </c>
      <c r="K236" s="89"/>
      <c r="L236" s="62" t="s">
        <v>988</v>
      </c>
      <c r="M236" s="1472" t="s">
        <v>989</v>
      </c>
      <c r="N236" s="511"/>
      <c r="O236" s="1358"/>
      <c r="P236" s="1087"/>
      <c r="Q236" s="100"/>
      <c r="R236" s="102">
        <v>45790.0</v>
      </c>
      <c r="S236" s="1208">
        <v>45793.0</v>
      </c>
      <c r="T236" s="1464" t="s">
        <v>289</v>
      </c>
      <c r="U236" s="1016">
        <f t="shared" si="8"/>
        <v>4</v>
      </c>
      <c r="V236" s="1017">
        <v>4.0</v>
      </c>
      <c r="W236" s="343">
        <v>45299.0</v>
      </c>
      <c r="X236" s="79" t="b">
        <v>1</v>
      </c>
      <c r="Y236" s="343">
        <v>45426.0</v>
      </c>
      <c r="Z236" s="79" t="b">
        <v>1</v>
      </c>
      <c r="AA236" s="343">
        <v>45608.0</v>
      </c>
      <c r="AB236" s="79" t="b">
        <v>1</v>
      </c>
      <c r="AC236" s="182">
        <v>45793.0</v>
      </c>
      <c r="AD236" s="79" t="b">
        <v>1</v>
      </c>
      <c r="AE236" s="182"/>
      <c r="AF236" s="79"/>
      <c r="AG236" s="182"/>
      <c r="AH236" s="79"/>
      <c r="AI236" s="182"/>
      <c r="AJ236" s="79"/>
      <c r="AK236" s="182"/>
      <c r="AL236" s="79"/>
      <c r="AM236" s="422"/>
      <c r="AN236" s="422"/>
      <c r="AO236" s="422"/>
      <c r="AP236" s="422"/>
      <c r="AQ236" s="79"/>
      <c r="AR236" s="79"/>
      <c r="AS236" s="79"/>
      <c r="AT236" s="79"/>
      <c r="AU236" s="62" t="s">
        <v>507</v>
      </c>
      <c r="AV236" s="792"/>
    </row>
    <row r="237" ht="27.75" hidden="1" customHeight="1">
      <c r="A237" s="79">
        <f t="shared" si="6"/>
        <v>35</v>
      </c>
      <c r="B237" s="62" t="s">
        <v>623</v>
      </c>
      <c r="C237" s="1376">
        <v>11.52</v>
      </c>
      <c r="D237" s="1376" t="s">
        <v>95</v>
      </c>
      <c r="E237" s="67"/>
      <c r="F237" s="67"/>
      <c r="G237" s="79" t="s">
        <v>243</v>
      </c>
      <c r="H237" s="1554" t="b">
        <v>0</v>
      </c>
      <c r="I237" s="85"/>
      <c r="J237" s="1554" t="b">
        <v>0</v>
      </c>
      <c r="K237" s="89"/>
      <c r="L237" s="62" t="s">
        <v>991</v>
      </c>
      <c r="M237" s="1472">
        <v>9.18144495E8</v>
      </c>
      <c r="N237" s="511"/>
      <c r="O237" s="1358"/>
      <c r="P237" s="1087"/>
      <c r="Q237" s="100"/>
      <c r="R237" s="102">
        <v>45825.0</v>
      </c>
      <c r="S237" s="1208">
        <v>45728.0</v>
      </c>
      <c r="T237" s="1566" t="s">
        <v>1228</v>
      </c>
      <c r="U237" s="1016">
        <f t="shared" si="8"/>
        <v>3</v>
      </c>
      <c r="V237" s="1017">
        <v>4.0</v>
      </c>
      <c r="W237" s="343">
        <v>45308.0</v>
      </c>
      <c r="X237" s="79" t="b">
        <v>1</v>
      </c>
      <c r="Y237" s="343">
        <v>45490.0</v>
      </c>
      <c r="Z237" s="79" t="b">
        <v>1</v>
      </c>
      <c r="AA237" s="343">
        <v>45728.0</v>
      </c>
      <c r="AB237" s="79" t="b">
        <v>1</v>
      </c>
      <c r="AC237" s="182">
        <v>45855.0</v>
      </c>
      <c r="AD237" s="79" t="b">
        <v>0</v>
      </c>
      <c r="AE237" s="182"/>
      <c r="AF237" s="79"/>
      <c r="AG237" s="182"/>
      <c r="AH237" s="79"/>
      <c r="AI237" s="182"/>
      <c r="AJ237" s="79"/>
      <c r="AK237" s="182"/>
      <c r="AL237" s="79"/>
      <c r="AM237" s="422"/>
      <c r="AN237" s="422"/>
      <c r="AO237" s="422"/>
      <c r="AP237" s="422"/>
      <c r="AQ237" s="79"/>
      <c r="AR237" s="79"/>
      <c r="AS237" s="79"/>
      <c r="AT237" s="79"/>
      <c r="AU237" s="62"/>
      <c r="AV237" s="792"/>
    </row>
    <row r="238" ht="27.75" hidden="1" customHeight="1">
      <c r="A238" s="1567">
        <f t="shared" si="6"/>
        <v>35</v>
      </c>
      <c r="B238" s="452" t="s">
        <v>806</v>
      </c>
      <c r="C238" s="127"/>
      <c r="D238" s="127" t="s">
        <v>472</v>
      </c>
      <c r="E238" s="67"/>
      <c r="F238" s="67"/>
      <c r="G238" s="79" t="s">
        <v>55</v>
      </c>
      <c r="H238" s="1554" t="b">
        <v>1</v>
      </c>
      <c r="I238" s="459">
        <v>45783.0</v>
      </c>
      <c r="J238" s="1554" t="b">
        <v>0</v>
      </c>
      <c r="K238" s="89"/>
      <c r="L238" s="62" t="s">
        <v>351</v>
      </c>
      <c r="M238" s="1472" t="s">
        <v>992</v>
      </c>
      <c r="N238" s="511" t="s">
        <v>1229</v>
      </c>
      <c r="O238" s="1358"/>
      <c r="P238" s="1087"/>
      <c r="Q238" s="100"/>
      <c r="R238" s="102">
        <v>45604.0</v>
      </c>
      <c r="S238" s="1208">
        <v>45608.0</v>
      </c>
      <c r="T238" s="1464" t="s">
        <v>69</v>
      </c>
      <c r="U238" s="1016">
        <f t="shared" si="8"/>
        <v>4</v>
      </c>
      <c r="V238" s="1017">
        <v>4.0</v>
      </c>
      <c r="W238" s="115">
        <v>44922.0</v>
      </c>
      <c r="X238" s="83" t="b">
        <v>1</v>
      </c>
      <c r="Y238" s="115">
        <v>45246.0</v>
      </c>
      <c r="Z238" s="83" t="b">
        <v>1</v>
      </c>
      <c r="AA238" s="115">
        <v>45422.0</v>
      </c>
      <c r="AB238" s="68" t="b">
        <v>1</v>
      </c>
      <c r="AC238" s="119">
        <v>45608.0</v>
      </c>
      <c r="AD238" s="68" t="b">
        <v>1</v>
      </c>
      <c r="AE238" s="182"/>
      <c r="AF238" s="79"/>
      <c r="AG238" s="182"/>
      <c r="AH238" s="79"/>
      <c r="AI238" s="182"/>
      <c r="AJ238" s="79"/>
      <c r="AK238" s="182"/>
      <c r="AL238" s="79"/>
      <c r="AM238" s="422"/>
      <c r="AN238" s="422"/>
      <c r="AO238" s="422"/>
      <c r="AP238" s="422"/>
      <c r="AQ238" s="79"/>
      <c r="AR238" s="79"/>
      <c r="AS238" s="79"/>
      <c r="AT238" s="79"/>
      <c r="AU238" s="891"/>
      <c r="AV238" s="792"/>
    </row>
    <row r="239" ht="27.75" hidden="1" customHeight="1">
      <c r="A239" s="79">
        <f t="shared" si="6"/>
        <v>35</v>
      </c>
      <c r="B239" s="62" t="s">
        <v>808</v>
      </c>
      <c r="C239" s="67">
        <v>5.28</v>
      </c>
      <c r="D239" s="67" t="s">
        <v>199</v>
      </c>
      <c r="E239" s="67" t="s">
        <v>993</v>
      </c>
      <c r="F239" s="67"/>
      <c r="G239" s="79" t="s">
        <v>243</v>
      </c>
      <c r="H239" s="1554" t="b">
        <v>0</v>
      </c>
      <c r="I239" s="85"/>
      <c r="J239" s="1554" t="b">
        <v>0</v>
      </c>
      <c r="K239" s="89"/>
      <c r="L239" s="62" t="s">
        <v>994</v>
      </c>
      <c r="M239" s="1472">
        <v>8.67778043E8</v>
      </c>
      <c r="N239" s="511"/>
      <c r="O239" s="1358"/>
      <c r="P239" s="1087"/>
      <c r="Q239" s="100"/>
      <c r="R239" s="102">
        <v>45910.0</v>
      </c>
      <c r="S239" s="1208">
        <v>45726.0</v>
      </c>
      <c r="T239" s="1208"/>
      <c r="U239" s="1016">
        <f t="shared" si="8"/>
        <v>3</v>
      </c>
      <c r="V239" s="1017">
        <v>4.0</v>
      </c>
      <c r="W239" s="343">
        <v>45362.0</v>
      </c>
      <c r="X239" s="79" t="b">
        <v>1</v>
      </c>
      <c r="Y239" s="343">
        <v>45708.0</v>
      </c>
      <c r="Z239" s="79" t="b">
        <v>1</v>
      </c>
      <c r="AA239" s="343">
        <v>45726.0</v>
      </c>
      <c r="AB239" s="79" t="b">
        <v>1</v>
      </c>
      <c r="AC239" s="182">
        <v>45910.0</v>
      </c>
      <c r="AD239" s="79" t="b">
        <v>0</v>
      </c>
      <c r="AE239" s="343"/>
      <c r="AF239" s="422"/>
      <c r="AG239" s="343"/>
      <c r="AH239" s="422"/>
      <c r="AI239" s="343"/>
      <c r="AJ239" s="422"/>
      <c r="AK239" s="343"/>
      <c r="AL239" s="422"/>
      <c r="AM239" s="422"/>
      <c r="AN239" s="422"/>
      <c r="AO239" s="422"/>
      <c r="AP239" s="422"/>
      <c r="AQ239" s="79"/>
      <c r="AR239" s="79"/>
      <c r="AS239" s="79"/>
      <c r="AT239" s="79"/>
      <c r="AU239" s="62"/>
      <c r="AV239" s="792"/>
    </row>
    <row r="240" ht="27.75" hidden="1" customHeight="1">
      <c r="A240" s="79">
        <f t="shared" si="6"/>
        <v>35</v>
      </c>
      <c r="B240" s="201" t="s">
        <v>809</v>
      </c>
      <c r="C240" s="67">
        <v>8.1</v>
      </c>
      <c r="D240" s="67" t="s">
        <v>996</v>
      </c>
      <c r="E240" s="67" t="s">
        <v>931</v>
      </c>
      <c r="F240" s="67"/>
      <c r="G240" s="79" t="s">
        <v>55</v>
      </c>
      <c r="H240" s="1554" t="b">
        <v>1</v>
      </c>
      <c r="I240" s="85">
        <v>46058.0</v>
      </c>
      <c r="J240" s="1554" t="b">
        <v>0</v>
      </c>
      <c r="K240" s="89"/>
      <c r="L240" s="62" t="s">
        <v>899</v>
      </c>
      <c r="M240" s="1472">
        <v>8.3650888E8</v>
      </c>
      <c r="N240" s="511"/>
      <c r="O240" s="1358"/>
      <c r="P240" s="1087"/>
      <c r="Q240" s="100"/>
      <c r="R240" s="102">
        <v>45875.0</v>
      </c>
      <c r="S240" s="1208">
        <v>45728.0</v>
      </c>
      <c r="T240" s="1208"/>
      <c r="U240" s="1016">
        <f t="shared" si="8"/>
        <v>8</v>
      </c>
      <c r="V240" s="1017">
        <v>6.0</v>
      </c>
      <c r="W240" s="343">
        <v>44832.0</v>
      </c>
      <c r="X240" s="79" t="b">
        <v>1</v>
      </c>
      <c r="Y240" s="343">
        <v>45014.0</v>
      </c>
      <c r="Z240" s="79" t="b">
        <v>1</v>
      </c>
      <c r="AA240" s="343">
        <v>45328.0</v>
      </c>
      <c r="AB240" s="79" t="b">
        <v>1</v>
      </c>
      <c r="AC240" s="182">
        <v>45493.0</v>
      </c>
      <c r="AD240" s="471" t="b">
        <v>1</v>
      </c>
      <c r="AE240" s="182">
        <v>45728.0</v>
      </c>
      <c r="AF240" s="79" t="b">
        <v>1</v>
      </c>
      <c r="AG240" s="182">
        <v>45910.0</v>
      </c>
      <c r="AH240" s="471" t="b">
        <v>1</v>
      </c>
      <c r="AI240" s="182"/>
      <c r="AJ240" s="471" t="b">
        <v>0</v>
      </c>
      <c r="AK240" s="1568">
        <v>45910.0</v>
      </c>
      <c r="AL240" s="471" t="b">
        <v>1</v>
      </c>
      <c r="AM240" s="422">
        <v>46254.0</v>
      </c>
      <c r="AN240" s="471" t="b">
        <v>1</v>
      </c>
      <c r="AO240" s="1569">
        <v>46419.0</v>
      </c>
      <c r="AP240" s="471"/>
      <c r="AQ240" s="79"/>
      <c r="AR240" s="79"/>
      <c r="AS240" s="79"/>
      <c r="AT240" s="79"/>
      <c r="AU240" s="891"/>
      <c r="AV240" s="792"/>
    </row>
    <row r="241" ht="27.75" customHeight="1">
      <c r="A241" s="79">
        <f t="shared" si="6"/>
        <v>36</v>
      </c>
      <c r="B241" s="72" t="s">
        <v>810</v>
      </c>
      <c r="C241" s="67">
        <v>19.2</v>
      </c>
      <c r="D241" s="67" t="s">
        <v>77</v>
      </c>
      <c r="E241" s="67" t="s">
        <v>999</v>
      </c>
      <c r="F241" s="67"/>
      <c r="G241" s="79" t="s">
        <v>105</v>
      </c>
      <c r="H241" s="1554" t="b">
        <v>0</v>
      </c>
      <c r="I241" s="85"/>
      <c r="J241" s="1554" t="b">
        <v>0</v>
      </c>
      <c r="K241" s="89"/>
      <c r="L241" s="62" t="s">
        <v>1000</v>
      </c>
      <c r="M241" s="1558" t="s">
        <v>1001</v>
      </c>
      <c r="N241" s="511" t="s">
        <v>1002</v>
      </c>
      <c r="O241" s="1358"/>
      <c r="P241" s="1087"/>
      <c r="Q241" s="100">
        <v>45340.0</v>
      </c>
      <c r="R241" s="102">
        <v>46045.0</v>
      </c>
      <c r="S241" s="1208">
        <v>46134.0</v>
      </c>
      <c r="T241" s="1460" t="s">
        <v>1003</v>
      </c>
      <c r="U241" s="1016">
        <f t="shared" si="8"/>
        <v>4</v>
      </c>
      <c r="V241" s="1017">
        <v>4.0</v>
      </c>
      <c r="W241" s="343">
        <v>45526.0</v>
      </c>
      <c r="X241" s="79" t="b">
        <v>1</v>
      </c>
      <c r="Y241" s="343">
        <v>45751.0</v>
      </c>
      <c r="Z241" s="79" t="b">
        <v>1</v>
      </c>
      <c r="AA241" s="182">
        <v>45946.0</v>
      </c>
      <c r="AB241" s="79" t="b">
        <v>1</v>
      </c>
      <c r="AC241" s="182">
        <v>46134.0</v>
      </c>
      <c r="AD241" s="79" t="b">
        <v>1</v>
      </c>
      <c r="AE241" s="343"/>
      <c r="AF241" s="422"/>
      <c r="AG241" s="343"/>
      <c r="AH241" s="422"/>
      <c r="AI241" s="343"/>
      <c r="AJ241" s="422"/>
      <c r="AK241" s="343"/>
      <c r="AL241" s="422"/>
      <c r="AM241" s="422"/>
      <c r="AN241" s="422"/>
      <c r="AO241" s="422"/>
      <c r="AP241" s="422"/>
      <c r="AQ241" s="79"/>
      <c r="AR241" s="79"/>
      <c r="AS241" s="79"/>
      <c r="AT241" s="79"/>
      <c r="AU241" s="62"/>
      <c r="AV241" s="792"/>
    </row>
    <row r="242" ht="27.75" customHeight="1">
      <c r="A242" s="79">
        <f t="shared" si="6"/>
        <v>37</v>
      </c>
      <c r="B242" s="72" t="s">
        <v>811</v>
      </c>
      <c r="C242" s="67">
        <v>25.44</v>
      </c>
      <c r="D242" s="67" t="s">
        <v>276</v>
      </c>
      <c r="E242" s="67" t="s">
        <v>1004</v>
      </c>
      <c r="F242" s="67"/>
      <c r="G242" s="79" t="s">
        <v>105</v>
      </c>
      <c r="H242" s="1554" t="b">
        <v>0</v>
      </c>
      <c r="I242" s="85"/>
      <c r="J242" s="1554" t="b">
        <v>0</v>
      </c>
      <c r="K242" s="89"/>
      <c r="L242" s="62" t="s">
        <v>1230</v>
      </c>
      <c r="M242" s="1472">
        <v>8.0169629E8</v>
      </c>
      <c r="N242" s="1570"/>
      <c r="O242" s="1475" t="s">
        <v>1231</v>
      </c>
      <c r="P242" s="1087"/>
      <c r="Q242" s="100"/>
      <c r="R242" s="102">
        <v>46157.0</v>
      </c>
      <c r="S242" s="631">
        <v>46160.0</v>
      </c>
      <c r="T242" s="1208"/>
      <c r="U242" s="1016">
        <f t="shared" si="8"/>
        <v>4</v>
      </c>
      <c r="V242" s="1017">
        <v>4.0</v>
      </c>
      <c r="W242" s="115">
        <v>45617.0</v>
      </c>
      <c r="X242" s="83" t="b">
        <v>1</v>
      </c>
      <c r="Y242" s="115">
        <v>45797.0</v>
      </c>
      <c r="Z242" s="83" t="b">
        <v>1</v>
      </c>
      <c r="AA242" s="115">
        <v>45973.0</v>
      </c>
      <c r="AB242" s="68" t="b">
        <v>1</v>
      </c>
      <c r="AC242" s="115">
        <v>46160.0</v>
      </c>
      <c r="AD242" s="137" t="b">
        <v>1</v>
      </c>
      <c r="AE242" s="343"/>
      <c r="AF242" s="422"/>
      <c r="AG242" s="343"/>
      <c r="AH242" s="422"/>
      <c r="AI242" s="343"/>
      <c r="AJ242" s="422"/>
      <c r="AK242" s="343"/>
      <c r="AL242" s="422"/>
      <c r="AM242" s="422"/>
      <c r="AN242" s="422"/>
      <c r="AO242" s="422"/>
      <c r="AP242" s="422"/>
      <c r="AQ242" s="79"/>
      <c r="AR242" s="79"/>
      <c r="AS242" s="79"/>
      <c r="AT242" s="79"/>
      <c r="AU242" s="62"/>
      <c r="AV242" s="792"/>
    </row>
    <row r="243" ht="27.75" hidden="1" customHeight="1">
      <c r="A243" s="79">
        <f t="shared" si="6"/>
        <v>37</v>
      </c>
      <c r="B243" s="289" t="s">
        <v>1232</v>
      </c>
      <c r="C243" s="67">
        <v>20.0</v>
      </c>
      <c r="D243" s="67"/>
      <c r="E243" s="666"/>
      <c r="F243" s="147"/>
      <c r="G243" s="79" t="s">
        <v>84</v>
      </c>
      <c r="H243" s="1554" t="b">
        <v>0</v>
      </c>
      <c r="I243" s="148"/>
      <c r="J243" s="1554" t="b">
        <v>0</v>
      </c>
      <c r="K243" s="149"/>
      <c r="L243" s="147"/>
      <c r="M243" s="147"/>
      <c r="N243" s="147"/>
      <c r="O243" s="147"/>
      <c r="P243" s="1334">
        <v>46079.0</v>
      </c>
      <c r="Q243" s="155"/>
      <c r="R243" s="156">
        <v>46808.0</v>
      </c>
      <c r="S243" s="1244"/>
      <c r="T243" s="147"/>
      <c r="U243" s="1016">
        <f t="shared" si="8"/>
        <v>1</v>
      </c>
      <c r="V243" s="1519">
        <v>4.0</v>
      </c>
      <c r="W243" s="960">
        <v>46234.0</v>
      </c>
      <c r="X243" s="79" t="b">
        <v>1</v>
      </c>
      <c r="Y243" s="960">
        <v>46406.0</v>
      </c>
      <c r="Z243" s="79" t="b">
        <v>0</v>
      </c>
      <c r="AA243" s="960">
        <v>46588.0</v>
      </c>
      <c r="AB243" s="79" t="b">
        <v>0</v>
      </c>
      <c r="AC243" s="960">
        <v>46770.0</v>
      </c>
      <c r="AD243" s="79" t="b">
        <v>0</v>
      </c>
      <c r="AE243" s="256"/>
      <c r="AF243" s="256"/>
      <c r="AG243" s="256"/>
      <c r="AH243" s="256"/>
      <c r="AI243" s="256"/>
      <c r="AJ243" s="256"/>
      <c r="AK243" s="256"/>
      <c r="AL243" s="256"/>
      <c r="AM243" s="256"/>
      <c r="AN243" s="256"/>
      <c r="AO243" s="256"/>
      <c r="AP243" s="256"/>
      <c r="AQ243" s="147"/>
      <c r="AR243" s="147"/>
      <c r="AS243" s="147"/>
      <c r="AT243" s="147"/>
      <c r="AU243" s="147"/>
      <c r="AV243" s="792"/>
    </row>
    <row r="244" ht="27.75" hidden="1" customHeight="1">
      <c r="A244" s="79">
        <f t="shared" si="6"/>
        <v>37</v>
      </c>
      <c r="B244" s="201" t="s">
        <v>812</v>
      </c>
      <c r="C244" s="67">
        <v>15.0</v>
      </c>
      <c r="D244" s="67" t="s">
        <v>1006</v>
      </c>
      <c r="E244" s="67" t="s">
        <v>1006</v>
      </c>
      <c r="F244" s="67" t="s">
        <v>1007</v>
      </c>
      <c r="G244" s="79" t="s">
        <v>84</v>
      </c>
      <c r="H244" s="1554" t="b">
        <v>1</v>
      </c>
      <c r="I244" s="489">
        <v>45758.0</v>
      </c>
      <c r="J244" s="1554" t="b">
        <v>1</v>
      </c>
      <c r="K244" s="89">
        <v>46107.0</v>
      </c>
      <c r="L244" s="62" t="s">
        <v>1008</v>
      </c>
      <c r="M244" s="1472"/>
      <c r="N244" s="511"/>
      <c r="O244" s="1475" t="s">
        <v>1009</v>
      </c>
      <c r="P244" s="1087"/>
      <c r="Q244" s="100">
        <v>46087.0</v>
      </c>
      <c r="R244" s="102">
        <v>46817.0</v>
      </c>
      <c r="S244" s="631">
        <v>46160.0</v>
      </c>
      <c r="T244" s="1521" t="s">
        <v>1010</v>
      </c>
      <c r="U244" s="1016">
        <f t="shared" si="8"/>
        <v>3</v>
      </c>
      <c r="V244" s="1017">
        <v>6.0</v>
      </c>
      <c r="W244" s="343">
        <v>45247.0</v>
      </c>
      <c r="X244" s="79" t="b">
        <v>1</v>
      </c>
      <c r="Y244" s="343">
        <v>45499.0</v>
      </c>
      <c r="Z244" s="79" t="b">
        <v>1</v>
      </c>
      <c r="AA244" s="182">
        <v>46160.0</v>
      </c>
      <c r="AB244" s="471" t="b">
        <v>1</v>
      </c>
      <c r="AC244" s="343">
        <v>46406.0</v>
      </c>
      <c r="AD244" s="422" t="b">
        <v>0</v>
      </c>
      <c r="AE244" s="182">
        <v>46588.0</v>
      </c>
      <c r="AF244" s="471" t="b">
        <v>0</v>
      </c>
      <c r="AG244" s="343">
        <v>46770.0</v>
      </c>
      <c r="AH244" s="471" t="b">
        <v>0</v>
      </c>
      <c r="AI244" s="343"/>
      <c r="AJ244" s="422"/>
      <c r="AK244" s="343"/>
      <c r="AL244" s="422"/>
      <c r="AM244" s="422"/>
      <c r="AN244" s="422"/>
      <c r="AO244" s="422"/>
      <c r="AP244" s="422"/>
      <c r="AQ244" s="79"/>
      <c r="AR244" s="79"/>
      <c r="AS244" s="79"/>
      <c r="AT244" s="79"/>
      <c r="AU244" s="62"/>
      <c r="AV244" s="792"/>
    </row>
    <row r="245" ht="27.75" hidden="1" customHeight="1">
      <c r="A245" s="79">
        <f t="shared" si="6"/>
        <v>37</v>
      </c>
      <c r="B245" s="201" t="s">
        <v>813</v>
      </c>
      <c r="C245" s="67">
        <v>84.0</v>
      </c>
      <c r="D245" s="67" t="s">
        <v>1006</v>
      </c>
      <c r="E245" s="67" t="s">
        <v>1006</v>
      </c>
      <c r="F245" s="67" t="s">
        <v>1021</v>
      </c>
      <c r="G245" s="79" t="s">
        <v>84</v>
      </c>
      <c r="H245" s="1554" t="b">
        <v>1</v>
      </c>
      <c r="I245" s="489">
        <v>45758.0</v>
      </c>
      <c r="J245" s="1554" t="b">
        <v>1</v>
      </c>
      <c r="K245" s="89">
        <v>45997.0</v>
      </c>
      <c r="L245" s="62" t="s">
        <v>1008</v>
      </c>
      <c r="M245" s="1472"/>
      <c r="N245" s="511"/>
      <c r="O245" s="1475" t="s">
        <v>1009</v>
      </c>
      <c r="P245" s="1087"/>
      <c r="Q245" s="100">
        <v>45997.0</v>
      </c>
      <c r="R245" s="102">
        <v>46589.0</v>
      </c>
      <c r="S245" s="1208">
        <v>46042.0</v>
      </c>
      <c r="T245" s="1521" t="s">
        <v>1010</v>
      </c>
      <c r="U245" s="1016">
        <f t="shared" si="8"/>
        <v>4</v>
      </c>
      <c r="V245" s="1017">
        <v>6.0</v>
      </c>
      <c r="W245" s="343">
        <v>45247.0</v>
      </c>
      <c r="X245" s="79" t="b">
        <v>1</v>
      </c>
      <c r="Y245" s="343">
        <v>45499.0</v>
      </c>
      <c r="Z245" s="79" t="b">
        <v>1</v>
      </c>
      <c r="AA245" s="343">
        <v>46042.0</v>
      </c>
      <c r="AB245" s="79" t="b">
        <v>1</v>
      </c>
      <c r="AC245" s="182">
        <v>46182.0</v>
      </c>
      <c r="AD245" s="471" t="b">
        <v>1</v>
      </c>
      <c r="AE245" s="343">
        <v>46406.0</v>
      </c>
      <c r="AF245" s="422" t="b">
        <v>0</v>
      </c>
      <c r="AG245" s="182">
        <v>46588.0</v>
      </c>
      <c r="AH245" s="471" t="b">
        <v>0</v>
      </c>
      <c r="AI245" s="343"/>
      <c r="AJ245" s="422"/>
      <c r="AK245" s="343"/>
      <c r="AL245" s="422"/>
      <c r="AM245" s="422"/>
      <c r="AN245" s="422"/>
      <c r="AO245" s="422"/>
      <c r="AP245" s="422"/>
      <c r="AQ245" s="79"/>
      <c r="AR245" s="79"/>
      <c r="AS245" s="79"/>
      <c r="AT245" s="79"/>
      <c r="AU245" s="62"/>
      <c r="AV245" s="792"/>
    </row>
    <row r="246" ht="27.75" hidden="1" customHeight="1">
      <c r="A246" s="79">
        <f t="shared" si="6"/>
        <v>37</v>
      </c>
      <c r="B246" s="201" t="s">
        <v>815</v>
      </c>
      <c r="C246" s="67">
        <v>60.0</v>
      </c>
      <c r="D246" s="67" t="s">
        <v>1006</v>
      </c>
      <c r="E246" s="67" t="s">
        <v>1006</v>
      </c>
      <c r="F246" s="67" t="s">
        <v>1025</v>
      </c>
      <c r="G246" s="79" t="s">
        <v>84</v>
      </c>
      <c r="H246" s="1554" t="b">
        <v>1</v>
      </c>
      <c r="I246" s="489">
        <v>45758.0</v>
      </c>
      <c r="J246" s="1554" t="b">
        <v>1</v>
      </c>
      <c r="K246" s="89">
        <v>45997.0</v>
      </c>
      <c r="L246" s="62" t="s">
        <v>1008</v>
      </c>
      <c r="M246" s="1472"/>
      <c r="N246" s="511"/>
      <c r="O246" s="1475" t="s">
        <v>1009</v>
      </c>
      <c r="P246" s="1087"/>
      <c r="Q246" s="100">
        <v>45997.0</v>
      </c>
      <c r="R246" s="102">
        <v>46589.0</v>
      </c>
      <c r="S246" s="1208">
        <v>46042.0</v>
      </c>
      <c r="T246" s="1521" t="s">
        <v>1010</v>
      </c>
      <c r="U246" s="1016">
        <f t="shared" si="8"/>
        <v>4</v>
      </c>
      <c r="V246" s="1017">
        <v>6.0</v>
      </c>
      <c r="W246" s="343">
        <v>45247.0</v>
      </c>
      <c r="X246" s="79" t="b">
        <v>1</v>
      </c>
      <c r="Y246" s="343">
        <v>45499.0</v>
      </c>
      <c r="Z246" s="79" t="b">
        <v>1</v>
      </c>
      <c r="AA246" s="343">
        <v>46042.0</v>
      </c>
      <c r="AB246" s="79" t="b">
        <v>1</v>
      </c>
      <c r="AC246" s="182">
        <v>46219.0</v>
      </c>
      <c r="AD246" s="471" t="b">
        <v>1</v>
      </c>
      <c r="AE246" s="343">
        <v>46406.0</v>
      </c>
      <c r="AF246" s="422" t="b">
        <v>0</v>
      </c>
      <c r="AG246" s="182">
        <v>46588.0</v>
      </c>
      <c r="AH246" s="471" t="b">
        <v>0</v>
      </c>
      <c r="AI246" s="343"/>
      <c r="AJ246" s="422"/>
      <c r="AK246" s="343"/>
      <c r="AL246" s="422"/>
      <c r="AM246" s="422"/>
      <c r="AN246" s="422"/>
      <c r="AO246" s="422"/>
      <c r="AP246" s="422"/>
      <c r="AQ246" s="79"/>
      <c r="AR246" s="79"/>
      <c r="AS246" s="79"/>
      <c r="AT246" s="79"/>
      <c r="AU246" s="62"/>
      <c r="AV246" s="792"/>
    </row>
    <row r="247" ht="27.75" customHeight="1">
      <c r="A247" s="79">
        <f t="shared" si="6"/>
        <v>38</v>
      </c>
      <c r="B247" s="1571" t="s">
        <v>816</v>
      </c>
      <c r="C247" s="354">
        <v>10.56</v>
      </c>
      <c r="D247" s="354" t="s">
        <v>1096</v>
      </c>
      <c r="E247" s="354" t="s">
        <v>1097</v>
      </c>
      <c r="F247" s="356"/>
      <c r="G247" s="79" t="s">
        <v>105</v>
      </c>
      <c r="H247" s="1554" t="b">
        <v>0</v>
      </c>
      <c r="I247" s="582"/>
      <c r="J247" s="1554" t="b">
        <v>0</v>
      </c>
      <c r="K247" s="583"/>
      <c r="L247" s="202" t="s">
        <v>1233</v>
      </c>
      <c r="M247" s="1514">
        <v>9.71910019E8</v>
      </c>
      <c r="N247" s="1572" t="s">
        <v>1234</v>
      </c>
      <c r="O247" s="1507"/>
      <c r="P247" s="1502"/>
      <c r="Q247" s="371"/>
      <c r="R247" s="102">
        <v>46174.0</v>
      </c>
      <c r="S247" s="1208">
        <v>46202.0</v>
      </c>
      <c r="T247" s="1521" t="s">
        <v>1235</v>
      </c>
      <c r="U247" s="1016">
        <f t="shared" si="8"/>
        <v>4</v>
      </c>
      <c r="V247" s="1017">
        <v>4.0</v>
      </c>
      <c r="W247" s="115">
        <v>45637.0</v>
      </c>
      <c r="X247" s="68" t="b">
        <v>1</v>
      </c>
      <c r="Y247" s="115">
        <v>45797.0</v>
      </c>
      <c r="Z247" s="68" t="b">
        <v>1</v>
      </c>
      <c r="AA247" s="343">
        <v>46058.0</v>
      </c>
      <c r="AB247" s="79" t="b">
        <v>1</v>
      </c>
      <c r="AC247" s="182">
        <v>46202.0</v>
      </c>
      <c r="AD247" s="471" t="b">
        <v>1</v>
      </c>
      <c r="AE247" s="1068"/>
      <c r="AF247" s="1349"/>
      <c r="AG247" s="1068"/>
      <c r="AH247" s="1349"/>
      <c r="AI247" s="1068"/>
      <c r="AJ247" s="1349"/>
      <c r="AK247" s="1068"/>
      <c r="AL247" s="1349"/>
      <c r="AM247" s="1349"/>
      <c r="AN247" s="1349"/>
      <c r="AO247" s="1349"/>
      <c r="AP247" s="1349"/>
      <c r="AQ247" s="79"/>
      <c r="AR247" s="79"/>
      <c r="AS247" s="79"/>
      <c r="AT247" s="79"/>
      <c r="AU247" s="356"/>
      <c r="AV247" s="792"/>
    </row>
    <row r="248" ht="27.75" customHeight="1">
      <c r="A248" s="79">
        <f t="shared" si="6"/>
        <v>39</v>
      </c>
      <c r="B248" s="1571" t="s">
        <v>821</v>
      </c>
      <c r="C248" s="354">
        <v>14.4</v>
      </c>
      <c r="D248" s="354" t="s">
        <v>1096</v>
      </c>
      <c r="E248" s="354" t="s">
        <v>1097</v>
      </c>
      <c r="F248" s="356"/>
      <c r="G248" s="79" t="s">
        <v>105</v>
      </c>
      <c r="H248" s="1554" t="b">
        <v>0</v>
      </c>
      <c r="I248" s="582"/>
      <c r="J248" s="1554" t="b">
        <v>0</v>
      </c>
      <c r="K248" s="583"/>
      <c r="L248" s="202" t="s">
        <v>1233</v>
      </c>
      <c r="M248" s="1514">
        <v>9.71910019E8</v>
      </c>
      <c r="N248" s="1572" t="s">
        <v>1234</v>
      </c>
      <c r="O248" s="1507"/>
      <c r="P248" s="1502"/>
      <c r="Q248" s="371"/>
      <c r="R248" s="102">
        <v>46174.0</v>
      </c>
      <c r="S248" s="1208">
        <v>46202.0</v>
      </c>
      <c r="T248" s="1521" t="s">
        <v>1235</v>
      </c>
      <c r="U248" s="1016">
        <f t="shared" si="8"/>
        <v>4</v>
      </c>
      <c r="V248" s="1017">
        <v>4.0</v>
      </c>
      <c r="W248" s="343">
        <v>45637.0</v>
      </c>
      <c r="X248" s="79" t="b">
        <v>1</v>
      </c>
      <c r="Y248" s="343">
        <v>45797.0</v>
      </c>
      <c r="Z248" s="79" t="b">
        <v>1</v>
      </c>
      <c r="AA248" s="343">
        <v>46058.0</v>
      </c>
      <c r="AB248" s="79" t="b">
        <v>1</v>
      </c>
      <c r="AC248" s="182">
        <v>46202.0</v>
      </c>
      <c r="AD248" s="471" t="b">
        <v>1</v>
      </c>
      <c r="AE248" s="1068"/>
      <c r="AF248" s="1349"/>
      <c r="AG248" s="1068"/>
      <c r="AH248" s="1349"/>
      <c r="AI248" s="1068"/>
      <c r="AJ248" s="1349"/>
      <c r="AK248" s="1068"/>
      <c r="AL248" s="1349"/>
      <c r="AM248" s="1349"/>
      <c r="AN248" s="1349"/>
      <c r="AO248" s="1349"/>
      <c r="AP248" s="1349"/>
      <c r="AQ248" s="79"/>
      <c r="AR248" s="79"/>
      <c r="AS248" s="79"/>
      <c r="AT248" s="79"/>
      <c r="AU248" s="356"/>
      <c r="AV248" s="792"/>
    </row>
    <row r="249" ht="27.75" hidden="1" customHeight="1">
      <c r="A249" s="79">
        <f t="shared" si="6"/>
        <v>39</v>
      </c>
      <c r="B249" s="62" t="s">
        <v>1236</v>
      </c>
      <c r="C249" s="67">
        <v>35.7</v>
      </c>
      <c r="D249" s="67" t="s">
        <v>101</v>
      </c>
      <c r="E249" s="67"/>
      <c r="F249" s="147"/>
      <c r="G249" s="79" t="s">
        <v>84</v>
      </c>
      <c r="H249" s="1554" t="b">
        <v>0</v>
      </c>
      <c r="I249" s="148"/>
      <c r="J249" s="1554" t="b">
        <v>0</v>
      </c>
      <c r="K249" s="149"/>
      <c r="L249" s="147"/>
      <c r="M249" s="147"/>
      <c r="N249" s="147"/>
      <c r="O249" s="186" t="s">
        <v>219</v>
      </c>
      <c r="P249" s="1334">
        <v>46178.0</v>
      </c>
      <c r="Q249" s="155"/>
      <c r="R249" s="156">
        <v>46909.0</v>
      </c>
      <c r="S249" s="1244"/>
      <c r="T249" s="147"/>
      <c r="U249" s="1016">
        <f t="shared" si="8"/>
        <v>0</v>
      </c>
      <c r="V249" s="1519">
        <v>4.0</v>
      </c>
      <c r="W249" s="960">
        <v>46312.0</v>
      </c>
      <c r="X249" s="79" t="b">
        <v>0</v>
      </c>
      <c r="Y249" s="960">
        <v>46494.0</v>
      </c>
      <c r="Z249" s="79" t="b">
        <v>0</v>
      </c>
      <c r="AA249" s="960">
        <v>46676.0</v>
      </c>
      <c r="AB249" s="79" t="b">
        <v>0</v>
      </c>
      <c r="AC249" s="960">
        <v>46858.0</v>
      </c>
      <c r="AD249" s="79" t="b">
        <v>0</v>
      </c>
      <c r="AE249" s="256"/>
      <c r="AF249" s="256"/>
      <c r="AG249" s="256"/>
      <c r="AH249" s="256"/>
      <c r="AI249" s="256"/>
      <c r="AJ249" s="256"/>
      <c r="AK249" s="256"/>
      <c r="AL249" s="256"/>
      <c r="AM249" s="256"/>
      <c r="AN249" s="256"/>
      <c r="AO249" s="256"/>
      <c r="AP249" s="256"/>
      <c r="AQ249" s="147"/>
      <c r="AR249" s="147"/>
      <c r="AS249" s="147"/>
      <c r="AT249" s="147"/>
      <c r="AU249" s="147"/>
      <c r="AV249" s="792"/>
    </row>
    <row r="250" ht="27.75" hidden="1" customHeight="1">
      <c r="A250" s="79">
        <f t="shared" si="6"/>
        <v>39</v>
      </c>
      <c r="B250" s="201" t="s">
        <v>822</v>
      </c>
      <c r="C250" s="67">
        <v>10.56</v>
      </c>
      <c r="D250" s="67" t="s">
        <v>307</v>
      </c>
      <c r="E250" s="67" t="s">
        <v>1237</v>
      </c>
      <c r="F250" s="67"/>
      <c r="G250" s="79" t="s">
        <v>84</v>
      </c>
      <c r="H250" s="1554" t="b">
        <v>1</v>
      </c>
      <c r="I250" s="85">
        <v>45662.0</v>
      </c>
      <c r="J250" s="1554" t="b">
        <v>1</v>
      </c>
      <c r="K250" s="89">
        <v>46034.0</v>
      </c>
      <c r="L250" s="62" t="s">
        <v>1028</v>
      </c>
      <c r="M250" s="1472" t="s">
        <v>1029</v>
      </c>
      <c r="N250" s="511" t="s">
        <v>1030</v>
      </c>
      <c r="O250" s="1358"/>
      <c r="P250" s="1087"/>
      <c r="Q250" s="100"/>
      <c r="R250" s="102">
        <v>45940.0</v>
      </c>
      <c r="S250" s="1208">
        <v>46134.0</v>
      </c>
      <c r="T250" s="1464" t="s">
        <v>797</v>
      </c>
      <c r="U250" s="1016">
        <f t="shared" si="8"/>
        <v>5</v>
      </c>
      <c r="V250" s="1017">
        <v>4.0</v>
      </c>
      <c r="W250" s="343">
        <v>45394.0</v>
      </c>
      <c r="X250" s="79" t="b">
        <v>1</v>
      </c>
      <c r="Y250" s="343">
        <v>45601.0</v>
      </c>
      <c r="Z250" s="79" t="b">
        <v>1</v>
      </c>
      <c r="AA250" s="343">
        <v>45751.0</v>
      </c>
      <c r="AB250" s="79" t="b">
        <v>1</v>
      </c>
      <c r="AC250" s="182">
        <v>45946.0</v>
      </c>
      <c r="AD250" s="471" t="b">
        <v>1</v>
      </c>
      <c r="AE250" s="182">
        <v>46134.0</v>
      </c>
      <c r="AF250" s="471" t="b">
        <v>1</v>
      </c>
      <c r="AG250" s="182">
        <v>46323.0</v>
      </c>
      <c r="AH250" s="471" t="b">
        <v>0</v>
      </c>
      <c r="AI250" s="182">
        <v>46505.0</v>
      </c>
      <c r="AJ250" s="471" t="b">
        <v>0</v>
      </c>
      <c r="AK250" s="182">
        <v>46687.0</v>
      </c>
      <c r="AL250" s="471" t="b">
        <v>0</v>
      </c>
      <c r="AM250" s="422"/>
      <c r="AN250" s="422"/>
      <c r="AO250" s="422"/>
      <c r="AP250" s="422"/>
      <c r="AQ250" s="79"/>
      <c r="AR250" s="79"/>
      <c r="AS250" s="79"/>
      <c r="AT250" s="79"/>
      <c r="AU250" s="62"/>
      <c r="AV250" s="792"/>
    </row>
    <row r="251" ht="27.75" hidden="1" customHeight="1">
      <c r="A251" s="1567">
        <f t="shared" si="6"/>
        <v>39</v>
      </c>
      <c r="B251" s="72" t="s">
        <v>824</v>
      </c>
      <c r="C251" s="67"/>
      <c r="D251" s="67" t="s">
        <v>498</v>
      </c>
      <c r="E251" s="1573"/>
      <c r="F251" s="67"/>
      <c r="G251" s="79" t="s">
        <v>55</v>
      </c>
      <c r="H251" s="1554" t="b">
        <v>1</v>
      </c>
      <c r="I251" s="85">
        <v>46210.0</v>
      </c>
      <c r="J251" s="1554" t="b">
        <v>0</v>
      </c>
      <c r="K251" s="89"/>
      <c r="L251" s="62" t="s">
        <v>957</v>
      </c>
      <c r="M251" s="1472" t="s">
        <v>958</v>
      </c>
      <c r="N251" s="511" t="s">
        <v>1238</v>
      </c>
      <c r="O251" s="1574"/>
      <c r="P251" s="1087"/>
      <c r="Q251" s="100">
        <v>45364.0</v>
      </c>
      <c r="R251" s="102">
        <v>45938.0</v>
      </c>
      <c r="S251" s="1208">
        <v>46035.0</v>
      </c>
      <c r="T251" s="1464" t="s">
        <v>1039</v>
      </c>
      <c r="U251" s="1016">
        <f t="shared" si="8"/>
        <v>4</v>
      </c>
      <c r="V251" s="1017">
        <v>4.0</v>
      </c>
      <c r="W251" s="343">
        <v>45391.0</v>
      </c>
      <c r="X251" s="79" t="b">
        <v>1</v>
      </c>
      <c r="Y251" s="343">
        <v>45575.0</v>
      </c>
      <c r="Z251" s="79" t="b">
        <v>1</v>
      </c>
      <c r="AA251" s="343">
        <v>45817.0</v>
      </c>
      <c r="AB251" s="79" t="b">
        <v>1</v>
      </c>
      <c r="AC251" s="182">
        <v>46035.0</v>
      </c>
      <c r="AD251" s="471" t="b">
        <v>1</v>
      </c>
      <c r="AE251" s="182"/>
      <c r="AF251" s="79"/>
      <c r="AG251" s="182"/>
      <c r="AH251" s="79"/>
      <c r="AI251" s="182"/>
      <c r="AJ251" s="79"/>
      <c r="AK251" s="182"/>
      <c r="AL251" s="79"/>
      <c r="AM251" s="422"/>
      <c r="AN251" s="422"/>
      <c r="AO251" s="422"/>
      <c r="AP251" s="422"/>
      <c r="AQ251" s="79"/>
      <c r="AR251" s="79"/>
      <c r="AS251" s="79"/>
      <c r="AT251" s="79"/>
      <c r="AU251" s="62" t="s">
        <v>826</v>
      </c>
      <c r="AV251" s="792"/>
    </row>
    <row r="252" ht="27.75" hidden="1" customHeight="1">
      <c r="A252" s="79">
        <f t="shared" si="6"/>
        <v>39</v>
      </c>
      <c r="B252" s="62" t="s">
        <v>625</v>
      </c>
      <c r="C252" s="469"/>
      <c r="D252" s="469" t="s">
        <v>834</v>
      </c>
      <c r="E252" s="470"/>
      <c r="F252" s="470"/>
      <c r="G252" s="471" t="s">
        <v>84</v>
      </c>
      <c r="H252" s="1554" t="b">
        <v>1</v>
      </c>
      <c r="I252" s="472">
        <v>46286.0</v>
      </c>
      <c r="J252" s="1554" t="b">
        <v>1</v>
      </c>
      <c r="K252" s="474">
        <v>46286.0</v>
      </c>
      <c r="L252" s="464" t="s">
        <v>62</v>
      </c>
      <c r="M252" s="1506" t="s">
        <v>627</v>
      </c>
      <c r="N252" s="511"/>
      <c r="O252" s="1358"/>
      <c r="P252" s="1087"/>
      <c r="Q252" s="100">
        <v>45389.0</v>
      </c>
      <c r="R252" s="1575">
        <v>46118.0</v>
      </c>
      <c r="S252" s="631">
        <v>46097.0</v>
      </c>
      <c r="T252" s="1521" t="s">
        <v>1044</v>
      </c>
      <c r="U252" s="1016">
        <f t="shared" si="8"/>
        <v>8</v>
      </c>
      <c r="V252" s="1576">
        <v>8.0</v>
      </c>
      <c r="W252" s="182">
        <v>44576.0</v>
      </c>
      <c r="X252" s="471" t="b">
        <v>1</v>
      </c>
      <c r="Y252" s="182">
        <v>44744.0</v>
      </c>
      <c r="Z252" s="471" t="b">
        <v>1</v>
      </c>
      <c r="AA252" s="182">
        <v>45051.0</v>
      </c>
      <c r="AB252" s="471" t="b">
        <v>1</v>
      </c>
      <c r="AC252" s="182">
        <v>45110.0</v>
      </c>
      <c r="AD252" s="471" t="b">
        <v>1</v>
      </c>
      <c r="AE252" s="182">
        <v>45407.0</v>
      </c>
      <c r="AF252" s="79" t="b">
        <v>1</v>
      </c>
      <c r="AG252" s="182">
        <v>45744.0</v>
      </c>
      <c r="AH252" s="471" t="b">
        <v>1</v>
      </c>
      <c r="AI252" s="182">
        <v>45915.0</v>
      </c>
      <c r="AJ252" s="79" t="b">
        <v>1</v>
      </c>
      <c r="AK252" s="182">
        <v>46097.0</v>
      </c>
      <c r="AL252" s="471" t="b">
        <v>1</v>
      </c>
      <c r="AM252" s="182">
        <v>46311.0</v>
      </c>
      <c r="AN252" s="471" t="b">
        <v>0</v>
      </c>
      <c r="AO252" s="182">
        <v>46493.0</v>
      </c>
      <c r="AP252" s="471" t="b">
        <v>0</v>
      </c>
      <c r="AQ252" s="182">
        <v>46676.0</v>
      </c>
      <c r="AR252" s="471" t="b">
        <v>0</v>
      </c>
      <c r="AS252" s="182">
        <v>46859.0</v>
      </c>
      <c r="AT252" s="471" t="b">
        <v>0</v>
      </c>
      <c r="AU252" s="471" t="s">
        <v>1239</v>
      </c>
      <c r="AV252" s="792"/>
    </row>
    <row r="253" ht="27.75" hidden="1" customHeight="1">
      <c r="A253" s="79">
        <f t="shared" si="6"/>
        <v>39</v>
      </c>
      <c r="B253" s="1577" t="s">
        <v>832</v>
      </c>
      <c r="C253" s="354"/>
      <c r="D253" s="354" t="s">
        <v>217</v>
      </c>
      <c r="E253" s="354" t="s">
        <v>1240</v>
      </c>
      <c r="F253" s="391"/>
      <c r="G253" s="79" t="s">
        <v>51</v>
      </c>
      <c r="H253" s="1554" t="b">
        <v>0</v>
      </c>
      <c r="I253" s="393"/>
      <c r="J253" s="1554" t="b">
        <v>0</v>
      </c>
      <c r="K253" s="395"/>
      <c r="L253" s="391"/>
      <c r="M253" s="1500"/>
      <c r="N253" s="511"/>
      <c r="O253" s="1245"/>
      <c r="P253" s="1502"/>
      <c r="Q253" s="633"/>
      <c r="R253" s="1093"/>
      <c r="S253" s="393"/>
      <c r="T253" s="393"/>
      <c r="U253" s="1016">
        <f t="shared" si="8"/>
        <v>0</v>
      </c>
      <c r="V253" s="1017">
        <v>4.0</v>
      </c>
      <c r="W253" s="343"/>
      <c r="X253" s="79" t="b">
        <v>0</v>
      </c>
      <c r="Y253" s="343"/>
      <c r="Z253" s="79" t="b">
        <v>0</v>
      </c>
      <c r="AA253" s="343"/>
      <c r="AB253" s="422" t="b">
        <v>0</v>
      </c>
      <c r="AC253" s="182"/>
      <c r="AD253" s="471" t="b">
        <v>0</v>
      </c>
      <c r="AE253" s="1068"/>
      <c r="AF253" s="1349"/>
      <c r="AG253" s="1068"/>
      <c r="AH253" s="1349"/>
      <c r="AI253" s="1068"/>
      <c r="AJ253" s="1349"/>
      <c r="AK253" s="1068"/>
      <c r="AL253" s="1349"/>
      <c r="AM253" s="1349"/>
      <c r="AN253" s="1349"/>
      <c r="AO253" s="1349"/>
      <c r="AP253" s="1349"/>
      <c r="AQ253" s="741"/>
      <c r="AR253" s="741"/>
      <c r="AS253" s="741"/>
      <c r="AT253" s="741"/>
      <c r="AU253" s="391"/>
      <c r="AV253" s="792"/>
    </row>
    <row r="254" ht="27.75" hidden="1" customHeight="1">
      <c r="A254" s="79">
        <f t="shared" si="6"/>
        <v>39</v>
      </c>
      <c r="B254" s="177" t="s">
        <v>884</v>
      </c>
      <c r="C254" s="385">
        <v>11.52</v>
      </c>
      <c r="D254" s="385" t="s">
        <v>1241</v>
      </c>
      <c r="E254" s="385" t="s">
        <v>1242</v>
      </c>
      <c r="F254" s="391"/>
      <c r="G254" s="79" t="s">
        <v>243</v>
      </c>
      <c r="H254" s="1554" t="b">
        <v>0</v>
      </c>
      <c r="I254" s="393"/>
      <c r="J254" s="1554" t="b">
        <v>0</v>
      </c>
      <c r="K254" s="395"/>
      <c r="L254" s="391"/>
      <c r="M254" s="391"/>
      <c r="N254" s="1469"/>
      <c r="O254" s="391"/>
      <c r="P254" s="1347">
        <v>45699.0</v>
      </c>
      <c r="Q254" s="633"/>
      <c r="R254" s="406">
        <v>46428.0</v>
      </c>
      <c r="S254" s="631">
        <v>45948.0</v>
      </c>
      <c r="T254" s="393"/>
      <c r="U254" s="1016">
        <f t="shared" si="8"/>
        <v>3</v>
      </c>
      <c r="V254" s="1017">
        <v>4.0</v>
      </c>
      <c r="W254" s="343">
        <v>45794.0</v>
      </c>
      <c r="X254" s="79" t="b">
        <v>1</v>
      </c>
      <c r="Y254" s="182">
        <v>45948.0</v>
      </c>
      <c r="Z254" s="471" t="b">
        <v>1</v>
      </c>
      <c r="AA254" s="1070">
        <v>46185.0</v>
      </c>
      <c r="AB254" s="79" t="b">
        <v>1</v>
      </c>
      <c r="AC254" s="438">
        <v>46339.0</v>
      </c>
      <c r="AD254" s="1354" t="b">
        <v>0</v>
      </c>
      <c r="AE254" s="1068"/>
      <c r="AF254" s="1349"/>
      <c r="AG254" s="1068"/>
      <c r="AH254" s="1349"/>
      <c r="AI254" s="1068"/>
      <c r="AJ254" s="1349"/>
      <c r="AK254" s="1068"/>
      <c r="AL254" s="1349"/>
      <c r="AM254" s="1349"/>
      <c r="AN254" s="1349"/>
      <c r="AO254" s="1349"/>
      <c r="AP254" s="1349"/>
      <c r="AQ254" s="741"/>
      <c r="AR254" s="741"/>
      <c r="AS254" s="741"/>
      <c r="AT254" s="741"/>
      <c r="AU254" s="391"/>
      <c r="AV254" s="792"/>
    </row>
    <row r="255" ht="27.75" hidden="1" customHeight="1">
      <c r="A255" s="1464">
        <f t="shared" si="6"/>
        <v>39</v>
      </c>
      <c r="B255" s="113" t="s">
        <v>837</v>
      </c>
      <c r="C255" s="67">
        <v>11.7</v>
      </c>
      <c r="D255" s="67" t="s">
        <v>1048</v>
      </c>
      <c r="E255" s="1234"/>
      <c r="F255" s="1234"/>
      <c r="G255" s="79" t="s">
        <v>243</v>
      </c>
      <c r="H255" s="1554" t="b">
        <v>0</v>
      </c>
      <c r="I255" s="85"/>
      <c r="J255" s="1554" t="b">
        <v>0</v>
      </c>
      <c r="K255" s="89"/>
      <c r="L255" s="62" t="s">
        <v>1243</v>
      </c>
      <c r="M255" s="1472"/>
      <c r="N255" s="1578" t="s">
        <v>88</v>
      </c>
      <c r="O255" s="1358" t="s">
        <v>1244</v>
      </c>
      <c r="P255" s="1087"/>
      <c r="Q255" s="100"/>
      <c r="R255" s="102">
        <v>45576.0</v>
      </c>
      <c r="S255" s="631">
        <v>45948.0</v>
      </c>
      <c r="T255" s="1464" t="s">
        <v>797</v>
      </c>
      <c r="U255" s="1016">
        <f t="shared" si="8"/>
        <v>9</v>
      </c>
      <c r="V255" s="1017">
        <v>6.0</v>
      </c>
      <c r="W255" s="343">
        <v>44562.0</v>
      </c>
      <c r="X255" s="471" t="b">
        <v>1</v>
      </c>
      <c r="Y255" s="343">
        <v>44562.0</v>
      </c>
      <c r="Z255" s="79" t="b">
        <v>1</v>
      </c>
      <c r="AA255" s="343">
        <v>45026.0</v>
      </c>
      <c r="AB255" s="79" t="b">
        <v>1</v>
      </c>
      <c r="AC255" s="182">
        <v>45254.0</v>
      </c>
      <c r="AD255" s="79" t="b">
        <v>1</v>
      </c>
      <c r="AE255" s="182">
        <v>45394.0</v>
      </c>
      <c r="AF255" s="79" t="b">
        <v>1</v>
      </c>
      <c r="AG255" s="182">
        <v>45619.0</v>
      </c>
      <c r="AH255" s="79" t="b">
        <v>1</v>
      </c>
      <c r="AI255" s="182">
        <v>45752.0</v>
      </c>
      <c r="AJ255" s="471" t="b">
        <v>1</v>
      </c>
      <c r="AK255" s="182">
        <v>45948.0</v>
      </c>
      <c r="AL255" s="471" t="b">
        <v>1</v>
      </c>
      <c r="AM255" s="952">
        <v>46120.0</v>
      </c>
      <c r="AN255" s="471" t="b">
        <v>1</v>
      </c>
      <c r="AO255" s="952">
        <v>46304.0</v>
      </c>
      <c r="AP255" s="471" t="b">
        <v>0</v>
      </c>
      <c r="AQ255" s="79"/>
      <c r="AR255" s="79"/>
      <c r="AS255" s="79"/>
      <c r="AT255" s="79"/>
      <c r="AU255" s="62"/>
      <c r="AV255" s="792"/>
    </row>
    <row r="256" ht="27.75" hidden="1" customHeight="1">
      <c r="A256" s="79">
        <f t="shared" si="6"/>
        <v>39</v>
      </c>
      <c r="B256" s="202" t="s">
        <v>841</v>
      </c>
      <c r="C256" s="354">
        <v>29.76</v>
      </c>
      <c r="D256" s="354" t="s">
        <v>683</v>
      </c>
      <c r="E256" s="354" t="s">
        <v>1245</v>
      </c>
      <c r="F256" s="356"/>
      <c r="G256" s="79" t="s">
        <v>243</v>
      </c>
      <c r="H256" s="1554" t="b">
        <v>0</v>
      </c>
      <c r="I256" s="1579"/>
      <c r="J256" s="1554" t="b">
        <v>0</v>
      </c>
      <c r="K256" s="1580"/>
      <c r="L256" s="1509" t="s">
        <v>1246</v>
      </c>
      <c r="M256" s="1581" t="s">
        <v>1247</v>
      </c>
      <c r="N256" s="1582"/>
      <c r="O256" s="356"/>
      <c r="P256" s="1347">
        <v>45601.0</v>
      </c>
      <c r="Q256" s="586"/>
      <c r="R256" s="406">
        <v>46330.0</v>
      </c>
      <c r="S256" s="1208">
        <v>46134.0</v>
      </c>
      <c r="T256" s="1464" t="s">
        <v>687</v>
      </c>
      <c r="U256" s="1016">
        <f t="shared" si="8"/>
        <v>3</v>
      </c>
      <c r="V256" s="1017">
        <v>4.0</v>
      </c>
      <c r="W256" s="1583">
        <v>45755.0</v>
      </c>
      <c r="X256" s="79" t="b">
        <v>1</v>
      </c>
      <c r="Y256" s="343">
        <v>45945.0</v>
      </c>
      <c r="Z256" s="79" t="b">
        <v>1</v>
      </c>
      <c r="AA256" s="343">
        <v>46134.0</v>
      </c>
      <c r="AB256" s="79" t="b">
        <v>1</v>
      </c>
      <c r="AC256" s="182">
        <v>46297.0</v>
      </c>
      <c r="AD256" s="471" t="b">
        <v>0</v>
      </c>
      <c r="AE256" s="1068"/>
      <c r="AF256" s="1349"/>
      <c r="AG256" s="1068"/>
      <c r="AH256" s="1349"/>
      <c r="AI256" s="1068"/>
      <c r="AJ256" s="1349"/>
      <c r="AK256" s="1068"/>
      <c r="AL256" s="1349"/>
      <c r="AM256" s="1349"/>
      <c r="AN256" s="1349"/>
      <c r="AO256" s="1349"/>
      <c r="AP256" s="1349"/>
      <c r="AQ256" s="732"/>
      <c r="AR256" s="732"/>
      <c r="AS256" s="732"/>
      <c r="AT256" s="732"/>
      <c r="AU256" s="356"/>
      <c r="AV256" s="792"/>
    </row>
    <row r="257" ht="27.75" hidden="1" customHeight="1">
      <c r="A257" s="79">
        <f t="shared" si="6"/>
        <v>39</v>
      </c>
      <c r="B257" s="62" t="s">
        <v>1248</v>
      </c>
      <c r="C257" s="67">
        <v>12.24</v>
      </c>
      <c r="D257" s="67" t="s">
        <v>498</v>
      </c>
      <c r="E257" s="67" t="s">
        <v>1249</v>
      </c>
      <c r="F257" s="147"/>
      <c r="G257" s="79" t="s">
        <v>84</v>
      </c>
      <c r="H257" s="1554" t="b">
        <v>0</v>
      </c>
      <c r="I257" s="148"/>
      <c r="J257" s="1554" t="b">
        <v>0</v>
      </c>
      <c r="K257" s="149"/>
      <c r="L257" s="186" t="s">
        <v>1250</v>
      </c>
      <c r="M257" s="186" t="s">
        <v>1251</v>
      </c>
      <c r="N257" s="147"/>
      <c r="O257" s="186"/>
      <c r="P257" s="1334">
        <v>46167.0</v>
      </c>
      <c r="Q257" s="155"/>
      <c r="R257" s="156">
        <v>46897.0</v>
      </c>
      <c r="S257" s="1244"/>
      <c r="T257" s="147"/>
      <c r="U257" s="1016">
        <f t="shared" si="8"/>
        <v>0</v>
      </c>
      <c r="V257" s="1519">
        <v>4.0</v>
      </c>
      <c r="W257" s="1070">
        <v>46353.0</v>
      </c>
      <c r="X257" s="1353" t="b">
        <v>0</v>
      </c>
      <c r="Y257" s="438">
        <v>46443.0</v>
      </c>
      <c r="Z257" s="1354" t="b">
        <v>0</v>
      </c>
      <c r="AA257" s="438">
        <v>46625.0</v>
      </c>
      <c r="AB257" s="79" t="b">
        <v>0</v>
      </c>
      <c r="AC257" s="438">
        <v>46807.0</v>
      </c>
      <c r="AD257" s="79" t="b">
        <v>0</v>
      </c>
      <c r="AE257" s="256"/>
      <c r="AF257" s="256"/>
      <c r="AG257" s="256"/>
      <c r="AH257" s="256"/>
      <c r="AI257" s="256"/>
      <c r="AJ257" s="256"/>
      <c r="AK257" s="256"/>
      <c r="AL257" s="256"/>
      <c r="AM257" s="256"/>
      <c r="AN257" s="256"/>
      <c r="AO257" s="256"/>
      <c r="AP257" s="256"/>
      <c r="AQ257" s="147"/>
      <c r="AR257" s="147"/>
      <c r="AS257" s="147"/>
      <c r="AT257" s="147"/>
      <c r="AU257" s="147"/>
      <c r="AV257" s="792"/>
    </row>
    <row r="258" ht="27.75" hidden="1" customHeight="1">
      <c r="A258" s="79">
        <f t="shared" si="6"/>
        <v>39</v>
      </c>
      <c r="B258" s="177" t="s">
        <v>1252</v>
      </c>
      <c r="C258" s="385">
        <v>8.64</v>
      </c>
      <c r="D258" s="385" t="s">
        <v>101</v>
      </c>
      <c r="E258" s="385" t="s">
        <v>1253</v>
      </c>
      <c r="F258" s="391"/>
      <c r="G258" s="79" t="s">
        <v>84</v>
      </c>
      <c r="H258" s="1554" t="b">
        <v>0</v>
      </c>
      <c r="I258" s="393"/>
      <c r="J258" s="1554" t="b">
        <v>0</v>
      </c>
      <c r="K258" s="395"/>
      <c r="L258" s="396" t="s">
        <v>1254</v>
      </c>
      <c r="M258" s="396" t="s">
        <v>1251</v>
      </c>
      <c r="N258" s="1469"/>
      <c r="O258" s="391"/>
      <c r="P258" s="1347">
        <v>45852.0</v>
      </c>
      <c r="Q258" s="633"/>
      <c r="R258" s="406">
        <v>46581.0</v>
      </c>
      <c r="S258" s="1219">
        <v>46055.0</v>
      </c>
      <c r="T258" s="1521"/>
      <c r="U258" s="1016">
        <f t="shared" si="8"/>
        <v>3</v>
      </c>
      <c r="V258" s="1017">
        <v>4.0</v>
      </c>
      <c r="W258" s="343">
        <v>45873.0</v>
      </c>
      <c r="X258" s="79" t="b">
        <v>1</v>
      </c>
      <c r="Y258" s="1070">
        <v>46055.0</v>
      </c>
      <c r="Z258" s="79" t="b">
        <v>1</v>
      </c>
      <c r="AA258" s="1160">
        <v>46261.0</v>
      </c>
      <c r="AB258" s="79" t="b">
        <v>1</v>
      </c>
      <c r="AC258" s="438">
        <v>46443.0</v>
      </c>
      <c r="AD258" s="1354" t="b">
        <v>0</v>
      </c>
      <c r="AE258" s="1068"/>
      <c r="AF258" s="1349"/>
      <c r="AG258" s="1068"/>
      <c r="AH258" s="1349"/>
      <c r="AI258" s="1068"/>
      <c r="AJ258" s="1349"/>
      <c r="AK258" s="1068"/>
      <c r="AL258" s="1349"/>
      <c r="AM258" s="1349"/>
      <c r="AN258" s="1349"/>
      <c r="AO258" s="1349"/>
      <c r="AP258" s="1349"/>
      <c r="AQ258" s="741"/>
      <c r="AR258" s="741"/>
      <c r="AS258" s="741"/>
      <c r="AT258" s="741"/>
      <c r="AU258" s="391"/>
      <c r="AV258" s="792"/>
    </row>
    <row r="259" ht="27.75" hidden="1" customHeight="1">
      <c r="A259" s="79">
        <f t="shared" si="6"/>
        <v>39</v>
      </c>
      <c r="B259" s="177" t="s">
        <v>1255</v>
      </c>
      <c r="C259" s="385">
        <v>8.64</v>
      </c>
      <c r="D259" s="385" t="s">
        <v>101</v>
      </c>
      <c r="E259" s="385" t="s">
        <v>1253</v>
      </c>
      <c r="F259" s="147"/>
      <c r="G259" s="79" t="s">
        <v>84</v>
      </c>
      <c r="H259" s="1554" t="b">
        <v>0</v>
      </c>
      <c r="I259" s="148"/>
      <c r="J259" s="1554" t="b">
        <v>0</v>
      </c>
      <c r="K259" s="149"/>
      <c r="L259" s="396" t="s">
        <v>1254</v>
      </c>
      <c r="M259" s="186" t="s">
        <v>1251</v>
      </c>
      <c r="N259" s="147"/>
      <c r="O259" s="147"/>
      <c r="P259" s="1334">
        <v>46034.0</v>
      </c>
      <c r="Q259" s="155"/>
      <c r="R259" s="156">
        <v>46763.0</v>
      </c>
      <c r="S259" s="1244"/>
      <c r="T259" s="147"/>
      <c r="U259" s="1016">
        <f t="shared" si="8"/>
        <v>1</v>
      </c>
      <c r="V259" s="1519">
        <v>4.0</v>
      </c>
      <c r="W259" s="1160">
        <v>46261.0</v>
      </c>
      <c r="X259" s="79" t="b">
        <v>1</v>
      </c>
      <c r="Y259" s="438">
        <v>46443.0</v>
      </c>
      <c r="Z259" s="1354" t="b">
        <v>0</v>
      </c>
      <c r="AA259" s="438">
        <v>46625.0</v>
      </c>
      <c r="AB259" s="79" t="b">
        <v>0</v>
      </c>
      <c r="AC259" s="438">
        <v>46807.0</v>
      </c>
      <c r="AD259" s="79" t="b">
        <v>0</v>
      </c>
      <c r="AE259" s="256"/>
      <c r="AF259" s="256"/>
      <c r="AG259" s="256"/>
      <c r="AH259" s="256"/>
      <c r="AI259" s="256"/>
      <c r="AJ259" s="256"/>
      <c r="AK259" s="256"/>
      <c r="AL259" s="256"/>
      <c r="AM259" s="256"/>
      <c r="AN259" s="256"/>
      <c r="AO259" s="256"/>
      <c r="AP259" s="256"/>
      <c r="AQ259" s="147"/>
      <c r="AR259" s="147"/>
      <c r="AS259" s="147"/>
      <c r="AT259" s="147"/>
      <c r="AU259" s="147"/>
      <c r="AV259" s="792"/>
    </row>
    <row r="260" ht="27.75" hidden="1" customHeight="1">
      <c r="A260" s="79">
        <f t="shared" si="6"/>
        <v>39</v>
      </c>
      <c r="B260" s="177" t="s">
        <v>1256</v>
      </c>
      <c r="C260" s="385">
        <v>8.64</v>
      </c>
      <c r="D260" s="385" t="s">
        <v>101</v>
      </c>
      <c r="E260" s="385" t="s">
        <v>1253</v>
      </c>
      <c r="F260" s="147"/>
      <c r="G260" s="79" t="s">
        <v>84</v>
      </c>
      <c r="H260" s="1554" t="b">
        <v>0</v>
      </c>
      <c r="I260" s="148"/>
      <c r="J260" s="1554" t="b">
        <v>0</v>
      </c>
      <c r="K260" s="149"/>
      <c r="L260" s="396" t="s">
        <v>1254</v>
      </c>
      <c r="M260" s="186" t="s">
        <v>1251</v>
      </c>
      <c r="N260" s="147"/>
      <c r="O260" s="147"/>
      <c r="P260" s="1334">
        <v>46156.0</v>
      </c>
      <c r="Q260" s="155"/>
      <c r="R260" s="156">
        <v>46886.0</v>
      </c>
      <c r="S260" s="1244"/>
      <c r="T260" s="147"/>
      <c r="U260" s="1016">
        <f t="shared" si="8"/>
        <v>0</v>
      </c>
      <c r="V260" s="1519">
        <v>4.0</v>
      </c>
      <c r="W260" s="1070">
        <v>46353.0</v>
      </c>
      <c r="X260" s="1353" t="b">
        <v>0</v>
      </c>
      <c r="Y260" s="438">
        <v>46443.0</v>
      </c>
      <c r="Z260" s="1354" t="b">
        <v>0</v>
      </c>
      <c r="AA260" s="438">
        <v>46625.0</v>
      </c>
      <c r="AB260" s="79" t="b">
        <v>0</v>
      </c>
      <c r="AC260" s="438">
        <v>46807.0</v>
      </c>
      <c r="AD260" s="79" t="b">
        <v>0</v>
      </c>
      <c r="AE260" s="256"/>
      <c r="AF260" s="256"/>
      <c r="AG260" s="256"/>
      <c r="AH260" s="256"/>
      <c r="AI260" s="256"/>
      <c r="AJ260" s="256"/>
      <c r="AK260" s="256"/>
      <c r="AL260" s="256"/>
      <c r="AM260" s="256"/>
      <c r="AN260" s="256"/>
      <c r="AO260" s="256"/>
      <c r="AP260" s="256"/>
      <c r="AQ260" s="147"/>
      <c r="AR260" s="147"/>
      <c r="AS260" s="147"/>
      <c r="AT260" s="147"/>
      <c r="AU260" s="147"/>
      <c r="AV260" s="792"/>
    </row>
    <row r="261" ht="27.75" hidden="1" customHeight="1">
      <c r="A261" s="79">
        <f t="shared" si="6"/>
        <v>39</v>
      </c>
      <c r="B261" s="177" t="s">
        <v>1257</v>
      </c>
      <c r="C261" s="385">
        <v>8.64</v>
      </c>
      <c r="D261" s="385" t="s">
        <v>101</v>
      </c>
      <c r="E261" s="385" t="s">
        <v>1253</v>
      </c>
      <c r="F261" s="147"/>
      <c r="G261" s="79" t="s">
        <v>84</v>
      </c>
      <c r="H261" s="1554" t="b">
        <v>0</v>
      </c>
      <c r="I261" s="148"/>
      <c r="J261" s="1554" t="b">
        <v>0</v>
      </c>
      <c r="K261" s="149"/>
      <c r="L261" s="396" t="s">
        <v>1254</v>
      </c>
      <c r="M261" s="186" t="s">
        <v>1251</v>
      </c>
      <c r="N261" s="147"/>
      <c r="O261" s="147"/>
      <c r="P261" s="1334">
        <v>46156.0</v>
      </c>
      <c r="Q261" s="155"/>
      <c r="R261" s="156">
        <v>46886.0</v>
      </c>
      <c r="S261" s="1244"/>
      <c r="T261" s="147"/>
      <c r="U261" s="1016">
        <f t="shared" si="8"/>
        <v>0</v>
      </c>
      <c r="V261" s="1519">
        <v>4.0</v>
      </c>
      <c r="W261" s="1070">
        <v>46353.0</v>
      </c>
      <c r="X261" s="1353" t="b">
        <v>0</v>
      </c>
      <c r="Y261" s="438">
        <v>46443.0</v>
      </c>
      <c r="Z261" s="1354" t="b">
        <v>0</v>
      </c>
      <c r="AA261" s="438">
        <v>46625.0</v>
      </c>
      <c r="AB261" s="79" t="b">
        <v>0</v>
      </c>
      <c r="AC261" s="438">
        <v>46807.0</v>
      </c>
      <c r="AD261" s="79" t="b">
        <v>0</v>
      </c>
      <c r="AE261" s="256"/>
      <c r="AF261" s="256"/>
      <c r="AG261" s="256"/>
      <c r="AH261" s="256"/>
      <c r="AI261" s="256"/>
      <c r="AJ261" s="256"/>
      <c r="AK261" s="256"/>
      <c r="AL261" s="256"/>
      <c r="AM261" s="256"/>
      <c r="AN261" s="256"/>
      <c r="AO261" s="256"/>
      <c r="AP261" s="256"/>
      <c r="AQ261" s="147"/>
      <c r="AR261" s="147"/>
      <c r="AS261" s="147"/>
      <c r="AT261" s="147"/>
      <c r="AU261" s="147"/>
      <c r="AV261" s="792"/>
    </row>
    <row r="262" ht="27.75" customHeight="1">
      <c r="A262" s="79">
        <f t="shared" si="6"/>
        <v>40</v>
      </c>
      <c r="B262" s="177" t="s">
        <v>847</v>
      </c>
      <c r="C262" s="67">
        <v>20.16</v>
      </c>
      <c r="D262" s="67" t="s">
        <v>420</v>
      </c>
      <c r="E262" s="469" t="s">
        <v>1258</v>
      </c>
      <c r="F262" s="391"/>
      <c r="G262" s="79" t="s">
        <v>105</v>
      </c>
      <c r="H262" s="1554" t="b">
        <v>0</v>
      </c>
      <c r="I262" s="561"/>
      <c r="J262" s="1554" t="b">
        <v>0</v>
      </c>
      <c r="K262" s="562"/>
      <c r="L262" s="356"/>
      <c r="M262" s="1500"/>
      <c r="N262" s="511"/>
      <c r="O262" s="1245"/>
      <c r="P262" s="1347">
        <v>45488.0</v>
      </c>
      <c r="Q262" s="633"/>
      <c r="R262" s="406">
        <v>46220.0</v>
      </c>
      <c r="S262" s="631">
        <v>46220.0</v>
      </c>
      <c r="T262" s="1566" t="s">
        <v>1228</v>
      </c>
      <c r="U262" s="1016">
        <f t="shared" si="8"/>
        <v>4</v>
      </c>
      <c r="V262" s="1017">
        <v>4.0</v>
      </c>
      <c r="W262" s="343">
        <v>45692.0</v>
      </c>
      <c r="X262" s="79" t="b">
        <v>1</v>
      </c>
      <c r="Y262" s="182">
        <v>45856.0</v>
      </c>
      <c r="Z262" s="79" t="b">
        <v>1</v>
      </c>
      <c r="AA262" s="343">
        <v>46039.0</v>
      </c>
      <c r="AB262" s="79" t="b">
        <v>1</v>
      </c>
      <c r="AC262" s="182">
        <v>46220.0</v>
      </c>
      <c r="AD262" s="471" t="b">
        <v>1</v>
      </c>
      <c r="AE262" s="1068"/>
      <c r="AF262" s="1349"/>
      <c r="AG262" s="1068"/>
      <c r="AH262" s="1349"/>
      <c r="AI262" s="1068"/>
      <c r="AJ262" s="1349"/>
      <c r="AK262" s="1068"/>
      <c r="AL262" s="1349"/>
      <c r="AM262" s="1349"/>
      <c r="AN262" s="1349"/>
      <c r="AO262" s="1349"/>
      <c r="AP262" s="1349"/>
      <c r="AQ262" s="741"/>
      <c r="AR262" s="741"/>
      <c r="AS262" s="741"/>
      <c r="AT262" s="741"/>
      <c r="AU262" s="391"/>
      <c r="AV262" s="792"/>
    </row>
    <row r="263" ht="27.75" hidden="1" customHeight="1">
      <c r="A263" s="79">
        <f t="shared" si="6"/>
        <v>40</v>
      </c>
      <c r="B263" s="62" t="s">
        <v>1259</v>
      </c>
      <c r="C263" s="67">
        <v>20.64</v>
      </c>
      <c r="D263" s="67"/>
      <c r="E263" s="67" t="s">
        <v>1260</v>
      </c>
      <c r="F263" s="147"/>
      <c r="G263" s="79" t="s">
        <v>84</v>
      </c>
      <c r="H263" s="1554" t="b">
        <v>0</v>
      </c>
      <c r="I263" s="148"/>
      <c r="J263" s="1554" t="b">
        <v>0</v>
      </c>
      <c r="K263" s="149"/>
      <c r="L263" s="147"/>
      <c r="M263" s="147"/>
      <c r="N263" s="147"/>
      <c r="O263" s="147"/>
      <c r="P263" s="1334">
        <v>45947.0</v>
      </c>
      <c r="Q263" s="155"/>
      <c r="R263" s="156">
        <v>46676.0</v>
      </c>
      <c r="S263" s="1467">
        <v>46039.0</v>
      </c>
      <c r="T263" s="147"/>
      <c r="U263" s="1016">
        <f t="shared" si="8"/>
        <v>2</v>
      </c>
      <c r="V263" s="1519">
        <v>4.0</v>
      </c>
      <c r="W263" s="960">
        <v>46039.0</v>
      </c>
      <c r="X263" s="79" t="b">
        <v>1</v>
      </c>
      <c r="Y263" s="182">
        <v>46220.0</v>
      </c>
      <c r="Z263" s="79" t="b">
        <v>1</v>
      </c>
      <c r="AA263" s="960">
        <v>46402.0</v>
      </c>
      <c r="AB263" s="79" t="b">
        <v>0</v>
      </c>
      <c r="AC263" s="960">
        <v>46950.0</v>
      </c>
      <c r="AD263" s="79" t="b">
        <v>0</v>
      </c>
      <c r="AE263" s="256"/>
      <c r="AF263" s="256"/>
      <c r="AG263" s="256"/>
      <c r="AH263" s="256"/>
      <c r="AI263" s="256"/>
      <c r="AJ263" s="256"/>
      <c r="AK263" s="256"/>
      <c r="AL263" s="256"/>
      <c r="AM263" s="256"/>
      <c r="AN263" s="256"/>
      <c r="AO263" s="256"/>
      <c r="AP263" s="256"/>
      <c r="AQ263" s="147"/>
      <c r="AR263" s="147"/>
      <c r="AS263" s="147"/>
      <c r="AT263" s="147"/>
      <c r="AU263" s="147"/>
      <c r="AV263" s="792"/>
    </row>
    <row r="264" ht="27.75" hidden="1" customHeight="1">
      <c r="A264" s="79">
        <f t="shared" si="6"/>
        <v>40</v>
      </c>
      <c r="B264" s="62" t="s">
        <v>1261</v>
      </c>
      <c r="C264" s="67">
        <v>20.16</v>
      </c>
      <c r="D264" s="67" t="s">
        <v>1262</v>
      </c>
      <c r="E264" s="67" t="s">
        <v>1263</v>
      </c>
      <c r="F264" s="147"/>
      <c r="G264" s="79" t="s">
        <v>84</v>
      </c>
      <c r="H264" s="1554" t="b">
        <v>0</v>
      </c>
      <c r="I264" s="148"/>
      <c r="J264" s="1554" t="b">
        <v>0</v>
      </c>
      <c r="K264" s="149"/>
      <c r="L264" s="147"/>
      <c r="M264" s="147"/>
      <c r="N264" s="147"/>
      <c r="O264" s="186" t="s">
        <v>219</v>
      </c>
      <c r="P264" s="1334">
        <v>46140.0</v>
      </c>
      <c r="Q264" s="155"/>
      <c r="R264" s="156">
        <v>46870.0</v>
      </c>
      <c r="S264" s="1244"/>
      <c r="T264" s="147"/>
      <c r="U264" s="1016">
        <f t="shared" si="8"/>
        <v>1</v>
      </c>
      <c r="V264" s="1519">
        <v>4.0</v>
      </c>
      <c r="W264" s="960">
        <v>46220.0</v>
      </c>
      <c r="X264" s="79" t="b">
        <v>1</v>
      </c>
      <c r="Y264" s="960">
        <v>46402.0</v>
      </c>
      <c r="Z264" s="79" t="b">
        <v>0</v>
      </c>
      <c r="AA264" s="960">
        <v>46584.0</v>
      </c>
      <c r="AB264" s="79" t="b">
        <v>0</v>
      </c>
      <c r="AC264" s="1498">
        <v>46773.0</v>
      </c>
      <c r="AD264" s="79" t="b">
        <v>0</v>
      </c>
      <c r="AE264" s="256"/>
      <c r="AF264" s="256"/>
      <c r="AG264" s="256"/>
      <c r="AH264" s="256"/>
      <c r="AI264" s="256"/>
      <c r="AJ264" s="256"/>
      <c r="AK264" s="256"/>
      <c r="AL264" s="256"/>
      <c r="AM264" s="256"/>
      <c r="AN264" s="256"/>
      <c r="AO264" s="256"/>
      <c r="AP264" s="256"/>
      <c r="AQ264" s="147"/>
      <c r="AR264" s="147"/>
      <c r="AS264" s="147"/>
      <c r="AT264" s="147"/>
      <c r="AU264" s="147"/>
      <c r="AV264" s="792"/>
    </row>
    <row r="265" ht="27.75" hidden="1" customHeight="1">
      <c r="A265" s="79">
        <f t="shared" si="6"/>
        <v>40</v>
      </c>
      <c r="B265" s="62" t="s">
        <v>1264</v>
      </c>
      <c r="C265" s="67">
        <v>15.3</v>
      </c>
      <c r="D265" s="67"/>
      <c r="E265" s="67"/>
      <c r="F265" s="147"/>
      <c r="G265" s="79" t="s">
        <v>84</v>
      </c>
      <c r="H265" s="1554" t="b">
        <v>0</v>
      </c>
      <c r="I265" s="148"/>
      <c r="J265" s="1554" t="b">
        <v>0</v>
      </c>
      <c r="K265" s="149"/>
      <c r="L265" s="147"/>
      <c r="M265" s="147"/>
      <c r="N265" s="147"/>
      <c r="O265" s="147"/>
      <c r="P265" s="1334">
        <v>46116.0</v>
      </c>
      <c r="Q265" s="155"/>
      <c r="R265" s="156">
        <v>46846.0</v>
      </c>
      <c r="S265" s="1244"/>
      <c r="T265" s="147"/>
      <c r="U265" s="1016">
        <f t="shared" si="8"/>
        <v>1</v>
      </c>
      <c r="V265" s="1519">
        <v>4.0</v>
      </c>
      <c r="W265" s="182">
        <v>46220.0</v>
      </c>
      <c r="X265" s="79" t="b">
        <v>1</v>
      </c>
      <c r="Y265" s="960">
        <v>46402.0</v>
      </c>
      <c r="Z265" s="79" t="b">
        <v>0</v>
      </c>
      <c r="AA265" s="960">
        <v>46950.0</v>
      </c>
      <c r="AB265" s="79" t="b">
        <v>0</v>
      </c>
      <c r="AC265" s="960">
        <v>46773.0</v>
      </c>
      <c r="AD265" s="79" t="b">
        <v>0</v>
      </c>
      <c r="AE265" s="256"/>
      <c r="AF265" s="256"/>
      <c r="AG265" s="256"/>
      <c r="AH265" s="256"/>
      <c r="AI265" s="256"/>
      <c r="AJ265" s="256"/>
      <c r="AK265" s="256"/>
      <c r="AL265" s="256"/>
      <c r="AM265" s="256"/>
      <c r="AN265" s="256"/>
      <c r="AO265" s="256"/>
      <c r="AP265" s="256"/>
      <c r="AQ265" s="147"/>
      <c r="AR265" s="147"/>
      <c r="AS265" s="147"/>
      <c r="AT265" s="147"/>
      <c r="AU265" s="147"/>
      <c r="AV265" s="792"/>
    </row>
    <row r="266" ht="27.75" hidden="1" customHeight="1">
      <c r="A266" s="79">
        <f t="shared" si="6"/>
        <v>40</v>
      </c>
      <c r="B266" s="201" t="s">
        <v>849</v>
      </c>
      <c r="C266" s="544">
        <v>19.2</v>
      </c>
      <c r="D266" s="544" t="s">
        <v>683</v>
      </c>
      <c r="E266" s="67"/>
      <c r="F266" s="67"/>
      <c r="G266" s="79" t="s">
        <v>84</v>
      </c>
      <c r="H266" s="1554" t="b">
        <v>1</v>
      </c>
      <c r="I266" s="85">
        <v>46059.0</v>
      </c>
      <c r="J266" s="1554" t="b">
        <v>1</v>
      </c>
      <c r="K266" s="89">
        <v>46235.0</v>
      </c>
      <c r="L266" s="62" t="s">
        <v>1049</v>
      </c>
      <c r="M266" s="1584" t="s">
        <v>1265</v>
      </c>
      <c r="N266" s="511" t="s">
        <v>1051</v>
      </c>
      <c r="O266" s="1358" t="s">
        <v>1052</v>
      </c>
      <c r="P266" s="1087"/>
      <c r="Q266" s="100"/>
      <c r="R266" s="102">
        <v>45953.0</v>
      </c>
      <c r="S266" s="1208">
        <v>45727.0</v>
      </c>
      <c r="T266" s="1208"/>
      <c r="U266" s="1016">
        <f t="shared" si="8"/>
        <v>5</v>
      </c>
      <c r="V266" s="1017">
        <v>4.0</v>
      </c>
      <c r="W266" s="343">
        <v>45345.0</v>
      </c>
      <c r="X266" s="471" t="b">
        <v>1</v>
      </c>
      <c r="Y266" s="343">
        <v>45535.0</v>
      </c>
      <c r="Z266" s="79" t="b">
        <v>1</v>
      </c>
      <c r="AA266" s="343">
        <v>45727.0</v>
      </c>
      <c r="AB266" s="79" t="b">
        <v>1</v>
      </c>
      <c r="AC266" s="182">
        <v>45945.0</v>
      </c>
      <c r="AD266" s="79" t="b">
        <v>1</v>
      </c>
      <c r="AE266" s="182">
        <v>46235.0</v>
      </c>
      <c r="AF266" s="471" t="b">
        <v>1</v>
      </c>
      <c r="AG266" s="1585">
        <v>46108.0</v>
      </c>
      <c r="AH266" s="471" t="b">
        <v>0</v>
      </c>
      <c r="AI266" s="182"/>
      <c r="AJ266" s="471" t="b">
        <v>0</v>
      </c>
      <c r="AK266" s="182"/>
      <c r="AL266" s="471" t="b">
        <v>0</v>
      </c>
      <c r="AM266" s="79"/>
      <c r="AN266" s="79"/>
      <c r="AO266" s="79"/>
      <c r="AP266" s="79"/>
      <c r="AQ266" s="79"/>
      <c r="AR266" s="79"/>
      <c r="AS266" s="79"/>
      <c r="AT266" s="79"/>
      <c r="AU266" s="62"/>
      <c r="AV266" s="792"/>
    </row>
    <row r="267" ht="27.75" hidden="1" customHeight="1">
      <c r="A267" s="79">
        <f t="shared" si="6"/>
        <v>40</v>
      </c>
      <c r="B267" s="201" t="s">
        <v>854</v>
      </c>
      <c r="C267" s="67">
        <v>6.3</v>
      </c>
      <c r="D267" s="67" t="s">
        <v>660</v>
      </c>
      <c r="E267" s="67" t="s">
        <v>1053</v>
      </c>
      <c r="F267" s="67"/>
      <c r="G267" s="79" t="s">
        <v>84</v>
      </c>
      <c r="H267" s="1554" t="b">
        <v>1</v>
      </c>
      <c r="I267" s="1586">
        <v>45974.0</v>
      </c>
      <c r="J267" s="1554" t="b">
        <v>1</v>
      </c>
      <c r="K267" s="89">
        <v>45671.0</v>
      </c>
      <c r="L267" s="62" t="s">
        <v>1054</v>
      </c>
      <c r="M267" s="1472" t="s">
        <v>1055</v>
      </c>
      <c r="N267" s="511" t="s">
        <v>106</v>
      </c>
      <c r="O267" s="1358"/>
      <c r="P267" s="1087"/>
      <c r="Q267" s="100"/>
      <c r="R267" s="102">
        <v>45618.0</v>
      </c>
      <c r="S267" s="1208">
        <v>45611.0</v>
      </c>
      <c r="T267" s="1464" t="s">
        <v>560</v>
      </c>
      <c r="U267" s="1016">
        <f t="shared" si="8"/>
        <v>8</v>
      </c>
      <c r="V267" s="1017">
        <v>10.0</v>
      </c>
      <c r="W267" s="343">
        <v>44676.0</v>
      </c>
      <c r="X267" s="79" t="b">
        <v>1</v>
      </c>
      <c r="Y267" s="343">
        <v>44879.0</v>
      </c>
      <c r="Z267" s="79" t="b">
        <v>1</v>
      </c>
      <c r="AA267" s="343">
        <v>45068.0</v>
      </c>
      <c r="AB267" s="79" t="b">
        <v>1</v>
      </c>
      <c r="AC267" s="182">
        <v>45296.0</v>
      </c>
      <c r="AD267" s="79" t="b">
        <v>1</v>
      </c>
      <c r="AE267" s="182">
        <v>45470.0</v>
      </c>
      <c r="AF267" s="79" t="b">
        <v>1</v>
      </c>
      <c r="AG267" s="182">
        <v>45611.0</v>
      </c>
      <c r="AH267" s="471" t="b">
        <v>1</v>
      </c>
      <c r="AI267" s="182">
        <v>45976.0</v>
      </c>
      <c r="AJ267" s="79" t="b">
        <v>1</v>
      </c>
      <c r="AK267" s="182">
        <v>46185.0</v>
      </c>
      <c r="AL267" s="79" t="b">
        <v>1</v>
      </c>
      <c r="AM267" s="1587">
        <v>46347.0</v>
      </c>
      <c r="AN267" s="1353" t="b">
        <v>0</v>
      </c>
      <c r="AO267" s="1587">
        <v>46522.0</v>
      </c>
      <c r="AP267" s="1353" t="b">
        <v>0</v>
      </c>
      <c r="AQ267" s="79"/>
      <c r="AR267" s="79"/>
      <c r="AS267" s="79"/>
      <c r="AT267" s="79"/>
      <c r="AU267" s="62"/>
      <c r="AV267" s="792"/>
    </row>
    <row r="268" ht="27.75" customHeight="1">
      <c r="A268" s="79">
        <f t="shared" si="6"/>
        <v>41</v>
      </c>
      <c r="B268" s="968" t="s">
        <v>857</v>
      </c>
      <c r="C268" s="354"/>
      <c r="D268" s="354" t="s">
        <v>1059</v>
      </c>
      <c r="E268" s="387"/>
      <c r="F268" s="391"/>
      <c r="G268" s="79" t="s">
        <v>105</v>
      </c>
      <c r="H268" s="1554" t="b">
        <v>0</v>
      </c>
      <c r="I268" s="1588"/>
      <c r="J268" s="1554" t="b">
        <v>0</v>
      </c>
      <c r="K268" s="1589"/>
      <c r="L268" s="177" t="s">
        <v>1266</v>
      </c>
      <c r="M268" s="1590"/>
      <c r="N268" s="511"/>
      <c r="O268" s="1358"/>
      <c r="P268" s="1502"/>
      <c r="Q268" s="633"/>
      <c r="R268" s="102">
        <v>46134.0</v>
      </c>
      <c r="S268" s="631">
        <v>45870.0</v>
      </c>
      <c r="T268" s="1460" t="s">
        <v>922</v>
      </c>
      <c r="U268" s="1016">
        <f t="shared" si="8"/>
        <v>4</v>
      </c>
      <c r="V268" s="1017">
        <v>4.0</v>
      </c>
      <c r="W268" s="343">
        <v>45545.0</v>
      </c>
      <c r="X268" s="79" t="b">
        <v>1</v>
      </c>
      <c r="Y268" s="182">
        <v>45706.0</v>
      </c>
      <c r="Z268" s="79" t="b">
        <v>1</v>
      </c>
      <c r="AA268" s="343">
        <v>45870.0</v>
      </c>
      <c r="AB268" s="79" t="b">
        <v>1</v>
      </c>
      <c r="AC268" s="343">
        <v>46063.0</v>
      </c>
      <c r="AD268" s="471" t="b">
        <v>1</v>
      </c>
      <c r="AE268" s="1068"/>
      <c r="AF268" s="1349"/>
      <c r="AG268" s="1068"/>
      <c r="AH268" s="1349"/>
      <c r="AI268" s="1068"/>
      <c r="AJ268" s="1349"/>
      <c r="AK268" s="1068"/>
      <c r="AL268" s="1349"/>
      <c r="AM268" s="1349"/>
      <c r="AN268" s="1349"/>
      <c r="AO268" s="1349"/>
      <c r="AP268" s="1349"/>
      <c r="AQ268" s="79"/>
      <c r="AR268" s="79"/>
      <c r="AS268" s="79"/>
      <c r="AT268" s="79"/>
      <c r="AU268" s="391"/>
      <c r="AV268" s="792"/>
    </row>
    <row r="269" ht="27.75" hidden="1" customHeight="1">
      <c r="A269" s="79">
        <f t="shared" si="6"/>
        <v>41</v>
      </c>
      <c r="B269" s="177" t="s">
        <v>1267</v>
      </c>
      <c r="C269" s="385" t="s">
        <v>1268</v>
      </c>
      <c r="D269" s="385" t="s">
        <v>1269</v>
      </c>
      <c r="E269" s="385"/>
      <c r="F269" s="391"/>
      <c r="G269" s="79" t="s">
        <v>84</v>
      </c>
      <c r="H269" s="1554" t="b">
        <v>0</v>
      </c>
      <c r="I269" s="393"/>
      <c r="J269" s="1554" t="b">
        <v>0</v>
      </c>
      <c r="K269" s="395"/>
      <c r="L269" s="391"/>
      <c r="M269" s="391"/>
      <c r="N269" s="1469"/>
      <c r="O269" s="391"/>
      <c r="P269" s="1347"/>
      <c r="Q269" s="633"/>
      <c r="R269" s="406"/>
      <c r="S269" s="393"/>
      <c r="T269" s="1521" t="s">
        <v>1270</v>
      </c>
      <c r="U269" s="1016">
        <f t="shared" si="8"/>
        <v>2</v>
      </c>
      <c r="V269" s="1591">
        <v>10.0</v>
      </c>
      <c r="W269" s="343">
        <v>46083.0</v>
      </c>
      <c r="X269" s="79" t="b">
        <v>1</v>
      </c>
      <c r="Y269" s="182">
        <v>46237.0</v>
      </c>
      <c r="Z269" s="79" t="b">
        <v>1</v>
      </c>
      <c r="AA269" s="626">
        <v>46419.0</v>
      </c>
      <c r="AB269" s="1353" t="b">
        <v>0</v>
      </c>
      <c r="AC269" s="626">
        <v>46601.0</v>
      </c>
      <c r="AD269" s="1354" t="b">
        <v>0</v>
      </c>
      <c r="AE269" s="1070">
        <v>46790.0</v>
      </c>
      <c r="AF269" s="1354" t="b">
        <v>0</v>
      </c>
      <c r="AG269" s="1070">
        <v>46972.0</v>
      </c>
      <c r="AH269" s="1354" t="b">
        <v>0</v>
      </c>
      <c r="AI269" s="1070">
        <v>47154.0</v>
      </c>
      <c r="AJ269" s="1354" t="b">
        <v>0</v>
      </c>
      <c r="AK269" s="1070">
        <v>47336.0</v>
      </c>
      <c r="AL269" s="1354" t="b">
        <v>0</v>
      </c>
      <c r="AM269" s="1592">
        <v>47518.0</v>
      </c>
      <c r="AN269" s="1354" t="b">
        <v>0</v>
      </c>
      <c r="AO269" s="1592">
        <v>47700.0</v>
      </c>
      <c r="AP269" s="1354" t="b">
        <v>0</v>
      </c>
      <c r="AQ269" s="741"/>
      <c r="AR269" s="747" t="b">
        <v>0</v>
      </c>
      <c r="AS269" s="741"/>
      <c r="AT269" s="747" t="b">
        <v>0</v>
      </c>
      <c r="AU269" s="1593" t="s">
        <v>1271</v>
      </c>
      <c r="AV269" s="792"/>
    </row>
    <row r="270" ht="27.75" hidden="1" customHeight="1">
      <c r="A270" s="79">
        <f t="shared" si="6"/>
        <v>41</v>
      </c>
      <c r="B270" s="62" t="s">
        <v>1272</v>
      </c>
      <c r="C270" s="67">
        <v>19.38</v>
      </c>
      <c r="D270" s="67" t="s">
        <v>979</v>
      </c>
      <c r="E270" s="67"/>
      <c r="F270" s="147"/>
      <c r="G270" s="79" t="s">
        <v>84</v>
      </c>
      <c r="H270" s="1554" t="b">
        <v>0</v>
      </c>
      <c r="I270" s="148"/>
      <c r="J270" s="1554" t="b">
        <v>0</v>
      </c>
      <c r="K270" s="149"/>
      <c r="L270" s="147"/>
      <c r="M270" s="147"/>
      <c r="N270" s="147"/>
      <c r="O270" s="186"/>
      <c r="P270" s="1334">
        <v>46277.0</v>
      </c>
      <c r="Q270" s="155"/>
      <c r="R270" s="156">
        <v>47007.0</v>
      </c>
      <c r="S270" s="1244"/>
      <c r="T270" s="147"/>
      <c r="U270" s="1016">
        <f t="shared" si="8"/>
        <v>0</v>
      </c>
      <c r="V270" s="1519">
        <v>4.0</v>
      </c>
      <c r="W270" s="343">
        <v>46457.0</v>
      </c>
      <c r="X270" s="79" t="b">
        <v>0</v>
      </c>
      <c r="Y270" s="343">
        <v>46639.0</v>
      </c>
      <c r="Z270" s="79" t="b">
        <v>0</v>
      </c>
      <c r="AA270" s="343">
        <v>46821.0</v>
      </c>
      <c r="AB270" s="79" t="b">
        <v>0</v>
      </c>
      <c r="AC270" s="343">
        <v>47010.0</v>
      </c>
      <c r="AD270" s="79" t="b">
        <v>0</v>
      </c>
      <c r="AE270" s="256"/>
      <c r="AF270" s="256"/>
      <c r="AG270" s="256"/>
      <c r="AH270" s="256"/>
      <c r="AI270" s="256"/>
      <c r="AJ270" s="256"/>
      <c r="AK270" s="256"/>
      <c r="AL270" s="256"/>
      <c r="AM270" s="256"/>
      <c r="AN270" s="256"/>
      <c r="AO270" s="256"/>
      <c r="AP270" s="256"/>
      <c r="AQ270" s="147"/>
      <c r="AR270" s="147"/>
      <c r="AS270" s="147"/>
      <c r="AT270" s="147"/>
      <c r="AU270" s="147"/>
      <c r="AV270" s="792"/>
    </row>
    <row r="271" ht="27.75" hidden="1" customHeight="1">
      <c r="A271" s="79">
        <f t="shared" si="6"/>
        <v>41</v>
      </c>
      <c r="B271" s="62" t="s">
        <v>1273</v>
      </c>
      <c r="C271" s="67">
        <v>138.0</v>
      </c>
      <c r="D271" s="67" t="s">
        <v>1274</v>
      </c>
      <c r="E271" s="67"/>
      <c r="F271" s="147"/>
      <c r="G271" s="79" t="s">
        <v>84</v>
      </c>
      <c r="H271" s="1554" t="b">
        <v>0</v>
      </c>
      <c r="I271" s="148"/>
      <c r="J271" s="1554" t="b">
        <v>0</v>
      </c>
      <c r="K271" s="149"/>
      <c r="L271" s="147"/>
      <c r="M271" s="147"/>
      <c r="N271" s="147"/>
      <c r="O271" s="186"/>
      <c r="P271" s="1334">
        <v>46237.0</v>
      </c>
      <c r="Q271" s="155"/>
      <c r="R271" s="156">
        <v>46967.0</v>
      </c>
      <c r="S271" s="1244"/>
      <c r="T271" s="147"/>
      <c r="U271" s="1016">
        <f t="shared" si="8"/>
        <v>0</v>
      </c>
      <c r="V271" s="1519">
        <v>4.0</v>
      </c>
      <c r="W271" s="960">
        <v>46405.0</v>
      </c>
      <c r="X271" s="79" t="b">
        <v>0</v>
      </c>
      <c r="Y271" s="960">
        <v>46587.0</v>
      </c>
      <c r="Z271" s="79" t="b">
        <v>0</v>
      </c>
      <c r="AA271" s="960">
        <v>46769.0</v>
      </c>
      <c r="AB271" s="79" t="b">
        <v>0</v>
      </c>
      <c r="AC271" s="960">
        <v>46951.0</v>
      </c>
      <c r="AD271" s="79" t="b">
        <v>0</v>
      </c>
      <c r="AE271" s="256"/>
      <c r="AF271" s="256"/>
      <c r="AG271" s="256"/>
      <c r="AH271" s="256"/>
      <c r="AI271" s="256"/>
      <c r="AJ271" s="256"/>
      <c r="AK271" s="256"/>
      <c r="AL271" s="256"/>
      <c r="AM271" s="256"/>
      <c r="AN271" s="256"/>
      <c r="AO271" s="256"/>
      <c r="AP271" s="256"/>
      <c r="AQ271" s="147"/>
      <c r="AR271" s="147"/>
      <c r="AS271" s="147"/>
      <c r="AT271" s="147"/>
      <c r="AU271" s="147"/>
      <c r="AV271" s="792"/>
    </row>
    <row r="272" ht="27.75" hidden="1" customHeight="1">
      <c r="A272" s="79">
        <f t="shared" si="6"/>
        <v>41</v>
      </c>
      <c r="B272" s="170" t="s">
        <v>179</v>
      </c>
      <c r="C272" s="67">
        <v>103.68</v>
      </c>
      <c r="D272" s="67" t="s">
        <v>1061</v>
      </c>
      <c r="E272" s="67"/>
      <c r="F272" s="67"/>
      <c r="G272" s="79" t="s">
        <v>55</v>
      </c>
      <c r="H272" s="1554" t="b">
        <v>1</v>
      </c>
      <c r="I272" s="459">
        <v>46072.0</v>
      </c>
      <c r="J272" s="1554" t="b">
        <v>0</v>
      </c>
      <c r="K272" s="89"/>
      <c r="L272" s="62" t="s">
        <v>1063</v>
      </c>
      <c r="M272" s="1472" t="s">
        <v>1064</v>
      </c>
      <c r="N272" s="1561" t="s">
        <v>1064</v>
      </c>
      <c r="O272" s="1358"/>
      <c r="P272" s="1087"/>
      <c r="Q272" s="100"/>
      <c r="R272" s="102">
        <v>45901.0</v>
      </c>
      <c r="S272" s="631">
        <v>46082.0</v>
      </c>
      <c r="T272" s="1208"/>
      <c r="U272" s="1016">
        <f t="shared" si="8"/>
        <v>4</v>
      </c>
      <c r="V272" s="1017">
        <v>4.0</v>
      </c>
      <c r="W272" s="343">
        <v>45352.0</v>
      </c>
      <c r="X272" s="79" t="b">
        <v>1</v>
      </c>
      <c r="Y272" s="343">
        <v>45560.0</v>
      </c>
      <c r="Z272" s="79" t="b">
        <v>1</v>
      </c>
      <c r="AA272" s="343">
        <v>45704.0</v>
      </c>
      <c r="AB272" s="79" t="b">
        <v>1</v>
      </c>
      <c r="AC272" s="182">
        <v>45916.0</v>
      </c>
      <c r="AD272" s="79" t="b">
        <v>1</v>
      </c>
      <c r="AE272" s="182">
        <v>46082.0</v>
      </c>
      <c r="AF272" s="471" t="b">
        <v>0</v>
      </c>
      <c r="AG272" s="182">
        <v>46266.0</v>
      </c>
      <c r="AH272" s="471" t="b">
        <v>0</v>
      </c>
      <c r="AI272" s="1594">
        <v>46447.0</v>
      </c>
      <c r="AJ272" s="471" t="b">
        <v>0</v>
      </c>
      <c r="AK272" s="182">
        <v>46631.0</v>
      </c>
      <c r="AL272" s="471" t="b">
        <v>0</v>
      </c>
      <c r="AM272" s="79"/>
      <c r="AN272" s="79"/>
      <c r="AO272" s="79"/>
      <c r="AP272" s="79"/>
      <c r="AQ272" s="79"/>
      <c r="AR272" s="79"/>
      <c r="AS272" s="79"/>
      <c r="AT272" s="79"/>
      <c r="AU272" s="194"/>
      <c r="AV272" s="792"/>
    </row>
    <row r="273" ht="27.75" hidden="1" customHeight="1">
      <c r="A273" s="1556">
        <f t="shared" si="6"/>
        <v>41</v>
      </c>
      <c r="B273" s="201" t="s">
        <v>656</v>
      </c>
      <c r="C273" s="67">
        <v>47.25</v>
      </c>
      <c r="D273" s="67" t="s">
        <v>1066</v>
      </c>
      <c r="E273" s="67"/>
      <c r="F273" s="67"/>
      <c r="G273" s="79" t="s">
        <v>84</v>
      </c>
      <c r="H273" s="1554" t="b">
        <v>1</v>
      </c>
      <c r="I273" s="459">
        <v>45667.0</v>
      </c>
      <c r="J273" s="1554" t="b">
        <v>1</v>
      </c>
      <c r="K273" s="1208">
        <v>45735.0</v>
      </c>
      <c r="L273" s="62" t="s">
        <v>1275</v>
      </c>
      <c r="M273" s="1472"/>
      <c r="N273" s="511" t="s">
        <v>1276</v>
      </c>
      <c r="O273" s="1472" t="s">
        <v>1277</v>
      </c>
      <c r="P273" s="1087"/>
      <c r="Q273" s="100">
        <v>45717.0</v>
      </c>
      <c r="R273" s="102">
        <v>46310.0</v>
      </c>
      <c r="S273" s="631">
        <v>46133.0</v>
      </c>
      <c r="T273" s="1464" t="s">
        <v>768</v>
      </c>
      <c r="U273" s="1016">
        <f t="shared" si="8"/>
        <v>7</v>
      </c>
      <c r="V273" s="1017">
        <v>8.0</v>
      </c>
      <c r="W273" s="343">
        <v>45009.0</v>
      </c>
      <c r="X273" s="79" t="b">
        <v>1</v>
      </c>
      <c r="Y273" s="343">
        <v>45189.0</v>
      </c>
      <c r="Z273" s="79" t="b">
        <v>1</v>
      </c>
      <c r="AA273" s="343">
        <v>45393.0</v>
      </c>
      <c r="AB273" s="79" t="b">
        <v>1</v>
      </c>
      <c r="AC273" s="182">
        <v>45583.0</v>
      </c>
      <c r="AD273" s="471" t="b">
        <v>1</v>
      </c>
      <c r="AE273" s="182">
        <v>45793.0</v>
      </c>
      <c r="AF273" s="471" t="b">
        <v>1</v>
      </c>
      <c r="AG273" s="182">
        <v>45947.0</v>
      </c>
      <c r="AH273" s="471" t="b">
        <v>1</v>
      </c>
      <c r="AI273" s="182">
        <v>46133.0</v>
      </c>
      <c r="AJ273" s="471" t="b">
        <v>1</v>
      </c>
      <c r="AK273" s="182">
        <v>46312.0</v>
      </c>
      <c r="AL273" s="471" t="b">
        <v>0</v>
      </c>
      <c r="AM273" s="79"/>
      <c r="AN273" s="79"/>
      <c r="AO273" s="79"/>
      <c r="AP273" s="79"/>
      <c r="AQ273" s="79"/>
      <c r="AR273" s="79"/>
      <c r="AS273" s="79"/>
      <c r="AT273" s="79"/>
      <c r="AU273" s="891"/>
      <c r="AV273" s="792"/>
    </row>
    <row r="274" ht="27.75" customHeight="1">
      <c r="A274" s="79">
        <f>SUBTOTAL(3,$B$4:B273)</f>
        <v>41</v>
      </c>
      <c r="B274" s="293" t="s">
        <v>662</v>
      </c>
      <c r="C274" s="67">
        <v>49.92</v>
      </c>
      <c r="D274" s="67" t="s">
        <v>1073</v>
      </c>
      <c r="E274" s="67"/>
      <c r="F274" s="67"/>
      <c r="G274" s="79" t="s">
        <v>105</v>
      </c>
      <c r="H274" s="1554" t="b">
        <v>1</v>
      </c>
      <c r="I274" s="85">
        <v>45828.0</v>
      </c>
      <c r="J274" s="1554" t="b">
        <v>0</v>
      </c>
      <c r="K274" s="89"/>
      <c r="L274" s="62" t="s">
        <v>1278</v>
      </c>
      <c r="M274" s="1472" t="s">
        <v>1279</v>
      </c>
      <c r="N274" s="511" t="s">
        <v>1280</v>
      </c>
      <c r="O274" s="1358"/>
      <c r="P274" s="1087"/>
      <c r="Q274" s="100"/>
      <c r="R274" s="102">
        <v>45560.0</v>
      </c>
      <c r="S274" s="1208">
        <v>46180.0</v>
      </c>
      <c r="T274" s="1208"/>
      <c r="U274" s="1016">
        <f t="shared" si="8"/>
        <v>6</v>
      </c>
      <c r="V274" s="1017">
        <v>4.0</v>
      </c>
      <c r="W274" s="343">
        <v>45009.0</v>
      </c>
      <c r="X274" s="79" t="b">
        <v>1</v>
      </c>
      <c r="Y274" s="343">
        <v>45142.0</v>
      </c>
      <c r="Z274" s="79" t="b">
        <v>1</v>
      </c>
      <c r="AA274" s="343">
        <v>45369.0</v>
      </c>
      <c r="AB274" s="79" t="b">
        <v>1</v>
      </c>
      <c r="AC274" s="182">
        <v>45801.0</v>
      </c>
      <c r="AD274" s="471" t="b">
        <v>1</v>
      </c>
      <c r="AE274" s="182">
        <v>46182.0</v>
      </c>
      <c r="AF274" s="471" t="b">
        <v>1</v>
      </c>
      <c r="AG274" s="182">
        <v>46180.0</v>
      </c>
      <c r="AH274" s="471" t="b">
        <v>1</v>
      </c>
      <c r="AI274" s="182">
        <v>46340.0</v>
      </c>
      <c r="AJ274" s="471" t="b">
        <v>0</v>
      </c>
      <c r="AK274" s="182">
        <v>46515.0</v>
      </c>
      <c r="AL274" s="471" t="b">
        <v>0</v>
      </c>
      <c r="AM274" s="79"/>
      <c r="AN274" s="79"/>
      <c r="AO274" s="79"/>
      <c r="AP274" s="79"/>
      <c r="AQ274" s="79"/>
      <c r="AR274" s="79"/>
      <c r="AS274" s="79"/>
      <c r="AT274" s="79"/>
      <c r="AU274" s="891"/>
      <c r="AV274" s="792"/>
    </row>
    <row r="275" ht="27.75" hidden="1" customHeight="1">
      <c r="A275" s="1567">
        <f t="shared" ref="A275:A286" si="9">SUBTOTAL(3,$B$4:B275)</f>
        <v>42</v>
      </c>
      <c r="B275" s="201" t="s">
        <v>665</v>
      </c>
      <c r="C275" s="67">
        <v>6.72</v>
      </c>
      <c r="D275" s="67" t="s">
        <v>111</v>
      </c>
      <c r="E275" s="67"/>
      <c r="F275" s="67"/>
      <c r="G275" s="79" t="s">
        <v>243</v>
      </c>
      <c r="H275" s="1554" t="b">
        <v>1</v>
      </c>
      <c r="I275" s="459">
        <v>45680.0</v>
      </c>
      <c r="J275" s="1554" t="b">
        <v>1</v>
      </c>
      <c r="K275" s="1208">
        <v>45680.0</v>
      </c>
      <c r="L275" s="62" t="s">
        <v>780</v>
      </c>
      <c r="M275" s="1472"/>
      <c r="N275" s="511" t="s">
        <v>325</v>
      </c>
      <c r="O275" s="1595" t="s">
        <v>1075</v>
      </c>
      <c r="P275" s="1596"/>
      <c r="Q275" s="1297">
        <v>45680.0</v>
      </c>
      <c r="R275" s="1122">
        <v>46323.0</v>
      </c>
      <c r="S275" s="1298">
        <v>46139.0</v>
      </c>
      <c r="T275" s="1464" t="s">
        <v>805</v>
      </c>
      <c r="U275" s="1016">
        <f>COUNTIFS(W275:AT275,"True")</f>
        <v>7</v>
      </c>
      <c r="V275" s="1017">
        <v>8.0</v>
      </c>
      <c r="W275" s="343">
        <v>45037.0</v>
      </c>
      <c r="X275" s="79" t="b">
        <v>1</v>
      </c>
      <c r="Y275" s="343">
        <v>45229.0</v>
      </c>
      <c r="Z275" s="79" t="b">
        <v>1</v>
      </c>
      <c r="AA275" s="343">
        <v>45411.0</v>
      </c>
      <c r="AB275" s="79" t="b">
        <v>1</v>
      </c>
      <c r="AC275" s="182">
        <v>45607.0</v>
      </c>
      <c r="AD275" s="471" t="b">
        <v>1</v>
      </c>
      <c r="AE275" s="182">
        <v>45775.0</v>
      </c>
      <c r="AF275" s="471" t="b">
        <v>1</v>
      </c>
      <c r="AG275" s="182">
        <v>45957.0</v>
      </c>
      <c r="AH275" s="471" t="b">
        <v>1</v>
      </c>
      <c r="AI275" s="182">
        <v>46139.0</v>
      </c>
      <c r="AJ275" s="471" t="b">
        <v>1</v>
      </c>
      <c r="AK275" s="182">
        <v>46321.0</v>
      </c>
      <c r="AL275" s="471" t="b">
        <v>0</v>
      </c>
      <c r="AM275" s="79"/>
      <c r="AN275" s="79"/>
      <c r="AO275" s="79"/>
      <c r="AP275" s="79"/>
      <c r="AQ275" s="79"/>
      <c r="AR275" s="79"/>
      <c r="AS275" s="891"/>
      <c r="AT275" s="79"/>
      <c r="AU275" s="147"/>
      <c r="AV275" s="792"/>
    </row>
    <row r="276" ht="27.75" customHeight="1">
      <c r="A276" s="79">
        <f t="shared" si="9"/>
        <v>43</v>
      </c>
      <c r="B276" s="72" t="s">
        <v>871</v>
      </c>
      <c r="C276" s="67">
        <v>10.08</v>
      </c>
      <c r="D276" s="67" t="s">
        <v>1077</v>
      </c>
      <c r="E276" s="67" t="s">
        <v>1078</v>
      </c>
      <c r="F276" s="67"/>
      <c r="G276" s="79" t="s">
        <v>105</v>
      </c>
      <c r="H276" s="1554" t="b">
        <v>0</v>
      </c>
      <c r="I276" s="85"/>
      <c r="J276" s="1554" t="b">
        <v>0</v>
      </c>
      <c r="K276" s="89"/>
      <c r="L276" s="62" t="s">
        <v>1281</v>
      </c>
      <c r="M276" s="1472" t="s">
        <v>1282</v>
      </c>
      <c r="N276" s="511"/>
      <c r="O276" s="1358"/>
      <c r="P276" s="1087"/>
      <c r="Q276" s="100"/>
      <c r="R276" s="102">
        <v>45941.0</v>
      </c>
      <c r="S276" s="631">
        <v>46092.0</v>
      </c>
      <c r="T276" s="1460" t="s">
        <v>146</v>
      </c>
      <c r="U276" s="1016">
        <f t="shared" ref="U276:U286" si="10">COUNTIFS(W276:AU276,"True")</f>
        <v>4</v>
      </c>
      <c r="V276" s="1017">
        <v>4.0</v>
      </c>
      <c r="W276" s="343">
        <v>45463.0</v>
      </c>
      <c r="X276" s="79" t="b">
        <v>1</v>
      </c>
      <c r="Y276" s="343">
        <v>45726.0</v>
      </c>
      <c r="Z276" s="79" t="b">
        <v>1</v>
      </c>
      <c r="AA276" s="343">
        <v>45924.0</v>
      </c>
      <c r="AB276" s="79" t="b">
        <v>1</v>
      </c>
      <c r="AC276" s="182">
        <v>46092.0</v>
      </c>
      <c r="AD276" s="471" t="b">
        <v>1</v>
      </c>
      <c r="AE276" s="182"/>
      <c r="AF276" s="79"/>
      <c r="AG276" s="182"/>
      <c r="AH276" s="79"/>
      <c r="AI276" s="182"/>
      <c r="AJ276" s="79"/>
      <c r="AK276" s="182"/>
      <c r="AL276" s="79"/>
      <c r="AM276" s="79"/>
      <c r="AN276" s="79"/>
      <c r="AO276" s="79"/>
      <c r="AP276" s="79"/>
      <c r="AQ276" s="79"/>
      <c r="AR276" s="79"/>
      <c r="AS276" s="79"/>
      <c r="AT276" s="79"/>
      <c r="AU276" s="62"/>
      <c r="AV276" s="792"/>
    </row>
    <row r="277" ht="27.75" hidden="1" customHeight="1">
      <c r="A277" s="79">
        <f t="shared" si="9"/>
        <v>43</v>
      </c>
      <c r="B277" s="62" t="s">
        <v>1283</v>
      </c>
      <c r="C277" s="67">
        <v>25.5</v>
      </c>
      <c r="D277" s="67" t="s">
        <v>465</v>
      </c>
      <c r="E277" s="67"/>
      <c r="F277" s="147"/>
      <c r="G277" s="79" t="s">
        <v>84</v>
      </c>
      <c r="H277" s="1554" t="b">
        <v>0</v>
      </c>
      <c r="I277" s="148"/>
      <c r="J277" s="1554" t="b">
        <v>0</v>
      </c>
      <c r="K277" s="149"/>
      <c r="L277" s="147"/>
      <c r="M277" s="147"/>
      <c r="N277" s="147"/>
      <c r="O277" s="186"/>
      <c r="P277" s="1334">
        <v>46225.0</v>
      </c>
      <c r="Q277" s="155"/>
      <c r="R277" s="156">
        <v>46955.0</v>
      </c>
      <c r="S277" s="1244"/>
      <c r="T277" s="147"/>
      <c r="U277" s="1016">
        <f t="shared" si="10"/>
        <v>0</v>
      </c>
      <c r="V277" s="1519">
        <v>4.0</v>
      </c>
      <c r="W277" s="960"/>
      <c r="X277" s="79" t="b">
        <v>0</v>
      </c>
      <c r="Y277" s="960"/>
      <c r="Z277" s="79" t="b">
        <v>0</v>
      </c>
      <c r="AA277" s="960"/>
      <c r="AB277" s="79" t="b">
        <v>0</v>
      </c>
      <c r="AC277" s="960"/>
      <c r="AD277" s="79" t="b">
        <v>0</v>
      </c>
      <c r="AE277" s="256"/>
      <c r="AF277" s="256"/>
      <c r="AG277" s="256"/>
      <c r="AH277" s="256"/>
      <c r="AI277" s="256"/>
      <c r="AJ277" s="256"/>
      <c r="AK277" s="256"/>
      <c r="AL277" s="256"/>
      <c r="AM277" s="256"/>
      <c r="AN277" s="256"/>
      <c r="AO277" s="256"/>
      <c r="AP277" s="256"/>
      <c r="AQ277" s="147"/>
      <c r="AR277" s="147"/>
      <c r="AS277" s="147"/>
      <c r="AT277" s="147"/>
      <c r="AU277" s="147"/>
      <c r="AV277" s="792"/>
    </row>
    <row r="278" ht="27.75" customHeight="1">
      <c r="A278" s="79">
        <f t="shared" si="9"/>
        <v>44</v>
      </c>
      <c r="B278" s="62" t="s">
        <v>873</v>
      </c>
      <c r="C278" s="67">
        <v>10.0</v>
      </c>
      <c r="D278" s="67" t="s">
        <v>654</v>
      </c>
      <c r="E278" s="67" t="s">
        <v>1080</v>
      </c>
      <c r="F278" s="67"/>
      <c r="G278" s="79" t="s">
        <v>105</v>
      </c>
      <c r="H278" s="1554" t="b">
        <v>0</v>
      </c>
      <c r="I278" s="85"/>
      <c r="J278" s="1554" t="b">
        <v>0</v>
      </c>
      <c r="K278" s="89"/>
      <c r="L278" s="62" t="s">
        <v>1081</v>
      </c>
      <c r="M278" s="1472">
        <v>8.00784231E8</v>
      </c>
      <c r="N278" s="511"/>
      <c r="O278" s="1358"/>
      <c r="P278" s="1087"/>
      <c r="Q278" s="100"/>
      <c r="R278" s="102">
        <v>45948.0</v>
      </c>
      <c r="S278" s="631">
        <v>46248.0</v>
      </c>
      <c r="T278" s="1460" t="s">
        <v>282</v>
      </c>
      <c r="U278" s="1016">
        <f t="shared" si="10"/>
        <v>4</v>
      </c>
      <c r="V278" s="1017">
        <v>4.0</v>
      </c>
      <c r="W278" s="343">
        <v>45483.0</v>
      </c>
      <c r="X278" s="79" t="b">
        <v>1</v>
      </c>
      <c r="Y278" s="343">
        <v>45877.0</v>
      </c>
      <c r="Z278" s="79" t="b">
        <v>1</v>
      </c>
      <c r="AA278" s="343">
        <v>46073.0</v>
      </c>
      <c r="AB278" s="79" t="b">
        <v>1</v>
      </c>
      <c r="AC278" s="182">
        <v>46248.0</v>
      </c>
      <c r="AD278" s="471" t="b">
        <v>1</v>
      </c>
      <c r="AE278" s="182"/>
      <c r="AF278" s="79"/>
      <c r="AG278" s="182"/>
      <c r="AH278" s="79"/>
      <c r="AI278" s="182"/>
      <c r="AJ278" s="79"/>
      <c r="AK278" s="182"/>
      <c r="AL278" s="79"/>
      <c r="AM278" s="79"/>
      <c r="AN278" s="79"/>
      <c r="AO278" s="79"/>
      <c r="AP278" s="79"/>
      <c r="AQ278" s="79"/>
      <c r="AR278" s="79"/>
      <c r="AS278" s="79"/>
      <c r="AT278" s="79"/>
      <c r="AU278" s="62"/>
      <c r="AV278" s="792"/>
    </row>
    <row r="279" ht="27.75" hidden="1" customHeight="1">
      <c r="A279" s="79">
        <f t="shared" si="9"/>
        <v>44</v>
      </c>
      <c r="B279" s="177" t="s">
        <v>908</v>
      </c>
      <c r="C279" s="385">
        <v>10.0</v>
      </c>
      <c r="D279" s="385" t="s">
        <v>295</v>
      </c>
      <c r="E279" s="385" t="s">
        <v>1284</v>
      </c>
      <c r="F279" s="391"/>
      <c r="G279" s="79" t="s">
        <v>243</v>
      </c>
      <c r="H279" s="1554" t="b">
        <v>0</v>
      </c>
      <c r="I279" s="393"/>
      <c r="J279" s="1554" t="b">
        <v>0</v>
      </c>
      <c r="K279" s="395"/>
      <c r="L279" s="391"/>
      <c r="M279" s="391"/>
      <c r="N279" s="1469"/>
      <c r="O279" s="391"/>
      <c r="P279" s="1347">
        <v>45640.0</v>
      </c>
      <c r="Q279" s="633"/>
      <c r="R279" s="406">
        <v>45639.0</v>
      </c>
      <c r="S279" s="1597">
        <v>46064.0</v>
      </c>
      <c r="T279" s="1521"/>
      <c r="U279" s="1016">
        <f t="shared" si="10"/>
        <v>3</v>
      </c>
      <c r="V279" s="1017">
        <v>4.0</v>
      </c>
      <c r="W279" s="343">
        <v>45877.0</v>
      </c>
      <c r="X279" s="79" t="b">
        <v>1</v>
      </c>
      <c r="Y279" s="182">
        <v>46064.0</v>
      </c>
      <c r="Z279" s="79" t="b">
        <v>1</v>
      </c>
      <c r="AA279" s="626">
        <v>46248.0</v>
      </c>
      <c r="AB279" s="79" t="b">
        <v>1</v>
      </c>
      <c r="AC279" s="626">
        <v>46428.0</v>
      </c>
      <c r="AD279" s="1354" t="b">
        <v>0</v>
      </c>
      <c r="AE279" s="1068"/>
      <c r="AF279" s="1349"/>
      <c r="AG279" s="1068"/>
      <c r="AH279" s="1349"/>
      <c r="AI279" s="1068"/>
      <c r="AJ279" s="1349"/>
      <c r="AK279" s="1068"/>
      <c r="AL279" s="1349"/>
      <c r="AM279" s="1349"/>
      <c r="AN279" s="1349"/>
      <c r="AO279" s="1349"/>
      <c r="AP279" s="1349"/>
      <c r="AQ279" s="741"/>
      <c r="AR279" s="741"/>
      <c r="AS279" s="741"/>
      <c r="AT279" s="741"/>
      <c r="AU279" s="391"/>
      <c r="AV279" s="792"/>
    </row>
    <row r="280" ht="27.75" hidden="1" customHeight="1">
      <c r="A280" s="79">
        <f t="shared" si="9"/>
        <v>44</v>
      </c>
      <c r="B280" s="177" t="s">
        <v>909</v>
      </c>
      <c r="C280" s="385">
        <v>12.0</v>
      </c>
      <c r="D280" s="385" t="s">
        <v>295</v>
      </c>
      <c r="E280" s="385" t="s">
        <v>1284</v>
      </c>
      <c r="F280" s="391"/>
      <c r="G280" s="79" t="s">
        <v>243</v>
      </c>
      <c r="H280" s="1554" t="b">
        <v>0</v>
      </c>
      <c r="I280" s="393"/>
      <c r="J280" s="1554" t="b">
        <v>0</v>
      </c>
      <c r="K280" s="395"/>
      <c r="L280" s="391"/>
      <c r="M280" s="391"/>
      <c r="N280" s="1469"/>
      <c r="O280" s="391"/>
      <c r="P280" s="1347">
        <v>45640.0</v>
      </c>
      <c r="Q280" s="633"/>
      <c r="R280" s="406">
        <v>45639.0</v>
      </c>
      <c r="S280" s="1597">
        <v>46064.0</v>
      </c>
      <c r="T280" s="1521"/>
      <c r="U280" s="1016">
        <f t="shared" si="10"/>
        <v>3</v>
      </c>
      <c r="V280" s="1017">
        <v>4.0</v>
      </c>
      <c r="W280" s="343">
        <v>45877.0</v>
      </c>
      <c r="X280" s="79" t="b">
        <v>1</v>
      </c>
      <c r="Y280" s="182">
        <v>46064.0</v>
      </c>
      <c r="Z280" s="79" t="b">
        <v>1</v>
      </c>
      <c r="AA280" s="626">
        <v>46248.0</v>
      </c>
      <c r="AB280" s="79" t="b">
        <v>1</v>
      </c>
      <c r="AC280" s="626">
        <v>46428.0</v>
      </c>
      <c r="AD280" s="1354" t="b">
        <v>0</v>
      </c>
      <c r="AE280" s="1068"/>
      <c r="AF280" s="1349"/>
      <c r="AG280" s="1068"/>
      <c r="AH280" s="1349"/>
      <c r="AI280" s="1068"/>
      <c r="AJ280" s="1349"/>
      <c r="AK280" s="1068"/>
      <c r="AL280" s="1349"/>
      <c r="AM280" s="1349"/>
      <c r="AN280" s="1349"/>
      <c r="AO280" s="1349"/>
      <c r="AP280" s="1349"/>
      <c r="AQ280" s="741"/>
      <c r="AR280" s="741"/>
      <c r="AS280" s="741"/>
      <c r="AT280" s="741"/>
      <c r="AU280" s="391"/>
      <c r="AV280" s="792"/>
    </row>
    <row r="281" ht="27.75" hidden="1" customHeight="1">
      <c r="A281" s="79">
        <f t="shared" si="9"/>
        <v>44</v>
      </c>
      <c r="B281" s="177" t="s">
        <v>874</v>
      </c>
      <c r="C281" s="385">
        <v>12.0</v>
      </c>
      <c r="D281" s="385" t="s">
        <v>295</v>
      </c>
      <c r="E281" s="385" t="s">
        <v>1284</v>
      </c>
      <c r="F281" s="391"/>
      <c r="G281" s="79" t="s">
        <v>243</v>
      </c>
      <c r="H281" s="1554" t="b">
        <v>0</v>
      </c>
      <c r="I281" s="393"/>
      <c r="J281" s="1554" t="b">
        <v>0</v>
      </c>
      <c r="K281" s="395"/>
      <c r="L281" s="391"/>
      <c r="M281" s="391"/>
      <c r="N281" s="1469"/>
      <c r="O281" s="391"/>
      <c r="P281" s="1347">
        <v>45640.0</v>
      </c>
      <c r="Q281" s="633"/>
      <c r="R281" s="406">
        <v>46274.0</v>
      </c>
      <c r="S281" s="1597">
        <v>46064.0</v>
      </c>
      <c r="T281" s="1460" t="s">
        <v>282</v>
      </c>
      <c r="U281" s="1016">
        <f t="shared" si="10"/>
        <v>3</v>
      </c>
      <c r="V281" s="1017">
        <v>4.0</v>
      </c>
      <c r="W281" s="343">
        <v>45877.0</v>
      </c>
      <c r="X281" s="79" t="b">
        <v>1</v>
      </c>
      <c r="Y281" s="182">
        <v>46064.0</v>
      </c>
      <c r="Z281" s="79" t="b">
        <v>1</v>
      </c>
      <c r="AA281" s="626">
        <v>46248.0</v>
      </c>
      <c r="AB281" s="79" t="b">
        <v>1</v>
      </c>
      <c r="AC281" s="626">
        <v>46428.0</v>
      </c>
      <c r="AD281" s="1354" t="b">
        <v>0</v>
      </c>
      <c r="AE281" s="1068"/>
      <c r="AF281" s="1349"/>
      <c r="AG281" s="1068"/>
      <c r="AH281" s="1349"/>
      <c r="AI281" s="1068"/>
      <c r="AJ281" s="1349"/>
      <c r="AK281" s="1068"/>
      <c r="AL281" s="1349"/>
      <c r="AM281" s="1349"/>
      <c r="AN281" s="1349"/>
      <c r="AO281" s="1349"/>
      <c r="AP281" s="1349"/>
      <c r="AQ281" s="741"/>
      <c r="AR281" s="741"/>
      <c r="AS281" s="741"/>
      <c r="AT281" s="741"/>
      <c r="AU281" s="391"/>
      <c r="AV281" s="792"/>
    </row>
    <row r="282" ht="27.75" hidden="1" customHeight="1">
      <c r="A282" s="79">
        <f t="shared" si="9"/>
        <v>44</v>
      </c>
      <c r="B282" s="177" t="s">
        <v>875</v>
      </c>
      <c r="C282" s="385">
        <v>12.0</v>
      </c>
      <c r="D282" s="385" t="s">
        <v>295</v>
      </c>
      <c r="E282" s="393"/>
      <c r="F282" s="1307"/>
      <c r="G282" s="79" t="s">
        <v>243</v>
      </c>
      <c r="H282" s="1554" t="b">
        <v>0</v>
      </c>
      <c r="I282" s="147"/>
      <c r="J282" s="1554" t="b">
        <v>0</v>
      </c>
      <c r="K282" s="395"/>
      <c r="L282" s="391"/>
      <c r="M282" s="391"/>
      <c r="N282" s="1469"/>
      <c r="O282" s="391"/>
      <c r="P282" s="1347">
        <v>45640.0</v>
      </c>
      <c r="Q282" s="633"/>
      <c r="R282" s="406">
        <v>45639.0</v>
      </c>
      <c r="S282" s="1597">
        <v>46064.0</v>
      </c>
      <c r="T282" s="1598" t="s">
        <v>282</v>
      </c>
      <c r="U282" s="1016">
        <f t="shared" si="10"/>
        <v>3</v>
      </c>
      <c r="V282" s="1017">
        <v>4.0</v>
      </c>
      <c r="W282" s="343">
        <v>45877.0</v>
      </c>
      <c r="X282" s="79" t="b">
        <v>1</v>
      </c>
      <c r="Y282" s="182">
        <v>46064.0</v>
      </c>
      <c r="Z282" s="79" t="b">
        <v>1</v>
      </c>
      <c r="AA282" s="1599">
        <v>46248.0</v>
      </c>
      <c r="AB282" s="79" t="b">
        <v>1</v>
      </c>
      <c r="AC282" s="626">
        <v>46428.0</v>
      </c>
      <c r="AD282" s="1354" t="b">
        <v>0</v>
      </c>
      <c r="AE282" s="147"/>
      <c r="AF282" s="147"/>
      <c r="AG282" s="147"/>
      <c r="AH282" s="147"/>
      <c r="AI282" s="147"/>
      <c r="AJ282" s="147"/>
      <c r="AK282" s="147"/>
      <c r="AL282" s="147"/>
      <c r="AM282" s="147"/>
      <c r="AN282" s="147"/>
      <c r="AO282" s="147"/>
      <c r="AP282" s="147"/>
      <c r="AQ282" s="147"/>
      <c r="AR282" s="147"/>
      <c r="AS282" s="147"/>
      <c r="AT282" s="147"/>
      <c r="AU282" s="147"/>
      <c r="AV282" s="792"/>
    </row>
    <row r="283" ht="27.75" hidden="1" customHeight="1">
      <c r="A283" s="79">
        <f t="shared" si="9"/>
        <v>44</v>
      </c>
      <c r="B283" s="308" t="s">
        <v>1285</v>
      </c>
      <c r="C283" s="67">
        <v>10.0</v>
      </c>
      <c r="D283" s="176" t="s">
        <v>295</v>
      </c>
      <c r="E283" s="176" t="s">
        <v>1284</v>
      </c>
      <c r="G283" s="33" t="s">
        <v>84</v>
      </c>
      <c r="H283" s="1554" t="b">
        <v>0</v>
      </c>
      <c r="I283" s="395"/>
      <c r="J283" s="1554" t="b">
        <v>0</v>
      </c>
      <c r="K283" s="395"/>
      <c r="L283" s="391"/>
      <c r="M283" s="391"/>
      <c r="N283" s="1469"/>
      <c r="O283" s="391"/>
      <c r="P283" s="391"/>
      <c r="Q283" s="391"/>
      <c r="R283" s="270">
        <v>46610.0</v>
      </c>
      <c r="S283" s="1597">
        <v>46064.0</v>
      </c>
      <c r="U283" s="1016">
        <f t="shared" si="10"/>
        <v>2</v>
      </c>
      <c r="V283" s="1519">
        <v>4.0</v>
      </c>
      <c r="W283" s="1600">
        <v>46064.0</v>
      </c>
      <c r="X283" s="79" t="b">
        <v>1</v>
      </c>
      <c r="Y283" s="626">
        <v>46248.0</v>
      </c>
      <c r="Z283" s="79" t="b">
        <v>1</v>
      </c>
      <c r="AA283" s="626">
        <v>46428.0</v>
      </c>
      <c r="AB283" s="79" t="b">
        <v>0</v>
      </c>
      <c r="AC283" s="1600">
        <v>46610.0</v>
      </c>
      <c r="AD283" s="79" t="b">
        <v>0</v>
      </c>
      <c r="AE283" s="395"/>
      <c r="AF283" s="79"/>
      <c r="AG283" s="395"/>
      <c r="AH283" s="79"/>
      <c r="AI283" s="395"/>
      <c r="AJ283" s="79"/>
      <c r="AK283" s="395"/>
      <c r="AL283" s="79"/>
      <c r="AM283" s="395"/>
      <c r="AN283" s="79"/>
      <c r="AO283" s="395"/>
      <c r="AP283" s="79"/>
      <c r="AQ283" s="395"/>
      <c r="AR283" s="79"/>
      <c r="AS283" s="395"/>
      <c r="AT283" s="79"/>
      <c r="AU283" s="62"/>
      <c r="AV283" s="792"/>
    </row>
    <row r="284" ht="27.75" hidden="1" customHeight="1">
      <c r="A284" s="79">
        <f t="shared" si="9"/>
        <v>44</v>
      </c>
      <c r="B284" s="395"/>
      <c r="C284" s="391"/>
      <c r="D284" s="391"/>
      <c r="E284" s="1469"/>
      <c r="F284" s="391"/>
      <c r="G284" s="79"/>
      <c r="H284" s="1554" t="b">
        <v>0</v>
      </c>
      <c r="I284" s="395"/>
      <c r="J284" s="1554" t="b">
        <v>0</v>
      </c>
      <c r="K284" s="395"/>
      <c r="L284" s="391"/>
      <c r="M284" s="391"/>
      <c r="N284" s="1469"/>
      <c r="O284" s="391"/>
      <c r="P284" s="391"/>
      <c r="Q284" s="391"/>
      <c r="R284" s="391"/>
      <c r="S284" s="391"/>
      <c r="U284" s="1016">
        <f t="shared" si="10"/>
        <v>0</v>
      </c>
      <c r="V284" s="1519">
        <v>4.0</v>
      </c>
      <c r="W284" s="391"/>
      <c r="X284" s="79" t="b">
        <v>0</v>
      </c>
      <c r="Y284" s="391"/>
      <c r="Z284" s="33" t="b">
        <v>0</v>
      </c>
      <c r="AA284" s="391"/>
      <c r="AB284" s="79" t="b">
        <v>0</v>
      </c>
      <c r="AC284" s="391"/>
      <c r="AD284" s="79" t="b">
        <v>0</v>
      </c>
      <c r="AE284" s="395"/>
      <c r="AF284" s="741"/>
      <c r="AG284" s="395"/>
      <c r="AH284" s="741"/>
      <c r="AI284" s="395"/>
      <c r="AJ284" s="741"/>
      <c r="AK284" s="395"/>
      <c r="AL284" s="741"/>
      <c r="AM284" s="395"/>
      <c r="AN284" s="741"/>
      <c r="AO284" s="395"/>
      <c r="AP284" s="741"/>
      <c r="AQ284" s="395"/>
      <c r="AR284" s="741"/>
      <c r="AS284" s="395"/>
      <c r="AT284" s="741"/>
      <c r="AU284" s="391"/>
      <c r="AV284" s="792"/>
    </row>
    <row r="285" ht="27.75" hidden="1" customHeight="1">
      <c r="A285" s="79">
        <f t="shared" si="9"/>
        <v>44</v>
      </c>
      <c r="B285" s="395"/>
      <c r="C285" s="391"/>
      <c r="D285" s="391"/>
      <c r="E285" s="1469"/>
      <c r="F285" s="391"/>
      <c r="G285" s="79"/>
      <c r="H285" s="1554" t="b">
        <v>0</v>
      </c>
      <c r="I285" s="395"/>
      <c r="J285" s="1554" t="b">
        <v>0</v>
      </c>
      <c r="K285" s="395"/>
      <c r="L285" s="391"/>
      <c r="M285" s="391"/>
      <c r="N285" s="1469"/>
      <c r="O285" s="391"/>
      <c r="P285" s="391"/>
      <c r="Q285" s="391"/>
      <c r="R285" s="391"/>
      <c r="S285" s="391"/>
      <c r="U285" s="1016">
        <f t="shared" si="10"/>
        <v>0</v>
      </c>
      <c r="V285" s="1519">
        <v>4.0</v>
      </c>
      <c r="W285" s="391"/>
      <c r="X285" s="79" t="b">
        <v>0</v>
      </c>
      <c r="Y285" s="391"/>
      <c r="Z285" s="33" t="b">
        <v>0</v>
      </c>
      <c r="AA285" s="391"/>
      <c r="AB285" s="79" t="b">
        <v>0</v>
      </c>
      <c r="AC285" s="391"/>
      <c r="AD285" s="79" t="b">
        <v>0</v>
      </c>
      <c r="AE285" s="395"/>
      <c r="AF285" s="741"/>
      <c r="AG285" s="395"/>
      <c r="AH285" s="741"/>
      <c r="AI285" s="395"/>
      <c r="AJ285" s="741"/>
      <c r="AK285" s="395"/>
      <c r="AL285" s="741"/>
      <c r="AM285" s="395"/>
      <c r="AN285" s="741"/>
      <c r="AO285" s="395"/>
      <c r="AP285" s="741"/>
      <c r="AQ285" s="395"/>
      <c r="AR285" s="741"/>
      <c r="AS285" s="395"/>
      <c r="AT285" s="741"/>
      <c r="AU285" s="391"/>
      <c r="AV285" s="792"/>
    </row>
    <row r="286" ht="27.75" hidden="1" customHeight="1">
      <c r="A286" s="79">
        <f t="shared" si="9"/>
        <v>44</v>
      </c>
      <c r="B286" s="395"/>
      <c r="C286" s="391"/>
      <c r="D286" s="391"/>
      <c r="E286" s="1469"/>
      <c r="F286" s="391"/>
      <c r="G286" s="79"/>
      <c r="H286" s="1554" t="b">
        <v>0</v>
      </c>
      <c r="I286" s="395"/>
      <c r="J286" s="1554" t="b">
        <v>0</v>
      </c>
      <c r="K286" s="395"/>
      <c r="L286" s="391"/>
      <c r="M286" s="391"/>
      <c r="N286" s="1469"/>
      <c r="O286" s="391"/>
      <c r="P286" s="391"/>
      <c r="Q286" s="391"/>
      <c r="R286" s="391"/>
      <c r="S286" s="391"/>
      <c r="U286" s="1016">
        <f t="shared" si="10"/>
        <v>0</v>
      </c>
      <c r="V286" s="1519">
        <v>4.0</v>
      </c>
      <c r="W286" s="391"/>
      <c r="X286" s="79" t="b">
        <v>0</v>
      </c>
      <c r="Y286" s="391"/>
      <c r="Z286" s="33" t="b">
        <v>0</v>
      </c>
      <c r="AA286" s="391"/>
      <c r="AB286" s="79" t="b">
        <v>0</v>
      </c>
      <c r="AC286" s="391"/>
      <c r="AD286" s="79" t="b">
        <v>0</v>
      </c>
      <c r="AE286" s="395"/>
      <c r="AF286" s="741"/>
      <c r="AG286" s="395"/>
      <c r="AH286" s="741"/>
      <c r="AI286" s="395"/>
      <c r="AJ286" s="741"/>
      <c r="AK286" s="395"/>
      <c r="AL286" s="741"/>
      <c r="AM286" s="395"/>
      <c r="AN286" s="741"/>
      <c r="AO286" s="395"/>
      <c r="AP286" s="741"/>
      <c r="AQ286" s="395"/>
      <c r="AR286" s="741"/>
      <c r="AS286" s="395"/>
      <c r="AT286" s="741"/>
      <c r="AU286" s="391"/>
      <c r="AV286" s="792"/>
    </row>
  </sheetData>
  <autoFilter ref="$A$3:$AU$286">
    <filterColumn colId="6">
      <filters>
        <filter val="Expired"/>
      </filters>
    </filterColumn>
    <sortState ref="A3:AU286">
      <sortCondition ref="A3:A286"/>
      <sortCondition ref="B3:B286"/>
    </sortState>
  </autoFilter>
  <customSheetViews>
    <customSheetView guid="{5DF2DC61-0997-469A-9C3E-DACAAA62DD4B}" filter="1" showAutoFilter="1">
      <autoFilter ref="$A$3:$AU$147">
        <sortState ref="A3:AU147">
          <sortCondition ref="A3:A147"/>
          <sortCondition ref="B3:B147"/>
        </sortState>
      </autoFilter>
    </customSheetView>
    <customSheetView guid="{53F73B74-79FC-4033-B99B-EE0ADA954C95}" filter="1" showAutoFilter="1">
      <autoFilter ref="$A$3:$AU$133">
        <sortState ref="A3:AU133">
          <sortCondition ref="A3:A133"/>
        </sortState>
      </autoFilter>
    </customSheetView>
  </customSheetViews>
  <mergeCells count="9">
    <mergeCell ref="AI3:AJ3"/>
    <mergeCell ref="AK3:AL3"/>
    <mergeCell ref="U3:V3"/>
    <mergeCell ref="W3:X3"/>
    <mergeCell ref="Y3:Z3"/>
    <mergeCell ref="AA3:AB3"/>
    <mergeCell ref="AC3:AD3"/>
    <mergeCell ref="AE3:AF3"/>
    <mergeCell ref="AG3:AH3"/>
  </mergeCells>
  <conditionalFormatting sqref="W4:W283 X4:X286 Y4:Y283 Z4:Z286 AA4:AA283 AB4:AB286 AC4:AC283 AD4:AD286 AE4:AE281 AF4:AF286 AG4:AG281 AH4:AH286 AI4:AI281 AJ4:AJ286 AK4:AK281 AL4:AL286 AM4:AM281 AN4:AN286 AO4:AO281 AP4:AP286 AQ4:AQ281 AR4:AR286 AS4:AS281 AT4:AU286 T30 AV101">
    <cfRule type="cellIs" dxfId="0" priority="1" operator="equal">
      <formula>"TRUE"</formula>
    </cfRule>
  </conditionalFormatting>
  <conditionalFormatting sqref="W4:W283 X4:X286 Y4:Y283 Z4:Z286 AA4:AA283 AB4:AB286 AC4:AC283 AD4:AD286 AE4:AE281 AF4:AF286 AG4:AG281 AH4:AH286 AI4:AI281 AJ4:AJ286 AK4:AK281 AL4:AL286 AM4:AM281 AN4:AN286 AO4:AO281 AP4:AP286 AQ4:AQ281 AR4:AR286 AS4:AS281 AT4:AU286 T30 AV101">
    <cfRule type="expression" dxfId="1" priority="2">
      <formula>AND(ISNUMBER(W4),TRUNC(W4)&lt;TODAY())</formula>
    </cfRule>
  </conditionalFormatting>
  <conditionalFormatting sqref="W4:W283 X4:X286 Y4:Y283 Z4:Z286 AA4:AA283 AB4:AB286 AC4:AC283 AD4:AD286 AE4:AE281 AF4:AF286 AG4:AG281 AH4:AH286 AI4:AI281 AJ4:AJ286 AK4:AK281 AL4:AL286 AM4:AM281 AN4:AN286 AO4:AO281 AP4:AP286 AQ4:AQ281 AR4:AR286 AS4:AS281 AT4:AU286 T30 AV101">
    <cfRule type="expression" dxfId="2" priority="3">
      <formula>AND(ISNUMBER(W4),TRUNC(W4)&gt;TODAY())</formula>
    </cfRule>
  </conditionalFormatting>
  <conditionalFormatting sqref="N4:N40 N43:N51 N56:N59 N61 N75:N85 N89:N92 N94:N106 N108 N110:N160 N163:N177 N181 N206">
    <cfRule type="notContainsBlanks" dxfId="3" priority="4">
      <formula>LEN(TRIM(N4))&gt;0</formula>
    </cfRule>
  </conditionalFormatting>
  <conditionalFormatting sqref="R77">
    <cfRule type="notContainsBlanks" dxfId="3" priority="5">
      <formula>LEN(TRIM(R77))&gt;0</formula>
    </cfRule>
  </conditionalFormatting>
  <dataValidations>
    <dataValidation type="list" allowBlank="1" showErrorMessage="1" sqref="G4:G286">
      <formula1>"Send,Signed,Paid / Active,Waiting,Not renew,Expired"</formula1>
    </dataValidation>
  </dataValidations>
  <hyperlinks>
    <hyperlink r:id="rId4" ref="F5"/>
    <hyperlink r:id="rId5" ref="N31"/>
    <hyperlink r:id="rId6" ref="F39"/>
    <hyperlink r:id="rId7" ref="F54"/>
    <hyperlink r:id="rId8" ref="N89"/>
    <hyperlink r:id="rId9" ref="F101"/>
    <hyperlink r:id="rId10" ref="F103"/>
    <hyperlink r:id="rId11" ref="F123"/>
    <hyperlink r:id="rId12" ref="F135"/>
    <hyperlink r:id="rId13" ref="F157"/>
    <hyperlink r:id="rId14" ref="F217"/>
    <hyperlink r:id="rId15" ref="F220"/>
    <hyperlink r:id="rId16" ref="F226"/>
  </hyperlinks>
  <printOptions horizontalCentered="1"/>
  <pageMargins bottom="0.75" footer="0.0" header="0.0" left="0.25" right="0.25" top="0.75"/>
  <pageSetup fitToHeight="0" paperSize="9" orientation="landscape"/>
  <drawing r:id="rId17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0.14"/>
    <col customWidth="1" min="2" max="2" width="52.43"/>
    <col customWidth="1" min="3" max="5" width="14.43"/>
    <col customWidth="1" min="6" max="6" width="41.43"/>
    <col customWidth="1" min="7" max="7" width="7.29"/>
    <col customWidth="1" min="8" max="8" width="10.86"/>
    <col customWidth="1" min="9" max="9" width="11.29"/>
    <col customWidth="1" min="10" max="10" width="7.29"/>
    <col customWidth="1" min="11" max="11" width="11.29"/>
    <col customWidth="1" min="12" max="12" width="7.29"/>
    <col customWidth="1" min="13" max="13" width="11.29"/>
    <col customWidth="1" min="14" max="14" width="7.29"/>
    <col customWidth="1" min="15" max="15" width="11.29"/>
    <col customWidth="1" min="16" max="16" width="7.29"/>
    <col customWidth="1" min="17" max="17" width="11.29"/>
    <col customWidth="1" min="18" max="18" width="7.29"/>
    <col customWidth="1" min="19" max="19" width="11.29"/>
    <col customWidth="1" min="20" max="20" width="4.57"/>
    <col customWidth="1" min="21" max="21" width="10.86"/>
    <col customWidth="1" min="22" max="22" width="4.57"/>
    <col customWidth="1" min="23" max="23" width="11.0"/>
    <col customWidth="1" min="24" max="24" width="4.57"/>
    <col customWidth="1" min="25" max="25" width="11.14"/>
    <col customWidth="1" min="26" max="26" width="4.57"/>
    <col customWidth="1" min="27" max="27" width="11.0"/>
    <col customWidth="1" min="28" max="28" width="4.57"/>
    <col customWidth="1" min="29" max="29" width="9.57"/>
    <col customWidth="1" min="30" max="30" width="4.57"/>
    <col customWidth="1" min="31" max="31" width="9.57"/>
    <col customWidth="1" min="32" max="32" width="7.29"/>
    <col customWidth="1" min="33" max="33" width="43.0"/>
    <col customWidth="1" hidden="1" min="34" max="34" width="69.57"/>
  </cols>
  <sheetData>
    <row r="1" ht="52.5" customHeight="1">
      <c r="A1" s="10"/>
      <c r="B1" s="13" t="s">
        <v>1</v>
      </c>
      <c r="C1" s="7"/>
      <c r="D1" s="7"/>
      <c r="E1" s="7"/>
      <c r="F1" s="7"/>
      <c r="G1" s="7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21"/>
      <c r="AH1" s="22"/>
    </row>
    <row r="2" ht="7.5" customHeight="1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ht="37.5" customHeight="1">
      <c r="A3" s="38" t="s">
        <v>3</v>
      </c>
      <c r="B3" s="40" t="s">
        <v>4</v>
      </c>
      <c r="C3" s="40" t="s">
        <v>21</v>
      </c>
      <c r="D3" s="40" t="s">
        <v>22</v>
      </c>
      <c r="E3" s="40" t="s">
        <v>23</v>
      </c>
      <c r="F3" s="40" t="s">
        <v>25</v>
      </c>
      <c r="G3" s="42" t="s">
        <v>15</v>
      </c>
      <c r="H3" s="43"/>
      <c r="I3" s="45" t="s">
        <v>18</v>
      </c>
      <c r="J3" s="21"/>
      <c r="K3" s="45" t="s">
        <v>24</v>
      </c>
      <c r="L3" s="21"/>
      <c r="M3" s="45" t="s">
        <v>26</v>
      </c>
      <c r="N3" s="21"/>
      <c r="O3" s="45" t="s">
        <v>27</v>
      </c>
      <c r="P3" s="21"/>
      <c r="Q3" s="45" t="s">
        <v>30</v>
      </c>
      <c r="R3" s="21"/>
      <c r="S3" s="45" t="s">
        <v>32</v>
      </c>
      <c r="T3" s="21"/>
      <c r="U3" s="45" t="s">
        <v>33</v>
      </c>
      <c r="V3" s="21"/>
      <c r="W3" s="45" t="s">
        <v>35</v>
      </c>
      <c r="X3" s="21"/>
      <c r="Y3" s="52" t="s">
        <v>38</v>
      </c>
      <c r="Z3" s="52"/>
      <c r="AA3" s="52" t="s">
        <v>40</v>
      </c>
      <c r="AB3" s="52"/>
      <c r="AC3" s="52" t="s">
        <v>41</v>
      </c>
      <c r="AD3" s="52"/>
      <c r="AE3" s="52" t="s">
        <v>42</v>
      </c>
      <c r="AF3" s="52"/>
      <c r="AG3" s="52" t="s">
        <v>39</v>
      </c>
      <c r="AH3" s="53" t="s">
        <v>12</v>
      </c>
    </row>
    <row r="4" ht="22.5" customHeight="1">
      <c r="A4" s="58">
        <f t="shared" ref="A4:A17" si="1">SUBTOTAL(3,$B$4:B4)</f>
        <v>1</v>
      </c>
      <c r="B4" s="62" t="s">
        <v>45</v>
      </c>
      <c r="C4" s="65">
        <v>45744.0</v>
      </c>
      <c r="D4" s="67" t="s">
        <v>50</v>
      </c>
      <c r="E4" s="68" t="b">
        <v>0</v>
      </c>
      <c r="F4" s="69"/>
      <c r="G4" s="73">
        <f t="shared" ref="G4:G17" si="2">COUNTIFS(I4:AG4,"True")</f>
        <v>5</v>
      </c>
      <c r="H4" s="75">
        <v>6.0</v>
      </c>
      <c r="I4" s="78">
        <v>44562.0</v>
      </c>
      <c r="J4" s="83" t="b">
        <v>1</v>
      </c>
      <c r="K4" s="87">
        <v>45085.0</v>
      </c>
      <c r="L4" s="83" t="b">
        <v>1</v>
      </c>
      <c r="M4" s="78">
        <v>45379.0</v>
      </c>
      <c r="N4" s="68" t="b">
        <v>1</v>
      </c>
      <c r="O4" s="93">
        <v>45563.0</v>
      </c>
      <c r="P4" s="68" t="b">
        <v>1</v>
      </c>
      <c r="Q4" s="96">
        <v>45744.0</v>
      </c>
      <c r="R4" s="68" t="b">
        <v>1</v>
      </c>
      <c r="S4" s="93">
        <v>45926.0</v>
      </c>
      <c r="T4" s="68" t="b">
        <v>0</v>
      </c>
      <c r="U4" s="93"/>
      <c r="V4" s="68" t="b">
        <v>0</v>
      </c>
      <c r="W4" s="93"/>
      <c r="X4" s="68" t="b">
        <v>0</v>
      </c>
      <c r="Y4" s="68"/>
      <c r="Z4" s="68" t="b">
        <v>0</v>
      </c>
      <c r="AA4" s="68"/>
      <c r="AB4" s="68" t="b">
        <v>0</v>
      </c>
      <c r="AC4" s="68"/>
      <c r="AD4" s="68" t="b">
        <v>0</v>
      </c>
      <c r="AE4" s="68"/>
      <c r="AF4" s="68" t="b">
        <v>0</v>
      </c>
      <c r="AG4" s="108" t="s">
        <v>58</v>
      </c>
      <c r="AH4" s="110"/>
    </row>
    <row r="5" ht="22.5" customHeight="1">
      <c r="A5" s="58">
        <f t="shared" si="1"/>
        <v>2</v>
      </c>
      <c r="B5" s="113" t="s">
        <v>59</v>
      </c>
      <c r="C5" s="65">
        <v>45797.0</v>
      </c>
      <c r="D5" s="67" t="s">
        <v>60</v>
      </c>
      <c r="E5" s="68" t="b">
        <v>0</v>
      </c>
      <c r="F5" s="67"/>
      <c r="G5" s="73">
        <f t="shared" si="2"/>
        <v>3</v>
      </c>
      <c r="H5" s="75">
        <v>4.0</v>
      </c>
      <c r="I5" s="78">
        <v>45246.0</v>
      </c>
      <c r="J5" s="68" t="b">
        <v>1</v>
      </c>
      <c r="K5" s="87">
        <v>45422.0</v>
      </c>
      <c r="L5" s="83" t="b">
        <v>1</v>
      </c>
      <c r="M5" s="87">
        <v>45618.0</v>
      </c>
      <c r="N5" s="83" t="b">
        <v>1</v>
      </c>
      <c r="O5" s="93">
        <v>45797.0</v>
      </c>
      <c r="P5" s="68" t="b">
        <v>0</v>
      </c>
      <c r="Q5" s="93"/>
      <c r="R5" s="68"/>
      <c r="S5" s="93"/>
      <c r="T5" s="68"/>
      <c r="U5" s="93"/>
      <c r="V5" s="68"/>
      <c r="W5" s="93"/>
      <c r="X5" s="68"/>
      <c r="Y5" s="68"/>
      <c r="Z5" s="68"/>
      <c r="AA5" s="68"/>
      <c r="AB5" s="68"/>
      <c r="AC5" s="68"/>
      <c r="AD5" s="68"/>
      <c r="AE5" s="68"/>
      <c r="AF5" s="68"/>
      <c r="AG5" s="108"/>
      <c r="AH5" s="120"/>
    </row>
    <row r="6" ht="22.5" customHeight="1">
      <c r="A6" s="58">
        <f t="shared" si="1"/>
        <v>3</v>
      </c>
      <c r="B6" s="62" t="s">
        <v>61</v>
      </c>
      <c r="C6" s="65">
        <v>45797.0</v>
      </c>
      <c r="D6" s="67" t="s">
        <v>60</v>
      </c>
      <c r="E6" s="68" t="b">
        <v>0</v>
      </c>
      <c r="F6" s="67"/>
      <c r="G6" s="73">
        <f t="shared" si="2"/>
        <v>3</v>
      </c>
      <c r="H6" s="75">
        <v>4.0</v>
      </c>
      <c r="I6" s="78">
        <v>45211.0</v>
      </c>
      <c r="J6" s="83" t="b">
        <v>1</v>
      </c>
      <c r="K6" s="87">
        <v>45422.0</v>
      </c>
      <c r="L6" s="83" t="b">
        <v>1</v>
      </c>
      <c r="M6" s="87">
        <v>45618.0</v>
      </c>
      <c r="N6" s="83" t="b">
        <v>1</v>
      </c>
      <c r="O6" s="93">
        <v>45786.0</v>
      </c>
      <c r="P6" s="68" t="b">
        <v>0</v>
      </c>
      <c r="Q6" s="93"/>
      <c r="R6" s="68"/>
      <c r="S6" s="93"/>
      <c r="T6" s="68"/>
      <c r="U6" s="93"/>
      <c r="V6" s="68"/>
      <c r="W6" s="93"/>
      <c r="X6" s="68"/>
      <c r="Y6" s="68"/>
      <c r="Z6" s="68"/>
      <c r="AA6" s="68"/>
      <c r="AB6" s="68"/>
      <c r="AC6" s="68"/>
      <c r="AD6" s="68"/>
      <c r="AE6" s="68"/>
      <c r="AF6" s="68"/>
      <c r="AG6" s="108"/>
      <c r="AH6" s="110"/>
    </row>
    <row r="7" ht="22.5" customHeight="1">
      <c r="A7" s="58">
        <f t="shared" si="1"/>
        <v>4</v>
      </c>
      <c r="B7" s="62" t="s">
        <v>64</v>
      </c>
      <c r="C7" s="65">
        <v>45926.0</v>
      </c>
      <c r="D7" s="67" t="s">
        <v>60</v>
      </c>
      <c r="E7" s="68" t="b">
        <v>0</v>
      </c>
      <c r="F7" s="67"/>
      <c r="G7" s="73">
        <f t="shared" si="2"/>
        <v>3</v>
      </c>
      <c r="H7" s="75">
        <v>4.0</v>
      </c>
      <c r="I7" s="78">
        <v>45380.0</v>
      </c>
      <c r="J7" s="83" t="b">
        <v>1</v>
      </c>
      <c r="K7" s="87">
        <v>45566.0</v>
      </c>
      <c r="L7" s="83" t="b">
        <v>1</v>
      </c>
      <c r="M7" s="87">
        <v>45677.0</v>
      </c>
      <c r="N7" s="83" t="b">
        <v>1</v>
      </c>
      <c r="O7" s="93">
        <v>45926.0</v>
      </c>
      <c r="P7" s="68" t="b">
        <v>0</v>
      </c>
      <c r="Q7" s="93"/>
      <c r="R7" s="68"/>
      <c r="S7" s="93"/>
      <c r="T7" s="68"/>
      <c r="U7" s="93"/>
      <c r="V7" s="68"/>
      <c r="W7" s="93"/>
      <c r="X7" s="68"/>
      <c r="Y7" s="68"/>
      <c r="Z7" s="68"/>
      <c r="AA7" s="68"/>
      <c r="AB7" s="68"/>
      <c r="AC7" s="68"/>
      <c r="AD7" s="68"/>
      <c r="AE7" s="68"/>
      <c r="AF7" s="68"/>
      <c r="AG7" s="108"/>
      <c r="AH7" s="110"/>
    </row>
    <row r="8" ht="22.5" customHeight="1">
      <c r="A8" s="58">
        <f t="shared" si="1"/>
        <v>5</v>
      </c>
      <c r="B8" s="62" t="s">
        <v>70</v>
      </c>
      <c r="C8" s="65">
        <v>45926.0</v>
      </c>
      <c r="D8" s="67" t="s">
        <v>60</v>
      </c>
      <c r="E8" s="68" t="b">
        <v>0</v>
      </c>
      <c r="F8" s="129"/>
      <c r="G8" s="73">
        <f t="shared" si="2"/>
        <v>3</v>
      </c>
      <c r="H8" s="75">
        <v>4.0</v>
      </c>
      <c r="I8" s="78">
        <v>45380.0</v>
      </c>
      <c r="J8" s="83" t="b">
        <v>1</v>
      </c>
      <c r="K8" s="87">
        <v>45566.0</v>
      </c>
      <c r="L8" s="83" t="b">
        <v>1</v>
      </c>
      <c r="M8" s="87">
        <v>45677.0</v>
      </c>
      <c r="N8" s="83" t="b">
        <v>1</v>
      </c>
      <c r="O8" s="93">
        <v>45926.0</v>
      </c>
      <c r="P8" s="68" t="b">
        <v>0</v>
      </c>
      <c r="Q8" s="93"/>
      <c r="R8" s="68"/>
      <c r="S8" s="93"/>
      <c r="T8" s="68"/>
      <c r="U8" s="93"/>
      <c r="V8" s="68"/>
      <c r="W8" s="93"/>
      <c r="X8" s="68"/>
      <c r="Y8" s="68"/>
      <c r="Z8" s="68"/>
      <c r="AA8" s="68"/>
      <c r="AB8" s="68"/>
      <c r="AC8" s="68"/>
      <c r="AD8" s="68"/>
      <c r="AE8" s="68"/>
      <c r="AF8" s="68"/>
      <c r="AG8" s="108"/>
      <c r="AH8" s="110"/>
    </row>
    <row r="9" ht="22.5" customHeight="1">
      <c r="A9" s="58">
        <f t="shared" si="1"/>
        <v>6</v>
      </c>
      <c r="B9" s="62" t="s">
        <v>71</v>
      </c>
      <c r="C9" s="133"/>
      <c r="D9" s="129"/>
      <c r="E9" s="68" t="b">
        <v>0</v>
      </c>
      <c r="F9" s="129"/>
      <c r="G9" s="73">
        <f t="shared" si="2"/>
        <v>1</v>
      </c>
      <c r="H9" s="75">
        <v>4.0</v>
      </c>
      <c r="I9" s="78">
        <v>45548.0</v>
      </c>
      <c r="J9" s="83" t="b">
        <v>1</v>
      </c>
      <c r="K9" s="87">
        <v>45589.0</v>
      </c>
      <c r="L9" s="83" t="b">
        <v>0</v>
      </c>
      <c r="M9" s="87">
        <v>45771.0</v>
      </c>
      <c r="N9" s="136" t="b">
        <v>0</v>
      </c>
      <c r="O9" s="93">
        <v>45954.0</v>
      </c>
      <c r="P9" s="137" t="b">
        <v>0</v>
      </c>
      <c r="Q9" s="93"/>
      <c r="R9" s="68"/>
      <c r="S9" s="93"/>
      <c r="T9" s="68"/>
      <c r="U9" s="93"/>
      <c r="V9" s="68"/>
      <c r="W9" s="93"/>
      <c r="X9" s="68"/>
      <c r="Y9" s="68"/>
      <c r="Z9" s="68"/>
      <c r="AA9" s="68"/>
      <c r="AB9" s="68"/>
      <c r="AC9" s="68"/>
      <c r="AD9" s="68"/>
      <c r="AE9" s="68"/>
      <c r="AF9" s="68"/>
      <c r="AG9" s="108"/>
      <c r="AH9" s="110"/>
    </row>
    <row r="10" ht="22.5" customHeight="1">
      <c r="A10" s="58">
        <f t="shared" si="1"/>
        <v>7</v>
      </c>
      <c r="B10" s="62" t="s">
        <v>81</v>
      </c>
      <c r="C10" s="133">
        <v>45811.0</v>
      </c>
      <c r="D10" s="129" t="s">
        <v>82</v>
      </c>
      <c r="E10" s="68" t="b">
        <v>0</v>
      </c>
      <c r="F10" s="129"/>
      <c r="G10" s="73">
        <f t="shared" si="2"/>
        <v>2</v>
      </c>
      <c r="H10" s="75">
        <v>4.0</v>
      </c>
      <c r="I10" s="142">
        <v>45492.0</v>
      </c>
      <c r="J10" s="68" t="b">
        <v>1</v>
      </c>
      <c r="K10" s="142">
        <v>45705.0</v>
      </c>
      <c r="L10" s="68" t="b">
        <v>1</v>
      </c>
      <c r="M10" s="93">
        <v>45811.0</v>
      </c>
      <c r="N10" s="143" t="b">
        <v>0</v>
      </c>
      <c r="O10" s="93">
        <v>45993.0</v>
      </c>
      <c r="P10" s="137" t="b">
        <v>0</v>
      </c>
      <c r="Q10" s="93"/>
      <c r="R10" s="68"/>
      <c r="S10" s="93"/>
      <c r="T10" s="68"/>
      <c r="U10" s="93"/>
      <c r="V10" s="68"/>
      <c r="W10" s="93"/>
      <c r="X10" s="68"/>
      <c r="Y10" s="68"/>
      <c r="Z10" s="68"/>
      <c r="AA10" s="68"/>
      <c r="AB10" s="68"/>
      <c r="AC10" s="68"/>
      <c r="AD10" s="68"/>
      <c r="AE10" s="68"/>
      <c r="AF10" s="68"/>
      <c r="AG10" s="108"/>
      <c r="AH10" s="145" t="s">
        <v>87</v>
      </c>
    </row>
    <row r="11" ht="22.5" customHeight="1">
      <c r="A11" s="58">
        <f t="shared" si="1"/>
        <v>8</v>
      </c>
      <c r="B11" s="62" t="s">
        <v>91</v>
      </c>
      <c r="C11" s="133">
        <v>45870.0</v>
      </c>
      <c r="D11" s="129" t="s">
        <v>60</v>
      </c>
      <c r="E11" s="68" t="b">
        <v>0</v>
      </c>
      <c r="F11" s="129"/>
      <c r="G11" s="73">
        <f t="shared" si="2"/>
        <v>3</v>
      </c>
      <c r="H11" s="75">
        <v>4.0</v>
      </c>
      <c r="I11" s="78">
        <v>45327.0</v>
      </c>
      <c r="J11" s="83" t="b">
        <v>1</v>
      </c>
      <c r="K11" s="87">
        <v>45534.0</v>
      </c>
      <c r="L11" s="83" t="b">
        <v>1</v>
      </c>
      <c r="M11" s="87">
        <v>45695.0</v>
      </c>
      <c r="N11" s="68" t="b">
        <v>1</v>
      </c>
      <c r="O11" s="93">
        <v>45870.0</v>
      </c>
      <c r="P11" s="137" t="b">
        <v>0</v>
      </c>
      <c r="Q11" s="93"/>
      <c r="R11" s="68"/>
      <c r="S11" s="93"/>
      <c r="T11" s="68"/>
      <c r="U11" s="93"/>
      <c r="V11" s="68"/>
      <c r="W11" s="93"/>
      <c r="X11" s="68"/>
      <c r="Y11" s="68"/>
      <c r="Z11" s="68"/>
      <c r="AA11" s="68"/>
      <c r="AB11" s="68"/>
      <c r="AC11" s="68"/>
      <c r="AD11" s="68"/>
      <c r="AE11" s="68"/>
      <c r="AF11" s="68"/>
      <c r="AG11" s="108"/>
      <c r="AH11" s="110"/>
    </row>
    <row r="12" ht="22.5" customHeight="1">
      <c r="A12" s="58">
        <f t="shared" si="1"/>
        <v>9</v>
      </c>
      <c r="B12" s="62" t="s">
        <v>97</v>
      </c>
      <c r="C12" s="133">
        <v>45870.0</v>
      </c>
      <c r="D12" s="129" t="s">
        <v>60</v>
      </c>
      <c r="E12" s="68" t="b">
        <v>0</v>
      </c>
      <c r="F12" s="129"/>
      <c r="G12" s="73">
        <f t="shared" si="2"/>
        <v>3</v>
      </c>
      <c r="H12" s="75">
        <v>4.0</v>
      </c>
      <c r="I12" s="159">
        <v>45327.0</v>
      </c>
      <c r="J12" s="68" t="b">
        <v>1</v>
      </c>
      <c r="K12" s="87">
        <v>45534.0</v>
      </c>
      <c r="L12" s="83" t="b">
        <v>1</v>
      </c>
      <c r="M12" s="87">
        <v>45695.0</v>
      </c>
      <c r="N12" s="68" t="b">
        <v>1</v>
      </c>
      <c r="O12" s="93">
        <v>45870.0</v>
      </c>
      <c r="P12" s="68" t="b">
        <v>0</v>
      </c>
      <c r="Q12" s="93"/>
      <c r="R12" s="68"/>
      <c r="S12" s="93"/>
      <c r="T12" s="68"/>
      <c r="U12" s="93"/>
      <c r="V12" s="68"/>
      <c r="W12" s="93"/>
      <c r="X12" s="68"/>
      <c r="Y12" s="68"/>
      <c r="Z12" s="68"/>
      <c r="AA12" s="68"/>
      <c r="AB12" s="68"/>
      <c r="AC12" s="68"/>
      <c r="AD12" s="68"/>
      <c r="AE12" s="68"/>
      <c r="AF12" s="68"/>
      <c r="AG12" s="108"/>
      <c r="AH12" s="165" t="s">
        <v>99</v>
      </c>
    </row>
    <row r="13" ht="22.5" customHeight="1">
      <c r="A13" s="58">
        <f t="shared" si="1"/>
        <v>10</v>
      </c>
      <c r="B13" s="62" t="s">
        <v>100</v>
      </c>
      <c r="C13" s="133">
        <v>45870.0</v>
      </c>
      <c r="D13" s="129" t="s">
        <v>60</v>
      </c>
      <c r="E13" s="68" t="b">
        <v>0</v>
      </c>
      <c r="F13" s="129"/>
      <c r="G13" s="73">
        <f t="shared" si="2"/>
        <v>3</v>
      </c>
      <c r="H13" s="75">
        <v>4.0</v>
      </c>
      <c r="I13" s="159">
        <v>45302.0</v>
      </c>
      <c r="J13" s="68" t="b">
        <v>1</v>
      </c>
      <c r="K13" s="87">
        <v>45534.0</v>
      </c>
      <c r="L13" s="83" t="b">
        <v>1</v>
      </c>
      <c r="M13" s="87">
        <v>45695.0</v>
      </c>
      <c r="N13" s="68" t="b">
        <v>1</v>
      </c>
      <c r="O13" s="93">
        <v>45870.0</v>
      </c>
      <c r="P13" s="68" t="b">
        <v>0</v>
      </c>
      <c r="Q13" s="93"/>
      <c r="R13" s="68"/>
      <c r="S13" s="93"/>
      <c r="T13" s="68"/>
      <c r="U13" s="93"/>
      <c r="V13" s="68"/>
      <c r="W13" s="93"/>
      <c r="X13" s="68"/>
      <c r="Y13" s="68"/>
      <c r="Z13" s="68"/>
      <c r="AA13" s="68"/>
      <c r="AB13" s="68"/>
      <c r="AC13" s="68"/>
      <c r="AD13" s="68"/>
      <c r="AE13" s="68"/>
      <c r="AF13" s="68"/>
      <c r="AG13" s="108"/>
      <c r="AH13" s="173" t="s">
        <v>107</v>
      </c>
    </row>
    <row r="14" ht="22.5" customHeight="1">
      <c r="A14" s="58">
        <f t="shared" si="1"/>
        <v>11</v>
      </c>
      <c r="B14" s="62" t="s">
        <v>113</v>
      </c>
      <c r="C14" s="133">
        <v>45870.0</v>
      </c>
      <c r="D14" s="129" t="s">
        <v>60</v>
      </c>
      <c r="E14" s="68" t="b">
        <v>0</v>
      </c>
      <c r="F14" s="129"/>
      <c r="G14" s="73">
        <f t="shared" si="2"/>
        <v>3</v>
      </c>
      <c r="H14" s="75">
        <v>4.0</v>
      </c>
      <c r="I14" s="78">
        <v>45337.0</v>
      </c>
      <c r="J14" s="68" t="b">
        <v>1</v>
      </c>
      <c r="K14" s="87">
        <v>45534.0</v>
      </c>
      <c r="L14" s="83" t="b">
        <v>1</v>
      </c>
      <c r="M14" s="87">
        <v>45695.0</v>
      </c>
      <c r="N14" s="68" t="b">
        <v>1</v>
      </c>
      <c r="O14" s="93">
        <v>45870.0</v>
      </c>
      <c r="P14" s="137" t="b">
        <v>0</v>
      </c>
      <c r="Q14" s="93"/>
      <c r="R14" s="68"/>
      <c r="S14" s="93"/>
      <c r="T14" s="68"/>
      <c r="U14" s="93"/>
      <c r="V14" s="68"/>
      <c r="W14" s="93"/>
      <c r="X14" s="68"/>
      <c r="Y14" s="68"/>
      <c r="Z14" s="68"/>
      <c r="AA14" s="68"/>
      <c r="AB14" s="68"/>
      <c r="AC14" s="68"/>
      <c r="AD14" s="68"/>
      <c r="AE14" s="68"/>
      <c r="AF14" s="68"/>
      <c r="AG14" s="108"/>
      <c r="AH14" s="173" t="s">
        <v>115</v>
      </c>
    </row>
    <row r="15" ht="22.5" customHeight="1">
      <c r="A15" s="58">
        <f t="shared" si="1"/>
        <v>12</v>
      </c>
      <c r="B15" s="177" t="s">
        <v>116</v>
      </c>
      <c r="C15" s="129"/>
      <c r="D15" s="129"/>
      <c r="E15" s="68" t="b">
        <v>0</v>
      </c>
      <c r="F15" s="129"/>
      <c r="G15" s="73">
        <f t="shared" si="2"/>
        <v>0</v>
      </c>
      <c r="H15" s="75">
        <v>4.0</v>
      </c>
      <c r="I15" s="179"/>
      <c r="J15" s="180" t="b">
        <v>0</v>
      </c>
      <c r="K15" s="181"/>
      <c r="L15" s="183" t="b">
        <v>0</v>
      </c>
      <c r="M15" s="181"/>
      <c r="N15" s="184" t="b">
        <v>0</v>
      </c>
      <c r="O15" s="185"/>
      <c r="P15" s="187" t="b">
        <v>0</v>
      </c>
      <c r="Q15" s="181"/>
      <c r="R15" s="189"/>
      <c r="S15" s="181"/>
      <c r="T15" s="189"/>
      <c r="U15" s="181"/>
      <c r="V15" s="189"/>
      <c r="W15" s="181"/>
      <c r="X15" s="189"/>
      <c r="Y15" s="189"/>
      <c r="Z15" s="189"/>
      <c r="AA15" s="189"/>
      <c r="AB15" s="189"/>
      <c r="AC15" s="189"/>
      <c r="AD15" s="189"/>
      <c r="AE15" s="189"/>
      <c r="AF15" s="189"/>
      <c r="AG15" s="191"/>
      <c r="AH15" s="194"/>
    </row>
    <row r="16" ht="22.5" customHeight="1">
      <c r="A16" s="58">
        <f t="shared" si="1"/>
        <v>13</v>
      </c>
      <c r="B16" s="177" t="s">
        <v>126</v>
      </c>
      <c r="C16" s="129"/>
      <c r="D16" s="129"/>
      <c r="E16" s="68" t="b">
        <v>0</v>
      </c>
      <c r="F16" s="129"/>
      <c r="G16" s="73">
        <f t="shared" si="2"/>
        <v>0</v>
      </c>
      <c r="H16" s="75">
        <v>4.0</v>
      </c>
      <c r="I16" s="199"/>
      <c r="J16" s="183" t="b">
        <v>0</v>
      </c>
      <c r="K16" s="199"/>
      <c r="L16" s="183" t="b">
        <v>0</v>
      </c>
      <c r="M16" s="199"/>
      <c r="N16" s="184" t="b">
        <v>0</v>
      </c>
      <c r="O16" s="185"/>
      <c r="P16" s="187" t="b">
        <v>0</v>
      </c>
      <c r="Q16" s="181"/>
      <c r="R16" s="189"/>
      <c r="S16" s="181"/>
      <c r="T16" s="189"/>
      <c r="U16" s="181"/>
      <c r="V16" s="189"/>
      <c r="W16" s="181"/>
      <c r="X16" s="189"/>
      <c r="Y16" s="189"/>
      <c r="Z16" s="189"/>
      <c r="AA16" s="189"/>
      <c r="AB16" s="189"/>
      <c r="AC16" s="189"/>
      <c r="AD16" s="189"/>
      <c r="AE16" s="189"/>
      <c r="AF16" s="189"/>
      <c r="AG16" s="191"/>
      <c r="AH16" s="173" t="s">
        <v>127</v>
      </c>
    </row>
    <row r="17" ht="22.5" customHeight="1">
      <c r="A17" s="58">
        <f t="shared" si="1"/>
        <v>14</v>
      </c>
      <c r="B17" s="202" t="s">
        <v>130</v>
      </c>
      <c r="C17" s="133">
        <v>45916.0</v>
      </c>
      <c r="D17" s="129" t="s">
        <v>82</v>
      </c>
      <c r="E17" s="68" t="b">
        <v>0</v>
      </c>
      <c r="F17" s="129"/>
      <c r="G17" s="73">
        <f t="shared" si="2"/>
        <v>2</v>
      </c>
      <c r="H17" s="75">
        <v>4.0</v>
      </c>
      <c r="I17" s="159">
        <v>45582.0</v>
      </c>
      <c r="J17" s="68" t="b">
        <v>1</v>
      </c>
      <c r="K17" s="142">
        <v>45734.0</v>
      </c>
      <c r="L17" s="68" t="b">
        <v>1</v>
      </c>
      <c r="M17" s="207">
        <v>45916.0</v>
      </c>
      <c r="N17" s="68" t="b">
        <v>0</v>
      </c>
      <c r="O17" s="210">
        <v>46098.0</v>
      </c>
      <c r="P17" s="213" t="b">
        <v>0</v>
      </c>
      <c r="Q17" s="214"/>
      <c r="R17" s="215"/>
      <c r="S17" s="214"/>
      <c r="T17" s="215"/>
      <c r="U17" s="214"/>
      <c r="V17" s="215"/>
      <c r="W17" s="214"/>
      <c r="X17" s="215"/>
      <c r="Y17" s="215"/>
      <c r="Z17" s="215"/>
      <c r="AA17" s="215"/>
      <c r="AB17" s="215"/>
      <c r="AC17" s="215"/>
      <c r="AD17" s="215"/>
      <c r="AE17" s="215"/>
      <c r="AF17" s="215"/>
      <c r="AG17" s="216"/>
      <c r="AH17" s="218" t="s">
        <v>139</v>
      </c>
    </row>
    <row r="18">
      <c r="C18" s="129"/>
      <c r="D18" s="129"/>
      <c r="E18" s="68" t="b">
        <v>0</v>
      </c>
      <c r="F18" s="129"/>
    </row>
    <row r="19" ht="22.5" customHeight="1">
      <c r="A19" s="58">
        <f t="shared" ref="A19:A100" si="3">SUBTOTAL(3,$B$4:B19)</f>
        <v>15</v>
      </c>
      <c r="B19" s="62" t="s">
        <v>147</v>
      </c>
      <c r="C19" s="133">
        <v>45916.0</v>
      </c>
      <c r="D19" s="129" t="s">
        <v>60</v>
      </c>
      <c r="E19" s="68" t="b">
        <v>0</v>
      </c>
      <c r="F19" s="129"/>
      <c r="G19" s="73">
        <f t="shared" ref="G19:G44" si="4">COUNTIFS(I19:AG19,"True")</f>
        <v>3</v>
      </c>
      <c r="H19" s="75">
        <v>4.0</v>
      </c>
      <c r="I19" s="78">
        <v>45381.0</v>
      </c>
      <c r="J19" s="68" t="b">
        <v>1</v>
      </c>
      <c r="K19" s="87">
        <v>45582.0</v>
      </c>
      <c r="L19" s="68" t="b">
        <v>1</v>
      </c>
      <c r="M19" s="87">
        <v>45734.0</v>
      </c>
      <c r="N19" s="68" t="b">
        <v>1</v>
      </c>
      <c r="O19" s="93">
        <v>45916.0</v>
      </c>
      <c r="P19" s="68" t="b">
        <v>0</v>
      </c>
      <c r="Q19" s="93"/>
      <c r="R19" s="68"/>
      <c r="S19" s="93"/>
      <c r="T19" s="68"/>
      <c r="U19" s="93"/>
      <c r="V19" s="68"/>
      <c r="W19" s="93"/>
      <c r="X19" s="68"/>
      <c r="Y19" s="68"/>
      <c r="Z19" s="68"/>
      <c r="AA19" s="68"/>
      <c r="AB19" s="68"/>
      <c r="AC19" s="68"/>
      <c r="AD19" s="68"/>
      <c r="AE19" s="68"/>
      <c r="AF19" s="68"/>
      <c r="AG19" s="108"/>
      <c r="AH19" s="110"/>
    </row>
    <row r="20" ht="22.5" customHeight="1">
      <c r="A20" s="58">
        <f t="shared" si="3"/>
        <v>16</v>
      </c>
      <c r="B20" s="62" t="s">
        <v>153</v>
      </c>
      <c r="C20" s="133">
        <v>45916.0</v>
      </c>
      <c r="D20" s="129" t="s">
        <v>82</v>
      </c>
      <c r="E20" s="68" t="b">
        <v>0</v>
      </c>
      <c r="F20" s="129"/>
      <c r="G20" s="73">
        <f t="shared" si="4"/>
        <v>2</v>
      </c>
      <c r="H20" s="75">
        <v>4.0</v>
      </c>
      <c r="I20" s="78">
        <v>45381.0</v>
      </c>
      <c r="J20" s="68" t="b">
        <v>1</v>
      </c>
      <c r="K20" s="231">
        <v>45582.0</v>
      </c>
      <c r="L20" s="68" t="b">
        <v>1</v>
      </c>
      <c r="M20" s="78">
        <v>45734.0</v>
      </c>
      <c r="N20" s="68" t="b">
        <v>0</v>
      </c>
      <c r="O20" s="236">
        <v>45916.0</v>
      </c>
      <c r="P20" s="68" t="b">
        <v>0</v>
      </c>
      <c r="Q20" s="93"/>
      <c r="R20" s="68"/>
      <c r="S20" s="93"/>
      <c r="T20" s="68"/>
      <c r="U20" s="93"/>
      <c r="V20" s="68"/>
      <c r="W20" s="93"/>
      <c r="X20" s="68"/>
      <c r="Y20" s="68"/>
      <c r="Z20" s="68"/>
      <c r="AA20" s="68"/>
      <c r="AB20" s="68"/>
      <c r="AC20" s="68"/>
      <c r="AD20" s="68"/>
      <c r="AE20" s="68"/>
      <c r="AF20" s="68"/>
      <c r="AG20" s="108"/>
      <c r="AH20" s="120"/>
    </row>
    <row r="21" ht="22.5" customHeight="1">
      <c r="A21" s="58">
        <f t="shared" si="3"/>
        <v>17</v>
      </c>
      <c r="B21" s="62" t="s">
        <v>161</v>
      </c>
      <c r="C21" s="133">
        <v>45811.0</v>
      </c>
      <c r="D21" s="129" t="s">
        <v>60</v>
      </c>
      <c r="E21" s="68" t="b">
        <v>0</v>
      </c>
      <c r="F21" s="129"/>
      <c r="G21" s="73">
        <f t="shared" si="4"/>
        <v>3</v>
      </c>
      <c r="H21" s="75">
        <v>4.0</v>
      </c>
      <c r="I21" s="78">
        <v>45299.0</v>
      </c>
      <c r="J21" s="68" t="b">
        <v>1</v>
      </c>
      <c r="K21" s="87">
        <v>45492.0</v>
      </c>
      <c r="L21" s="68" t="b">
        <v>1</v>
      </c>
      <c r="M21" s="87">
        <v>45633.0</v>
      </c>
      <c r="N21" s="68" t="b">
        <v>1</v>
      </c>
      <c r="O21" s="207">
        <v>45811.0</v>
      </c>
      <c r="P21" s="143" t="b">
        <v>0</v>
      </c>
      <c r="Q21" s="93"/>
      <c r="R21" s="68"/>
      <c r="S21" s="93"/>
      <c r="T21" s="68"/>
      <c r="U21" s="93"/>
      <c r="V21" s="68"/>
      <c r="W21" s="93"/>
      <c r="X21" s="68"/>
      <c r="Y21" s="68"/>
      <c r="Z21" s="68"/>
      <c r="AA21" s="68"/>
      <c r="AB21" s="68"/>
      <c r="AC21" s="68"/>
      <c r="AD21" s="68"/>
      <c r="AE21" s="68"/>
      <c r="AF21" s="68"/>
      <c r="AG21" s="108"/>
      <c r="AH21" s="145" t="s">
        <v>165</v>
      </c>
    </row>
    <row r="22" ht="22.5" customHeight="1">
      <c r="A22" s="58">
        <f t="shared" si="3"/>
        <v>18</v>
      </c>
      <c r="B22" s="62" t="s">
        <v>167</v>
      </c>
      <c r="C22" s="129"/>
      <c r="D22" s="129"/>
      <c r="E22" s="68" t="b">
        <v>0</v>
      </c>
      <c r="F22" s="129"/>
      <c r="G22" s="73">
        <f t="shared" si="4"/>
        <v>1</v>
      </c>
      <c r="H22" s="75">
        <v>4.0</v>
      </c>
      <c r="I22" s="231">
        <v>45588.0</v>
      </c>
      <c r="J22" s="68" t="b">
        <v>1</v>
      </c>
      <c r="K22" s="231">
        <v>45770.0</v>
      </c>
      <c r="L22" s="68" t="b">
        <v>0</v>
      </c>
      <c r="M22" s="231">
        <v>45953.0</v>
      </c>
      <c r="N22" s="68" t="b">
        <v>0</v>
      </c>
      <c r="O22" s="231">
        <v>46135.0</v>
      </c>
      <c r="P22" s="137" t="b">
        <v>0</v>
      </c>
      <c r="Q22" s="87"/>
      <c r="R22" s="143"/>
      <c r="S22" s="87"/>
      <c r="T22" s="143"/>
      <c r="U22" s="87"/>
      <c r="V22" s="143"/>
      <c r="W22" s="87"/>
      <c r="X22" s="143"/>
      <c r="Y22" s="143"/>
      <c r="Z22" s="143"/>
      <c r="AA22" s="143"/>
      <c r="AB22" s="143"/>
      <c r="AC22" s="143"/>
      <c r="AD22" s="143"/>
      <c r="AE22" s="143"/>
      <c r="AF22" s="143"/>
      <c r="AG22" s="108"/>
      <c r="AH22" s="110"/>
    </row>
    <row r="23" ht="22.5" customHeight="1">
      <c r="A23" s="247">
        <f t="shared" si="3"/>
        <v>19</v>
      </c>
      <c r="B23" s="72" t="s">
        <v>174</v>
      </c>
      <c r="C23" s="133">
        <v>45615.0</v>
      </c>
      <c r="D23" s="129" t="s">
        <v>175</v>
      </c>
      <c r="E23" s="68" t="b">
        <v>1</v>
      </c>
      <c r="F23" s="129" t="s">
        <v>176</v>
      </c>
      <c r="G23" s="73">
        <f t="shared" si="4"/>
        <v>4</v>
      </c>
      <c r="H23" s="75">
        <v>4.0</v>
      </c>
      <c r="I23" s="231">
        <v>45083.0</v>
      </c>
      <c r="J23" s="68" t="b">
        <v>1</v>
      </c>
      <c r="K23" s="231">
        <v>45317.0</v>
      </c>
      <c r="L23" s="68" t="b">
        <v>1</v>
      </c>
      <c r="M23" s="231">
        <v>45456.0</v>
      </c>
      <c r="N23" s="68" t="b">
        <v>1</v>
      </c>
      <c r="O23" s="236">
        <v>45615.0</v>
      </c>
      <c r="P23" s="68" t="b">
        <v>1</v>
      </c>
      <c r="Q23" s="93"/>
      <c r="R23" s="68"/>
      <c r="S23" s="93"/>
      <c r="T23" s="68"/>
      <c r="U23" s="93"/>
      <c r="V23" s="68"/>
      <c r="W23" s="93"/>
      <c r="X23" s="68"/>
      <c r="Y23" s="68"/>
      <c r="Z23" s="68"/>
      <c r="AA23" s="68"/>
      <c r="AB23" s="68"/>
      <c r="AC23" s="68"/>
      <c r="AD23" s="68"/>
      <c r="AE23" s="68"/>
      <c r="AF23" s="68"/>
      <c r="AG23" s="253"/>
      <c r="AH23" s="110"/>
    </row>
    <row r="24" ht="22.5" customHeight="1">
      <c r="A24" s="58">
        <f t="shared" si="3"/>
        <v>20</v>
      </c>
      <c r="B24" s="62" t="s">
        <v>177</v>
      </c>
      <c r="C24" s="255">
        <v>45442.0</v>
      </c>
      <c r="D24" s="129" t="s">
        <v>180</v>
      </c>
      <c r="E24" s="68" t="b">
        <v>0</v>
      </c>
      <c r="F24" s="129"/>
      <c r="G24" s="257">
        <f t="shared" si="4"/>
        <v>4</v>
      </c>
      <c r="H24" s="258">
        <v>2.0</v>
      </c>
      <c r="I24" s="236">
        <v>44562.0</v>
      </c>
      <c r="J24" s="259" t="b">
        <v>1</v>
      </c>
      <c r="K24" s="93">
        <v>45227.0</v>
      </c>
      <c r="L24" s="83" t="b">
        <v>1</v>
      </c>
      <c r="M24" s="87">
        <v>45352.0</v>
      </c>
      <c r="N24" s="259" t="b">
        <v>1</v>
      </c>
      <c r="O24" s="87">
        <v>45628.0</v>
      </c>
      <c r="P24" s="68" t="b">
        <v>1</v>
      </c>
      <c r="Q24" s="93">
        <v>45807.0</v>
      </c>
      <c r="R24" s="68" t="b">
        <v>0</v>
      </c>
      <c r="S24" s="87">
        <v>45989.0</v>
      </c>
      <c r="T24" s="68" t="b">
        <v>0</v>
      </c>
      <c r="U24" s="93"/>
      <c r="V24" s="137"/>
      <c r="W24" s="93"/>
      <c r="X24" s="137"/>
      <c r="Y24" s="137"/>
      <c r="Z24" s="137"/>
      <c r="AA24" s="137"/>
      <c r="AB24" s="137"/>
      <c r="AC24" s="137"/>
      <c r="AD24" s="137"/>
      <c r="AE24" s="137"/>
      <c r="AF24" s="137"/>
      <c r="AG24" s="263" t="s">
        <v>58</v>
      </c>
      <c r="AH24" s="173" t="s">
        <v>186</v>
      </c>
    </row>
    <row r="25" ht="22.5" customHeight="1">
      <c r="A25" s="58">
        <f t="shared" si="3"/>
        <v>21</v>
      </c>
      <c r="B25" s="62" t="s">
        <v>188</v>
      </c>
      <c r="C25" s="255">
        <v>45832.0</v>
      </c>
      <c r="D25" s="129" t="s">
        <v>82</v>
      </c>
      <c r="E25" s="68" t="b">
        <v>0</v>
      </c>
      <c r="F25" s="129"/>
      <c r="G25" s="73">
        <f t="shared" si="4"/>
        <v>2</v>
      </c>
      <c r="H25" s="75">
        <v>4.0</v>
      </c>
      <c r="I25" s="159">
        <v>45468.0</v>
      </c>
      <c r="J25" s="68" t="b">
        <v>1</v>
      </c>
      <c r="K25" s="142">
        <v>45657.0</v>
      </c>
      <c r="L25" s="68" t="b">
        <v>1</v>
      </c>
      <c r="M25" s="142">
        <v>45832.0</v>
      </c>
      <c r="N25" s="68" t="b">
        <v>0</v>
      </c>
      <c r="O25" s="93">
        <v>46021.0</v>
      </c>
      <c r="P25" s="137" t="b">
        <v>0</v>
      </c>
      <c r="Q25" s="93"/>
      <c r="R25" s="68"/>
      <c r="S25" s="93"/>
      <c r="T25" s="68"/>
      <c r="U25" s="93"/>
      <c r="V25" s="68"/>
      <c r="W25" s="93"/>
      <c r="X25" s="68"/>
      <c r="Y25" s="68"/>
      <c r="Z25" s="68"/>
      <c r="AA25" s="68"/>
      <c r="AB25" s="68"/>
      <c r="AC25" s="68"/>
      <c r="AD25" s="68"/>
      <c r="AE25" s="68"/>
      <c r="AF25" s="68"/>
      <c r="AG25" s="108"/>
      <c r="AH25" s="267" t="s">
        <v>196</v>
      </c>
    </row>
    <row r="26" ht="22.5" customHeight="1">
      <c r="A26" s="58">
        <f t="shared" si="3"/>
        <v>22</v>
      </c>
      <c r="B26" s="62" t="s">
        <v>197</v>
      </c>
      <c r="C26" s="133">
        <v>45945.0</v>
      </c>
      <c r="D26" s="129" t="s">
        <v>198</v>
      </c>
      <c r="E26" s="68" t="b">
        <v>1</v>
      </c>
      <c r="F26" s="271">
        <v>45805.0</v>
      </c>
      <c r="G26" s="73">
        <f t="shared" si="4"/>
        <v>4</v>
      </c>
      <c r="H26" s="75">
        <v>4.0</v>
      </c>
      <c r="I26" s="78">
        <v>45013.0</v>
      </c>
      <c r="J26" s="83" t="b">
        <v>1</v>
      </c>
      <c r="K26" s="87">
        <v>45227.0</v>
      </c>
      <c r="L26" s="83" t="b">
        <v>1</v>
      </c>
      <c r="M26" s="87">
        <v>45392.0</v>
      </c>
      <c r="N26" s="83" t="b">
        <v>1</v>
      </c>
      <c r="O26" s="93">
        <v>45580.0</v>
      </c>
      <c r="P26" s="68" t="b">
        <v>1</v>
      </c>
      <c r="Q26" s="93"/>
      <c r="R26" s="68"/>
      <c r="S26" s="93"/>
      <c r="T26" s="68"/>
      <c r="U26" s="93"/>
      <c r="V26" s="68"/>
      <c r="W26" s="93"/>
      <c r="X26" s="68"/>
      <c r="Y26" s="68"/>
      <c r="Z26" s="68"/>
      <c r="AA26" s="68"/>
      <c r="AB26" s="68"/>
      <c r="AC26" s="68"/>
      <c r="AD26" s="68"/>
      <c r="AE26" s="68"/>
      <c r="AF26" s="68"/>
      <c r="AG26" s="277"/>
      <c r="AH26" s="194"/>
    </row>
    <row r="27" ht="22.5" customHeight="1">
      <c r="A27" s="58">
        <f t="shared" si="3"/>
        <v>23</v>
      </c>
      <c r="B27" s="281" t="s">
        <v>200</v>
      </c>
      <c r="C27" s="255">
        <v>45710.0</v>
      </c>
      <c r="D27" s="129" t="s">
        <v>201</v>
      </c>
      <c r="E27" s="68" t="b">
        <v>1</v>
      </c>
      <c r="F27" s="129" t="s">
        <v>202</v>
      </c>
      <c r="G27" s="73">
        <f t="shared" si="4"/>
        <v>6</v>
      </c>
      <c r="H27" s="258">
        <v>6.0</v>
      </c>
      <c r="I27" s="96">
        <v>44676.0</v>
      </c>
      <c r="J27" s="137" t="b">
        <v>1</v>
      </c>
      <c r="K27" s="93">
        <v>44880.0</v>
      </c>
      <c r="L27" s="137" t="b">
        <v>1</v>
      </c>
      <c r="M27" s="93">
        <v>45120.0</v>
      </c>
      <c r="N27" s="137" t="b">
        <v>1</v>
      </c>
      <c r="O27" s="93">
        <v>45295.0</v>
      </c>
      <c r="P27" s="137" t="b">
        <v>1</v>
      </c>
      <c r="Q27" s="93">
        <v>45483.0</v>
      </c>
      <c r="R27" s="137" t="b">
        <v>1</v>
      </c>
      <c r="S27" s="93">
        <v>45710.0</v>
      </c>
      <c r="T27" s="137" t="b">
        <v>1</v>
      </c>
      <c r="U27" s="93"/>
      <c r="V27" s="137"/>
      <c r="W27" s="93"/>
      <c r="X27" s="137"/>
      <c r="Y27" s="137"/>
      <c r="Z27" s="137"/>
      <c r="AA27" s="137"/>
      <c r="AB27" s="137"/>
      <c r="AC27" s="137"/>
      <c r="AD27" s="137"/>
      <c r="AE27" s="137"/>
      <c r="AF27" s="137"/>
      <c r="AG27" s="286"/>
      <c r="AH27" s="173"/>
    </row>
    <row r="28" ht="22.5" customHeight="1">
      <c r="A28" s="58">
        <f t="shared" si="3"/>
        <v>24</v>
      </c>
      <c r="B28" s="62" t="s">
        <v>209</v>
      </c>
      <c r="C28" s="133">
        <v>45911.0</v>
      </c>
      <c r="D28" s="129" t="s">
        <v>60</v>
      </c>
      <c r="E28" s="68" t="b">
        <v>0</v>
      </c>
      <c r="F28" s="129"/>
      <c r="G28" s="73">
        <f t="shared" si="4"/>
        <v>3</v>
      </c>
      <c r="H28" s="75">
        <v>4.0</v>
      </c>
      <c r="I28" s="78">
        <v>45362.0</v>
      </c>
      <c r="J28" s="83" t="b">
        <v>1</v>
      </c>
      <c r="K28" s="87">
        <v>45546.0</v>
      </c>
      <c r="L28" s="83" t="b">
        <v>1</v>
      </c>
      <c r="M28" s="87">
        <v>45707.0</v>
      </c>
      <c r="N28" s="83" t="b">
        <v>1</v>
      </c>
      <c r="O28" s="93">
        <v>45911.0</v>
      </c>
      <c r="P28" s="137" t="b">
        <v>0</v>
      </c>
      <c r="Q28" s="93"/>
      <c r="R28" s="68"/>
      <c r="S28" s="93"/>
      <c r="T28" s="68"/>
      <c r="U28" s="93"/>
      <c r="V28" s="68"/>
      <c r="W28" s="93"/>
      <c r="X28" s="68"/>
      <c r="Y28" s="68"/>
      <c r="Z28" s="68"/>
      <c r="AA28" s="68"/>
      <c r="AB28" s="68"/>
      <c r="AC28" s="68"/>
      <c r="AD28" s="68"/>
      <c r="AE28" s="68"/>
      <c r="AF28" s="68"/>
      <c r="AG28" s="108"/>
      <c r="AH28" s="110"/>
    </row>
    <row r="29" ht="22.5" customHeight="1">
      <c r="A29" s="58">
        <f t="shared" si="3"/>
        <v>25</v>
      </c>
      <c r="B29" s="289" t="s">
        <v>210</v>
      </c>
      <c r="C29" s="255">
        <v>45704.0</v>
      </c>
      <c r="D29" s="129" t="s">
        <v>60</v>
      </c>
      <c r="E29" s="68" t="b">
        <v>0</v>
      </c>
      <c r="F29" s="129"/>
      <c r="G29" s="73">
        <f t="shared" si="4"/>
        <v>3</v>
      </c>
      <c r="H29" s="75">
        <v>4.0</v>
      </c>
      <c r="I29" s="231">
        <v>45299.0</v>
      </c>
      <c r="J29" s="83" t="b">
        <v>1</v>
      </c>
      <c r="K29" s="231">
        <v>45422.0</v>
      </c>
      <c r="L29" s="83" t="b">
        <v>1</v>
      </c>
      <c r="M29" s="231">
        <v>45608.0</v>
      </c>
      <c r="N29" s="83" t="b">
        <v>1</v>
      </c>
      <c r="O29" s="236">
        <v>45793.0</v>
      </c>
      <c r="P29" s="68" t="b">
        <v>0</v>
      </c>
      <c r="Q29" s="93"/>
      <c r="R29" s="68"/>
      <c r="S29" s="93"/>
      <c r="T29" s="68"/>
      <c r="U29" s="93"/>
      <c r="V29" s="68"/>
      <c r="W29" s="93"/>
      <c r="X29" s="68"/>
      <c r="Y29" s="68"/>
      <c r="Z29" s="68"/>
      <c r="AA29" s="68"/>
      <c r="AB29" s="68"/>
      <c r="AC29" s="68"/>
      <c r="AD29" s="68"/>
      <c r="AE29" s="68"/>
      <c r="AF29" s="68"/>
      <c r="AG29" s="108"/>
      <c r="AH29" s="110"/>
    </row>
    <row r="30" ht="22.5" customHeight="1">
      <c r="A30" s="58">
        <f t="shared" si="3"/>
        <v>26</v>
      </c>
      <c r="B30" s="293" t="s">
        <v>222</v>
      </c>
      <c r="C30" s="255">
        <v>45785.0</v>
      </c>
      <c r="D30" s="129" t="s">
        <v>60</v>
      </c>
      <c r="E30" s="68" t="b">
        <v>0</v>
      </c>
      <c r="F30" s="129"/>
      <c r="G30" s="73">
        <f t="shared" si="4"/>
        <v>3</v>
      </c>
      <c r="H30" s="75">
        <v>4.0</v>
      </c>
      <c r="I30" s="78">
        <v>44987.0</v>
      </c>
      <c r="J30" s="68" t="b">
        <v>1</v>
      </c>
      <c r="K30" s="142">
        <v>45350.0</v>
      </c>
      <c r="L30" s="83" t="b">
        <v>1</v>
      </c>
      <c r="M30" s="142">
        <v>45535.0</v>
      </c>
      <c r="N30" s="83" t="b">
        <v>1</v>
      </c>
      <c r="O30" s="93">
        <v>45785.0</v>
      </c>
      <c r="P30" s="68" t="b">
        <v>0</v>
      </c>
      <c r="Q30" s="93"/>
      <c r="R30" s="68"/>
      <c r="S30" s="93"/>
      <c r="T30" s="68"/>
      <c r="U30" s="93"/>
      <c r="V30" s="68"/>
      <c r="W30" s="93"/>
      <c r="X30" s="68"/>
      <c r="Y30" s="68"/>
      <c r="Z30" s="68"/>
      <c r="AA30" s="68"/>
      <c r="AB30" s="68"/>
      <c r="AC30" s="68"/>
      <c r="AD30" s="68"/>
      <c r="AE30" s="68"/>
      <c r="AF30" s="68"/>
      <c r="AG30" s="108"/>
      <c r="AH30" s="110"/>
    </row>
    <row r="31" ht="22.5" customHeight="1">
      <c r="A31" s="304">
        <f t="shared" si="3"/>
        <v>27</v>
      </c>
      <c r="B31" s="306" t="s">
        <v>228</v>
      </c>
      <c r="C31" s="133">
        <v>45959.0</v>
      </c>
      <c r="D31" s="129" t="s">
        <v>229</v>
      </c>
      <c r="E31" s="68" t="b">
        <v>0</v>
      </c>
      <c r="F31" s="129"/>
      <c r="G31" s="257">
        <f t="shared" si="4"/>
        <v>5</v>
      </c>
      <c r="H31" s="258">
        <v>8.0</v>
      </c>
      <c r="I31" s="96">
        <v>44832.0</v>
      </c>
      <c r="J31" s="83" t="b">
        <v>1</v>
      </c>
      <c r="K31" s="93">
        <v>44985.0</v>
      </c>
      <c r="L31" s="83" t="b">
        <v>1</v>
      </c>
      <c r="M31" s="93">
        <v>45351.0</v>
      </c>
      <c r="N31" s="83" t="b">
        <v>1</v>
      </c>
      <c r="O31" s="93">
        <v>45548.0</v>
      </c>
      <c r="P31" s="137" t="b">
        <v>1</v>
      </c>
      <c r="Q31" s="87">
        <v>45724.0</v>
      </c>
      <c r="R31" s="68" t="b">
        <v>1</v>
      </c>
      <c r="S31" s="87">
        <v>45959.0</v>
      </c>
      <c r="T31" s="137" t="b">
        <v>0</v>
      </c>
      <c r="U31" s="87">
        <v>46080.0</v>
      </c>
      <c r="V31" s="143" t="b">
        <v>0</v>
      </c>
      <c r="W31" s="87">
        <v>46262.0</v>
      </c>
      <c r="X31" s="137" t="b">
        <v>0</v>
      </c>
      <c r="Y31" s="137"/>
      <c r="Z31" s="137"/>
      <c r="AA31" s="137"/>
      <c r="AB31" s="137"/>
      <c r="AC31" s="137"/>
      <c r="AD31" s="137"/>
      <c r="AE31" s="137"/>
      <c r="AF31" s="137"/>
      <c r="AG31" s="263"/>
      <c r="AH31" s="312"/>
    </row>
    <row r="32" ht="22.5" customHeight="1">
      <c r="A32" s="247">
        <f t="shared" si="3"/>
        <v>28</v>
      </c>
      <c r="B32" s="72" t="s">
        <v>231</v>
      </c>
      <c r="C32" s="255">
        <v>45513.0</v>
      </c>
      <c r="D32" s="129" t="s">
        <v>233</v>
      </c>
      <c r="E32" s="68" t="b">
        <v>1</v>
      </c>
      <c r="F32" s="129" t="s">
        <v>235</v>
      </c>
      <c r="G32" s="73">
        <f t="shared" si="4"/>
        <v>2</v>
      </c>
      <c r="H32" s="75">
        <v>2.0</v>
      </c>
      <c r="I32" s="78">
        <v>45315.0</v>
      </c>
      <c r="J32" s="68" t="b">
        <v>1</v>
      </c>
      <c r="K32" s="87">
        <v>45513.0</v>
      </c>
      <c r="L32" s="68" t="b">
        <v>1</v>
      </c>
      <c r="M32" s="87"/>
      <c r="N32" s="68" t="b">
        <v>0</v>
      </c>
      <c r="O32" s="93"/>
      <c r="P32" s="68" t="b">
        <v>0</v>
      </c>
      <c r="Q32" s="93"/>
      <c r="R32" s="68"/>
      <c r="S32" s="93"/>
      <c r="T32" s="68"/>
      <c r="U32" s="93"/>
      <c r="V32" s="68"/>
      <c r="W32" s="93"/>
      <c r="X32" s="68"/>
      <c r="Y32" s="68"/>
      <c r="Z32" s="68"/>
      <c r="AA32" s="68"/>
      <c r="AB32" s="68"/>
      <c r="AC32" s="68"/>
      <c r="AD32" s="68"/>
      <c r="AE32" s="68"/>
      <c r="AF32" s="68"/>
      <c r="AG32" s="108"/>
      <c r="AH32" s="33"/>
    </row>
    <row r="33" ht="22.5" customHeight="1">
      <c r="A33" s="58">
        <f t="shared" si="3"/>
        <v>29</v>
      </c>
      <c r="B33" s="113" t="s">
        <v>239</v>
      </c>
      <c r="C33" s="255">
        <v>45920.0</v>
      </c>
      <c r="D33" s="129" t="s">
        <v>240</v>
      </c>
      <c r="E33" s="68" t="b">
        <v>0</v>
      </c>
      <c r="F33" s="129"/>
      <c r="G33" s="73">
        <f t="shared" si="4"/>
        <v>2</v>
      </c>
      <c r="H33" s="75">
        <v>4.0</v>
      </c>
      <c r="I33" s="78">
        <v>45729.0</v>
      </c>
      <c r="J33" s="83" t="b">
        <v>1</v>
      </c>
      <c r="K33" s="87">
        <v>45920.0</v>
      </c>
      <c r="L33" s="83" t="b">
        <v>1</v>
      </c>
      <c r="M33" s="87">
        <v>46102.0</v>
      </c>
      <c r="N33" s="136" t="b">
        <v>0</v>
      </c>
      <c r="O33" s="87">
        <v>46284.0</v>
      </c>
      <c r="P33" s="137" t="b">
        <v>0</v>
      </c>
      <c r="Q33" s="87"/>
      <c r="R33" s="143"/>
      <c r="S33" s="87"/>
      <c r="T33" s="143"/>
      <c r="U33" s="87"/>
      <c r="V33" s="143"/>
      <c r="W33" s="87"/>
      <c r="X33" s="143"/>
      <c r="Y33" s="143"/>
      <c r="Z33" s="143"/>
      <c r="AA33" s="143"/>
      <c r="AB33" s="143"/>
      <c r="AC33" s="143"/>
      <c r="AD33" s="143"/>
      <c r="AE33" s="143"/>
      <c r="AF33" s="143"/>
      <c r="AG33" s="108"/>
      <c r="AH33" s="110"/>
    </row>
    <row r="34" ht="22.5" customHeight="1">
      <c r="A34" s="58">
        <f t="shared" si="3"/>
        <v>30</v>
      </c>
      <c r="B34" s="113" t="s">
        <v>247</v>
      </c>
      <c r="C34" s="255">
        <v>45920.0</v>
      </c>
      <c r="D34" s="129" t="s">
        <v>240</v>
      </c>
      <c r="E34" s="68" t="b">
        <v>0</v>
      </c>
      <c r="F34" s="129"/>
      <c r="G34" s="73">
        <f t="shared" si="4"/>
        <v>2</v>
      </c>
      <c r="H34" s="75">
        <v>4.0</v>
      </c>
      <c r="I34" s="78">
        <v>45729.0</v>
      </c>
      <c r="J34" s="68" t="b">
        <v>1</v>
      </c>
      <c r="K34" s="87">
        <v>45920.0</v>
      </c>
      <c r="L34" s="68" t="b">
        <v>1</v>
      </c>
      <c r="M34" s="87">
        <v>46102.0</v>
      </c>
      <c r="N34" s="143" t="b">
        <v>0</v>
      </c>
      <c r="O34" s="87">
        <v>46284.0</v>
      </c>
      <c r="P34" s="137" t="b">
        <v>0</v>
      </c>
      <c r="Q34" s="87"/>
      <c r="R34" s="143"/>
      <c r="S34" s="87"/>
      <c r="T34" s="143"/>
      <c r="U34" s="87"/>
      <c r="V34" s="143"/>
      <c r="W34" s="87"/>
      <c r="X34" s="143"/>
      <c r="Y34" s="143"/>
      <c r="Z34" s="143"/>
      <c r="AA34" s="143"/>
      <c r="AB34" s="143"/>
      <c r="AC34" s="143"/>
      <c r="AD34" s="143"/>
      <c r="AE34" s="143"/>
      <c r="AF34" s="143"/>
      <c r="AG34" s="108"/>
      <c r="AH34" s="173" t="s">
        <v>251</v>
      </c>
    </row>
    <row r="35" ht="22.5" customHeight="1">
      <c r="A35" s="327">
        <f t="shared" si="3"/>
        <v>31</v>
      </c>
      <c r="B35" s="329" t="s">
        <v>254</v>
      </c>
      <c r="C35" s="129"/>
      <c r="D35" s="129"/>
      <c r="E35" s="68" t="b">
        <v>0</v>
      </c>
      <c r="F35" s="129"/>
      <c r="G35" s="73">
        <f t="shared" si="4"/>
        <v>0</v>
      </c>
      <c r="H35" s="75">
        <v>4.0</v>
      </c>
      <c r="I35" s="78"/>
      <c r="J35" s="68" t="b">
        <v>0</v>
      </c>
      <c r="K35" s="87"/>
      <c r="L35" s="68" t="b">
        <v>0</v>
      </c>
      <c r="M35" s="87"/>
      <c r="N35" s="143" t="b">
        <v>0</v>
      </c>
      <c r="O35" s="93"/>
      <c r="P35" s="137" t="b">
        <v>0</v>
      </c>
      <c r="Q35" s="181"/>
      <c r="R35" s="189"/>
      <c r="S35" s="181"/>
      <c r="T35" s="189"/>
      <c r="U35" s="181"/>
      <c r="V35" s="189"/>
      <c r="W35" s="181"/>
      <c r="X35" s="189"/>
      <c r="Y35" s="189"/>
      <c r="Z35" s="189"/>
      <c r="AA35" s="189"/>
      <c r="AB35" s="189"/>
      <c r="AC35" s="189"/>
      <c r="AD35" s="189"/>
      <c r="AE35" s="189"/>
      <c r="AF35" s="189"/>
      <c r="AG35" s="191"/>
      <c r="AH35" s="173" t="s">
        <v>208</v>
      </c>
    </row>
    <row r="36" ht="22.5" customHeight="1">
      <c r="A36" s="247">
        <f t="shared" si="3"/>
        <v>32</v>
      </c>
      <c r="B36" s="113" t="s">
        <v>260</v>
      </c>
      <c r="C36" s="133">
        <v>45954.0</v>
      </c>
      <c r="D36" s="129" t="s">
        <v>229</v>
      </c>
      <c r="E36" s="68" t="b">
        <v>0</v>
      </c>
      <c r="F36" s="129"/>
      <c r="G36" s="73">
        <f t="shared" si="4"/>
        <v>5</v>
      </c>
      <c r="H36" s="75">
        <v>8.0</v>
      </c>
      <c r="I36" s="78">
        <v>44927.0</v>
      </c>
      <c r="J36" s="68" t="b">
        <v>1</v>
      </c>
      <c r="K36" s="87">
        <v>45085.0</v>
      </c>
      <c r="L36" s="68" t="b">
        <v>1</v>
      </c>
      <c r="M36" s="87">
        <v>45408.0</v>
      </c>
      <c r="N36" s="68" t="b">
        <v>1</v>
      </c>
      <c r="O36" s="93">
        <v>45603.0</v>
      </c>
      <c r="P36" s="68" t="b">
        <v>1</v>
      </c>
      <c r="Q36" s="87">
        <v>45775.0</v>
      </c>
      <c r="R36" s="68" t="b">
        <v>1</v>
      </c>
      <c r="S36" s="87">
        <v>45954.0</v>
      </c>
      <c r="T36" s="137" t="b">
        <v>0</v>
      </c>
      <c r="U36" s="87">
        <v>46136.0</v>
      </c>
      <c r="V36" s="143" t="b">
        <v>0</v>
      </c>
      <c r="W36" s="87">
        <v>46318.0</v>
      </c>
      <c r="X36" s="137" t="b">
        <v>0</v>
      </c>
      <c r="Y36" s="68"/>
      <c r="Z36" s="68"/>
      <c r="AA36" s="68"/>
      <c r="AB36" s="68"/>
      <c r="AC36" s="68"/>
      <c r="AD36" s="68"/>
      <c r="AE36" s="68"/>
      <c r="AF36" s="68"/>
      <c r="AG36" s="108" t="s">
        <v>268</v>
      </c>
      <c r="AH36" s="145" t="s">
        <v>62</v>
      </c>
    </row>
    <row r="37" ht="22.5" customHeight="1">
      <c r="A37" s="58">
        <f t="shared" si="3"/>
        <v>33</v>
      </c>
      <c r="B37" s="202" t="s">
        <v>272</v>
      </c>
      <c r="C37" s="133">
        <v>45979.0</v>
      </c>
      <c r="D37" s="129" t="s">
        <v>82</v>
      </c>
      <c r="E37" s="68" t="b">
        <v>0</v>
      </c>
      <c r="F37" s="129"/>
      <c r="G37" s="73">
        <f t="shared" si="4"/>
        <v>2</v>
      </c>
      <c r="H37" s="75">
        <v>4.0</v>
      </c>
      <c r="I37" s="78">
        <v>45619.0</v>
      </c>
      <c r="J37" s="68" t="b">
        <v>1</v>
      </c>
      <c r="K37" s="87">
        <v>45775.0</v>
      </c>
      <c r="L37" s="68" t="b">
        <v>1</v>
      </c>
      <c r="M37" s="87">
        <v>45979.0</v>
      </c>
      <c r="N37" s="143" t="b">
        <v>0</v>
      </c>
      <c r="O37" s="93">
        <v>46161.0</v>
      </c>
      <c r="P37" s="137" t="b">
        <v>0</v>
      </c>
      <c r="Q37" s="214"/>
      <c r="R37" s="215"/>
      <c r="S37" s="214"/>
      <c r="T37" s="215"/>
      <c r="U37" s="214"/>
      <c r="V37" s="215"/>
      <c r="W37" s="214"/>
      <c r="X37" s="215"/>
      <c r="Y37" s="215"/>
      <c r="Z37" s="215"/>
      <c r="AA37" s="215"/>
      <c r="AB37" s="215"/>
      <c r="AC37" s="215"/>
      <c r="AD37" s="215"/>
      <c r="AE37" s="215"/>
      <c r="AF37" s="215"/>
      <c r="AG37" s="216"/>
      <c r="AH37" s="145" t="s">
        <v>120</v>
      </c>
    </row>
    <row r="38" ht="22.5" customHeight="1">
      <c r="A38" s="345">
        <f t="shared" si="3"/>
        <v>34</v>
      </c>
      <c r="B38" s="72" t="s">
        <v>275</v>
      </c>
      <c r="C38" s="255">
        <v>45968.0</v>
      </c>
      <c r="D38" s="129" t="s">
        <v>198</v>
      </c>
      <c r="E38" s="68" t="b">
        <v>1</v>
      </c>
      <c r="F38" s="129" t="s">
        <v>278</v>
      </c>
      <c r="G38" s="257">
        <f t="shared" si="4"/>
        <v>4</v>
      </c>
      <c r="H38" s="258">
        <v>4.0</v>
      </c>
      <c r="I38" s="96">
        <v>44942.0</v>
      </c>
      <c r="J38" s="137" t="b">
        <v>1</v>
      </c>
      <c r="K38" s="93">
        <v>45226.0</v>
      </c>
      <c r="L38" s="137" t="b">
        <v>1</v>
      </c>
      <c r="M38" s="93">
        <v>45408.0</v>
      </c>
      <c r="N38" s="137" t="b">
        <v>1</v>
      </c>
      <c r="O38" s="93">
        <v>45603.0</v>
      </c>
      <c r="P38" s="137" t="b">
        <v>1</v>
      </c>
      <c r="Q38" s="93"/>
      <c r="R38" s="137"/>
      <c r="S38" s="93"/>
      <c r="T38" s="137"/>
      <c r="U38" s="93"/>
      <c r="V38" s="137"/>
      <c r="W38" s="93"/>
      <c r="X38" s="137"/>
      <c r="Y38" s="137"/>
      <c r="Z38" s="137"/>
      <c r="AA38" s="137"/>
      <c r="AB38" s="137"/>
      <c r="AC38" s="137"/>
      <c r="AD38" s="137"/>
      <c r="AE38" s="137"/>
      <c r="AF38" s="137"/>
      <c r="AG38" s="263"/>
      <c r="AH38" s="348" t="s">
        <v>133</v>
      </c>
    </row>
    <row r="39" ht="22.5" customHeight="1">
      <c r="A39" s="58">
        <f t="shared" si="3"/>
        <v>35</v>
      </c>
      <c r="B39" s="62" t="s">
        <v>284</v>
      </c>
      <c r="C39" s="255">
        <v>45775.0</v>
      </c>
      <c r="D39" s="129" t="s">
        <v>198</v>
      </c>
      <c r="E39" s="68" t="b">
        <v>0</v>
      </c>
      <c r="F39" s="129" t="s">
        <v>285</v>
      </c>
      <c r="G39" s="73">
        <f t="shared" si="4"/>
        <v>4</v>
      </c>
      <c r="H39" s="75">
        <v>4.0</v>
      </c>
      <c r="I39" s="159">
        <v>45226.0</v>
      </c>
      <c r="J39" s="68" t="b">
        <v>1</v>
      </c>
      <c r="K39" s="142">
        <v>45493.0</v>
      </c>
      <c r="L39" s="68" t="b">
        <v>1</v>
      </c>
      <c r="M39" s="87">
        <v>45603.0</v>
      </c>
      <c r="N39" s="68" t="b">
        <v>1</v>
      </c>
      <c r="O39" s="93">
        <v>45775.0</v>
      </c>
      <c r="P39" s="68" t="b">
        <v>1</v>
      </c>
      <c r="Q39" s="93"/>
      <c r="R39" s="68"/>
      <c r="S39" s="93"/>
      <c r="T39" s="68"/>
      <c r="U39" s="93"/>
      <c r="V39" s="68"/>
      <c r="W39" s="93"/>
      <c r="X39" s="68"/>
      <c r="Y39" s="68"/>
      <c r="Z39" s="68"/>
      <c r="AA39" s="68"/>
      <c r="AB39" s="68"/>
      <c r="AC39" s="68"/>
      <c r="AD39" s="68"/>
      <c r="AE39" s="68"/>
      <c r="AF39" s="68"/>
      <c r="AG39" s="349" t="s">
        <v>292</v>
      </c>
      <c r="AH39" s="145" t="s">
        <v>172</v>
      </c>
    </row>
    <row r="40" ht="22.5" customHeight="1">
      <c r="A40" s="58">
        <f t="shared" si="3"/>
        <v>36</v>
      </c>
      <c r="B40" s="62" t="s">
        <v>294</v>
      </c>
      <c r="C40" s="255">
        <v>45772.0</v>
      </c>
      <c r="D40" s="129" t="s">
        <v>198</v>
      </c>
      <c r="E40" s="68" t="b">
        <v>0</v>
      </c>
      <c r="F40" s="129" t="s">
        <v>285</v>
      </c>
      <c r="G40" s="73">
        <f t="shared" si="4"/>
        <v>3</v>
      </c>
      <c r="H40" s="75">
        <v>4.0</v>
      </c>
      <c r="I40" s="159">
        <v>45219.0</v>
      </c>
      <c r="J40" s="68" t="b">
        <v>1</v>
      </c>
      <c r="K40" s="87">
        <v>45370.0</v>
      </c>
      <c r="L40" s="68" t="b">
        <v>1</v>
      </c>
      <c r="M40" s="87">
        <v>45603.0</v>
      </c>
      <c r="N40" s="68" t="b">
        <v>1</v>
      </c>
      <c r="O40" s="93">
        <v>45772.0</v>
      </c>
      <c r="P40" s="137" t="b">
        <v>0</v>
      </c>
      <c r="Q40" s="93"/>
      <c r="R40" s="68"/>
      <c r="S40" s="93"/>
      <c r="T40" s="68"/>
      <c r="U40" s="93"/>
      <c r="V40" s="68"/>
      <c r="W40" s="93"/>
      <c r="X40" s="68"/>
      <c r="Y40" s="68"/>
      <c r="Z40" s="68"/>
      <c r="AA40" s="68"/>
      <c r="AB40" s="68"/>
      <c r="AC40" s="68"/>
      <c r="AD40" s="68"/>
      <c r="AE40" s="68"/>
      <c r="AF40" s="68"/>
      <c r="AG40" s="108"/>
      <c r="AH40" s="173" t="s">
        <v>164</v>
      </c>
    </row>
    <row r="41" ht="22.5" customHeight="1">
      <c r="A41" s="58">
        <f t="shared" si="3"/>
        <v>37</v>
      </c>
      <c r="B41" s="62" t="s">
        <v>303</v>
      </c>
      <c r="C41" s="133">
        <v>45983.0</v>
      </c>
      <c r="D41" s="129" t="s">
        <v>82</v>
      </c>
      <c r="E41" s="68" t="b">
        <v>0</v>
      </c>
      <c r="F41" s="129"/>
      <c r="G41" s="73">
        <f t="shared" si="4"/>
        <v>2</v>
      </c>
      <c r="H41" s="75">
        <v>4.0</v>
      </c>
      <c r="I41" s="159">
        <v>45619.0</v>
      </c>
      <c r="J41" s="68" t="b">
        <v>1</v>
      </c>
      <c r="K41" s="87">
        <v>45775.0</v>
      </c>
      <c r="L41" s="68" t="b">
        <v>1</v>
      </c>
      <c r="M41" s="87">
        <v>45983.0</v>
      </c>
      <c r="N41" s="143" t="b">
        <v>0</v>
      </c>
      <c r="O41" s="93">
        <v>46165.0</v>
      </c>
      <c r="P41" s="137" t="b">
        <v>0</v>
      </c>
      <c r="Q41" s="87"/>
      <c r="R41" s="143"/>
      <c r="S41" s="87"/>
      <c r="T41" s="143"/>
      <c r="U41" s="87"/>
      <c r="V41" s="143"/>
      <c r="W41" s="87"/>
      <c r="X41" s="143"/>
      <c r="Y41" s="143"/>
      <c r="Z41" s="143"/>
      <c r="AA41" s="143"/>
      <c r="AB41" s="143"/>
      <c r="AC41" s="143"/>
      <c r="AD41" s="143"/>
      <c r="AE41" s="143"/>
      <c r="AF41" s="143"/>
      <c r="AG41" s="108"/>
      <c r="AH41" s="165" t="s">
        <v>148</v>
      </c>
    </row>
    <row r="42" ht="22.5" customHeight="1">
      <c r="A42" s="58">
        <f t="shared" si="3"/>
        <v>38</v>
      </c>
      <c r="B42" s="62" t="s">
        <v>305</v>
      </c>
      <c r="C42" s="255">
        <v>45839.0</v>
      </c>
      <c r="D42" s="129" t="s">
        <v>82</v>
      </c>
      <c r="E42" s="68" t="b">
        <v>0</v>
      </c>
      <c r="F42" s="129"/>
      <c r="G42" s="73">
        <f t="shared" si="4"/>
        <v>2</v>
      </c>
      <c r="H42" s="75">
        <v>4.0</v>
      </c>
      <c r="I42" s="159">
        <v>45475.0</v>
      </c>
      <c r="J42" s="68" t="b">
        <v>1</v>
      </c>
      <c r="K42" s="142">
        <v>45677.0</v>
      </c>
      <c r="L42" s="68" t="b">
        <v>1</v>
      </c>
      <c r="M42" s="142">
        <v>45839.0</v>
      </c>
      <c r="N42" s="143" t="b">
        <v>0</v>
      </c>
      <c r="O42" s="93">
        <v>46028.0</v>
      </c>
      <c r="P42" s="143" t="b">
        <v>0</v>
      </c>
      <c r="Q42" s="87"/>
      <c r="R42" s="143"/>
      <c r="S42" s="87"/>
      <c r="T42" s="143"/>
      <c r="U42" s="87"/>
      <c r="V42" s="143"/>
      <c r="W42" s="87"/>
      <c r="X42" s="143"/>
      <c r="Y42" s="143"/>
      <c r="Z42" s="143"/>
      <c r="AA42" s="143"/>
      <c r="AB42" s="143"/>
      <c r="AC42" s="143"/>
      <c r="AD42" s="143"/>
      <c r="AE42" s="143"/>
      <c r="AF42" s="143"/>
      <c r="AG42" s="108"/>
      <c r="AH42" s="145" t="s">
        <v>178</v>
      </c>
    </row>
    <row r="43" ht="22.5" customHeight="1">
      <c r="A43" s="58">
        <f t="shared" si="3"/>
        <v>39</v>
      </c>
      <c r="B43" s="62" t="s">
        <v>310</v>
      </c>
      <c r="C43" s="255">
        <v>45839.0</v>
      </c>
      <c r="D43" s="129" t="s">
        <v>82</v>
      </c>
      <c r="E43" s="68" t="b">
        <v>0</v>
      </c>
      <c r="F43" s="129"/>
      <c r="G43" s="73">
        <f t="shared" si="4"/>
        <v>2</v>
      </c>
      <c r="H43" s="75">
        <v>4.0</v>
      </c>
      <c r="I43" s="78">
        <v>45475.0</v>
      </c>
      <c r="J43" s="68" t="b">
        <v>1</v>
      </c>
      <c r="K43" s="87">
        <v>45677.0</v>
      </c>
      <c r="L43" s="68" t="b">
        <v>1</v>
      </c>
      <c r="M43" s="87">
        <v>45839.0</v>
      </c>
      <c r="N43" s="143" t="b">
        <v>0</v>
      </c>
      <c r="O43" s="93">
        <v>46028.0</v>
      </c>
      <c r="P43" s="143" t="b">
        <v>0</v>
      </c>
      <c r="Q43" s="87"/>
      <c r="R43" s="143"/>
      <c r="S43" s="87"/>
      <c r="T43" s="143"/>
      <c r="U43" s="87"/>
      <c r="V43" s="143"/>
      <c r="W43" s="87"/>
      <c r="X43" s="143"/>
      <c r="Y43" s="143"/>
      <c r="Z43" s="143"/>
      <c r="AA43" s="143"/>
      <c r="AB43" s="143"/>
      <c r="AC43" s="143"/>
      <c r="AD43" s="143"/>
      <c r="AE43" s="143"/>
      <c r="AF43" s="143"/>
      <c r="AG43" s="108"/>
      <c r="AH43" s="173" t="s">
        <v>88</v>
      </c>
    </row>
    <row r="44" ht="22.5" customHeight="1">
      <c r="A44" s="58">
        <f t="shared" si="3"/>
        <v>40</v>
      </c>
      <c r="B44" s="62" t="s">
        <v>313</v>
      </c>
      <c r="C44" s="255">
        <v>45839.0</v>
      </c>
      <c r="D44" s="129" t="s">
        <v>198</v>
      </c>
      <c r="E44" s="68" t="b">
        <v>1</v>
      </c>
      <c r="F44" s="129" t="s">
        <v>202</v>
      </c>
      <c r="G44" s="73">
        <f t="shared" si="4"/>
        <v>4</v>
      </c>
      <c r="H44" s="75">
        <v>4.0</v>
      </c>
      <c r="I44" s="159">
        <v>45086.0</v>
      </c>
      <c r="J44" s="68" t="b">
        <v>1</v>
      </c>
      <c r="K44" s="142">
        <v>45330.0</v>
      </c>
      <c r="L44" s="68" t="b">
        <v>1</v>
      </c>
      <c r="M44" s="142">
        <v>45475.0</v>
      </c>
      <c r="N44" s="68" t="b">
        <v>1</v>
      </c>
      <c r="O44" s="93">
        <v>45677.0</v>
      </c>
      <c r="P44" s="137" t="b">
        <v>1</v>
      </c>
      <c r="Q44" s="93"/>
      <c r="R44" s="68"/>
      <c r="S44" s="93"/>
      <c r="T44" s="68"/>
      <c r="U44" s="93"/>
      <c r="V44" s="68"/>
      <c r="W44" s="93"/>
      <c r="X44" s="68"/>
      <c r="Y44" s="68"/>
      <c r="Z44" s="68"/>
      <c r="AA44" s="68"/>
      <c r="AB44" s="68"/>
      <c r="AC44" s="68"/>
      <c r="AD44" s="68"/>
      <c r="AE44" s="68"/>
      <c r="AF44" s="68"/>
      <c r="AG44" s="253"/>
      <c r="AH44" s="165" t="s">
        <v>211</v>
      </c>
    </row>
    <row r="45" ht="22.5" customHeight="1">
      <c r="A45" s="58">
        <f t="shared" si="3"/>
        <v>41</v>
      </c>
      <c r="B45" s="62" t="s">
        <v>316</v>
      </c>
      <c r="C45" s="255">
        <v>45839.0</v>
      </c>
      <c r="D45" s="129" t="s">
        <v>82</v>
      </c>
      <c r="E45" s="68" t="b">
        <v>0</v>
      </c>
      <c r="F45" s="129"/>
      <c r="G45" s="73">
        <v>0.0</v>
      </c>
      <c r="H45" s="75">
        <v>4.0</v>
      </c>
      <c r="I45" s="159">
        <v>45475.0</v>
      </c>
      <c r="J45" s="68" t="b">
        <v>1</v>
      </c>
      <c r="K45" s="142">
        <v>45677.0</v>
      </c>
      <c r="L45" s="68" t="b">
        <v>1</v>
      </c>
      <c r="M45" s="142">
        <v>45839.0</v>
      </c>
      <c r="N45" s="143" t="b">
        <v>0</v>
      </c>
      <c r="O45" s="93">
        <v>46028.0</v>
      </c>
      <c r="P45" s="143" t="b">
        <v>0</v>
      </c>
      <c r="Q45" s="87"/>
      <c r="R45" s="143"/>
      <c r="S45" s="87"/>
      <c r="T45" s="143"/>
      <c r="U45" s="87"/>
      <c r="V45" s="143"/>
      <c r="W45" s="87"/>
      <c r="X45" s="143"/>
      <c r="Y45" s="143"/>
      <c r="Z45" s="143"/>
      <c r="AA45" s="143"/>
      <c r="AB45" s="143"/>
      <c r="AC45" s="143"/>
      <c r="AD45" s="143"/>
      <c r="AE45" s="143"/>
      <c r="AF45" s="143"/>
      <c r="AG45" s="108"/>
      <c r="AH45" s="145" t="s">
        <v>225</v>
      </c>
    </row>
    <row r="46" ht="22.5" customHeight="1">
      <c r="A46" s="58">
        <f t="shared" si="3"/>
        <v>42</v>
      </c>
      <c r="B46" s="62" t="s">
        <v>321</v>
      </c>
      <c r="C46" s="255">
        <v>45930.0</v>
      </c>
      <c r="D46" s="129" t="s">
        <v>60</v>
      </c>
      <c r="E46" s="68" t="b">
        <v>0</v>
      </c>
      <c r="F46" s="129"/>
      <c r="G46" s="73">
        <f t="shared" ref="G46:G118" si="5">COUNTIFS(I46:AG46,"True")</f>
        <v>3</v>
      </c>
      <c r="H46" s="75">
        <v>4.0</v>
      </c>
      <c r="I46" s="159">
        <v>45387.0</v>
      </c>
      <c r="J46" s="68" t="b">
        <v>1</v>
      </c>
      <c r="K46" s="142">
        <v>45584.0</v>
      </c>
      <c r="L46" s="68" t="b">
        <v>1</v>
      </c>
      <c r="M46" s="142">
        <v>45741.0</v>
      </c>
      <c r="N46" s="68" t="b">
        <v>1</v>
      </c>
      <c r="O46" s="93">
        <v>45930.0</v>
      </c>
      <c r="P46" s="68" t="b">
        <v>0</v>
      </c>
      <c r="Q46" s="93"/>
      <c r="R46" s="68"/>
      <c r="S46" s="93"/>
      <c r="T46" s="68"/>
      <c r="U46" s="93"/>
      <c r="V46" s="68"/>
      <c r="W46" s="93"/>
      <c r="X46" s="68"/>
      <c r="Y46" s="68"/>
      <c r="Z46" s="68"/>
      <c r="AA46" s="68"/>
      <c r="AB46" s="68"/>
      <c r="AC46" s="68"/>
      <c r="AD46" s="68"/>
      <c r="AE46" s="68"/>
      <c r="AF46" s="68"/>
      <c r="AG46" s="108"/>
      <c r="AH46" s="377" t="s">
        <v>290</v>
      </c>
    </row>
    <row r="47" ht="22.5" customHeight="1">
      <c r="A47" s="58">
        <f t="shared" si="3"/>
        <v>43</v>
      </c>
      <c r="B47" s="62" t="s">
        <v>324</v>
      </c>
      <c r="C47" s="255">
        <v>45786.0</v>
      </c>
      <c r="D47" s="129" t="s">
        <v>240</v>
      </c>
      <c r="E47" s="68" t="b">
        <v>0</v>
      </c>
      <c r="F47" s="129"/>
      <c r="G47" s="73">
        <f t="shared" si="5"/>
        <v>1</v>
      </c>
      <c r="H47" s="75">
        <v>4.0</v>
      </c>
      <c r="I47" s="159">
        <v>45584.0</v>
      </c>
      <c r="J47" s="68" t="b">
        <v>1</v>
      </c>
      <c r="K47" s="142">
        <v>45786.0</v>
      </c>
      <c r="L47" s="68" t="b">
        <v>0</v>
      </c>
      <c r="M47" s="207">
        <v>45930.0</v>
      </c>
      <c r="N47" s="68" t="b">
        <v>0</v>
      </c>
      <c r="O47" s="93">
        <v>46112.0</v>
      </c>
      <c r="P47" s="68" t="b">
        <v>0</v>
      </c>
      <c r="Q47" s="87"/>
      <c r="R47" s="143"/>
      <c r="S47" s="87"/>
      <c r="T47" s="143"/>
      <c r="U47" s="87"/>
      <c r="V47" s="143"/>
      <c r="W47" s="87"/>
      <c r="X47" s="143"/>
      <c r="Y47" s="143"/>
      <c r="Z47" s="143"/>
      <c r="AA47" s="143"/>
      <c r="AB47" s="143"/>
      <c r="AC47" s="143"/>
      <c r="AD47" s="143"/>
      <c r="AE47" s="143"/>
      <c r="AF47" s="143"/>
      <c r="AG47" s="108"/>
      <c r="AH47" s="308"/>
    </row>
    <row r="48" ht="22.5" customHeight="1">
      <c r="A48" s="58">
        <f t="shared" si="3"/>
        <v>44</v>
      </c>
      <c r="B48" s="62" t="s">
        <v>328</v>
      </c>
      <c r="C48" s="255">
        <v>45930.0</v>
      </c>
      <c r="D48" s="129" t="s">
        <v>82</v>
      </c>
      <c r="E48" s="68" t="b">
        <v>0</v>
      </c>
      <c r="F48" s="129"/>
      <c r="G48" s="73">
        <f t="shared" si="5"/>
        <v>2</v>
      </c>
      <c r="H48" s="75">
        <v>4.0</v>
      </c>
      <c r="I48" s="159">
        <v>45584.0</v>
      </c>
      <c r="J48" s="68" t="b">
        <v>1</v>
      </c>
      <c r="K48" s="142">
        <v>45741.0</v>
      </c>
      <c r="L48" s="68" t="b">
        <v>1</v>
      </c>
      <c r="M48" s="207">
        <v>45930.0</v>
      </c>
      <c r="N48" s="68" t="b">
        <v>0</v>
      </c>
      <c r="O48" s="93">
        <v>46112.0</v>
      </c>
      <c r="P48" s="68" t="b">
        <v>0</v>
      </c>
      <c r="Q48" s="87"/>
      <c r="R48" s="143"/>
      <c r="S48" s="87"/>
      <c r="T48" s="143"/>
      <c r="U48" s="87"/>
      <c r="V48" s="143"/>
      <c r="W48" s="87"/>
      <c r="X48" s="143"/>
      <c r="Y48" s="143"/>
      <c r="Z48" s="143"/>
      <c r="AA48" s="143"/>
      <c r="AB48" s="143"/>
      <c r="AC48" s="143"/>
      <c r="AD48" s="143"/>
      <c r="AE48" s="143"/>
      <c r="AF48" s="143"/>
      <c r="AG48" s="108"/>
      <c r="AH48" s="165" t="s">
        <v>241</v>
      </c>
    </row>
    <row r="49" ht="22.5" customHeight="1">
      <c r="A49" s="58">
        <f t="shared" si="3"/>
        <v>45</v>
      </c>
      <c r="B49" s="113" t="s">
        <v>330</v>
      </c>
      <c r="C49" s="255">
        <v>45930.0</v>
      </c>
      <c r="D49" s="129" t="s">
        <v>82</v>
      </c>
      <c r="E49" s="68" t="b">
        <v>0</v>
      </c>
      <c r="F49" s="129"/>
      <c r="G49" s="73">
        <f t="shared" si="5"/>
        <v>2</v>
      </c>
      <c r="H49" s="75">
        <v>4.0</v>
      </c>
      <c r="I49" s="159">
        <v>45605.0</v>
      </c>
      <c r="J49" s="68" t="b">
        <v>1</v>
      </c>
      <c r="K49" s="142">
        <v>45741.0</v>
      </c>
      <c r="L49" s="68" t="b">
        <v>1</v>
      </c>
      <c r="M49" s="142">
        <v>45930.0</v>
      </c>
      <c r="N49" s="143" t="b">
        <v>0</v>
      </c>
      <c r="O49" s="87">
        <v>46112.0</v>
      </c>
      <c r="P49" s="137" t="b">
        <v>0</v>
      </c>
      <c r="Q49" s="87"/>
      <c r="R49" s="143"/>
      <c r="S49" s="87"/>
      <c r="T49" s="143"/>
      <c r="U49" s="87"/>
      <c r="V49" s="143"/>
      <c r="W49" s="87"/>
      <c r="X49" s="143"/>
      <c r="Y49" s="143"/>
      <c r="Z49" s="143"/>
      <c r="AA49" s="143"/>
      <c r="AB49" s="143"/>
      <c r="AC49" s="143"/>
      <c r="AD49" s="143"/>
      <c r="AE49" s="143"/>
      <c r="AF49" s="143"/>
      <c r="AG49" s="108"/>
      <c r="AH49" s="377" t="s">
        <v>281</v>
      </c>
    </row>
    <row r="50" ht="22.5" customHeight="1">
      <c r="A50" s="58">
        <f t="shared" si="3"/>
        <v>46</v>
      </c>
      <c r="B50" s="62" t="s">
        <v>331</v>
      </c>
      <c r="C50" s="255">
        <v>45930.0</v>
      </c>
      <c r="D50" s="129" t="s">
        <v>82</v>
      </c>
      <c r="E50" s="68" t="b">
        <v>0</v>
      </c>
      <c r="F50" s="129"/>
      <c r="G50" s="73">
        <f t="shared" si="5"/>
        <v>2</v>
      </c>
      <c r="H50" s="75">
        <v>4.0</v>
      </c>
      <c r="I50" s="78">
        <v>45584.0</v>
      </c>
      <c r="J50" s="83" t="b">
        <v>1</v>
      </c>
      <c r="K50" s="87">
        <v>45741.0</v>
      </c>
      <c r="L50" s="83" t="b">
        <v>1</v>
      </c>
      <c r="M50" s="93">
        <v>45930.0</v>
      </c>
      <c r="N50" s="83" t="b">
        <v>0</v>
      </c>
      <c r="O50" s="93">
        <v>46112.0</v>
      </c>
      <c r="P50" s="68" t="b">
        <v>0</v>
      </c>
      <c r="Q50" s="87"/>
      <c r="R50" s="143"/>
      <c r="S50" s="87"/>
      <c r="T50" s="143"/>
      <c r="U50" s="87"/>
      <c r="V50" s="143"/>
      <c r="W50" s="87"/>
      <c r="X50" s="143"/>
      <c r="Y50" s="143"/>
      <c r="Z50" s="143"/>
      <c r="AA50" s="143"/>
      <c r="AB50" s="143"/>
      <c r="AC50" s="143"/>
      <c r="AD50" s="143"/>
      <c r="AE50" s="143"/>
      <c r="AF50" s="143"/>
      <c r="AG50" s="108"/>
      <c r="AH50" s="110"/>
    </row>
    <row r="51" ht="22.5" customHeight="1">
      <c r="A51" s="58">
        <f t="shared" si="3"/>
        <v>47</v>
      </c>
      <c r="B51" s="62" t="s">
        <v>338</v>
      </c>
      <c r="C51" s="255">
        <v>45930.0</v>
      </c>
      <c r="D51" s="129" t="s">
        <v>82</v>
      </c>
      <c r="E51" s="68" t="b">
        <v>0</v>
      </c>
      <c r="F51" s="129"/>
      <c r="G51" s="73">
        <f t="shared" si="5"/>
        <v>2</v>
      </c>
      <c r="H51" s="75">
        <v>4.0</v>
      </c>
      <c r="I51" s="159">
        <v>45584.0</v>
      </c>
      <c r="J51" s="83" t="b">
        <v>1</v>
      </c>
      <c r="K51" s="142">
        <v>45741.0</v>
      </c>
      <c r="L51" s="68" t="b">
        <v>1</v>
      </c>
      <c r="M51" s="142">
        <v>45930.0</v>
      </c>
      <c r="N51" s="143" t="b">
        <v>0</v>
      </c>
      <c r="O51" s="87">
        <v>46112.0</v>
      </c>
      <c r="P51" s="137" t="b">
        <v>0</v>
      </c>
      <c r="Q51" s="87"/>
      <c r="R51" s="143"/>
      <c r="S51" s="87"/>
      <c r="T51" s="143"/>
      <c r="U51" s="87"/>
      <c r="V51" s="143"/>
      <c r="W51" s="87"/>
      <c r="X51" s="143"/>
      <c r="Y51" s="143"/>
      <c r="Z51" s="143"/>
      <c r="AA51" s="143"/>
      <c r="AB51" s="143"/>
      <c r="AC51" s="143"/>
      <c r="AD51" s="143"/>
      <c r="AE51" s="143"/>
      <c r="AF51" s="143"/>
      <c r="AG51" s="108"/>
      <c r="AH51" s="397" t="s">
        <v>302</v>
      </c>
    </row>
    <row r="52" ht="22.5" customHeight="1">
      <c r="A52" s="58">
        <f t="shared" si="3"/>
        <v>48</v>
      </c>
      <c r="B52" s="62" t="s">
        <v>342</v>
      </c>
      <c r="C52" s="255">
        <v>45888.0</v>
      </c>
      <c r="D52" s="129" t="s">
        <v>60</v>
      </c>
      <c r="E52" s="68" t="b">
        <v>0</v>
      </c>
      <c r="F52" s="129"/>
      <c r="G52" s="73">
        <f t="shared" si="5"/>
        <v>3</v>
      </c>
      <c r="H52" s="75">
        <v>4.0</v>
      </c>
      <c r="I52" s="231">
        <v>45322.0</v>
      </c>
      <c r="J52" s="403" t="b">
        <v>1</v>
      </c>
      <c r="K52" s="87">
        <v>45535.0</v>
      </c>
      <c r="L52" s="83" t="b">
        <v>1</v>
      </c>
      <c r="M52" s="87">
        <v>45723.0</v>
      </c>
      <c r="N52" s="403" t="b">
        <v>1</v>
      </c>
      <c r="O52" s="93">
        <v>45888.0</v>
      </c>
      <c r="P52" s="68" t="b">
        <v>0</v>
      </c>
      <c r="Q52" s="93"/>
      <c r="R52" s="68"/>
      <c r="S52" s="93"/>
      <c r="T52" s="68"/>
      <c r="U52" s="93"/>
      <c r="V52" s="68"/>
      <c r="W52" s="93"/>
      <c r="X52" s="68"/>
      <c r="Y52" s="68"/>
      <c r="Z52" s="68"/>
      <c r="AA52" s="68"/>
      <c r="AB52" s="68"/>
      <c r="AC52" s="68"/>
      <c r="AD52" s="68"/>
      <c r="AE52" s="68"/>
      <c r="AF52" s="68"/>
      <c r="AG52" s="108"/>
      <c r="AH52" s="173"/>
    </row>
    <row r="53" ht="22.5" customHeight="1">
      <c r="A53" s="410">
        <f t="shared" si="3"/>
        <v>49</v>
      </c>
      <c r="B53" s="72" t="s">
        <v>350</v>
      </c>
      <c r="C53" s="255">
        <v>45734.0</v>
      </c>
      <c r="D53" s="129" t="s">
        <v>198</v>
      </c>
      <c r="E53" s="68" t="b">
        <v>0</v>
      </c>
      <c r="F53" s="129" t="s">
        <v>353</v>
      </c>
      <c r="G53" s="73">
        <f t="shared" si="5"/>
        <v>4</v>
      </c>
      <c r="H53" s="75">
        <v>4.0</v>
      </c>
      <c r="I53" s="159">
        <v>45019.0</v>
      </c>
      <c r="J53" s="68" t="b">
        <v>1</v>
      </c>
      <c r="K53" s="142">
        <v>45201.0</v>
      </c>
      <c r="L53" s="68" t="b">
        <v>1</v>
      </c>
      <c r="M53" s="142">
        <v>45384.0</v>
      </c>
      <c r="N53" s="68" t="b">
        <v>1</v>
      </c>
      <c r="O53" s="93">
        <v>45734.0</v>
      </c>
      <c r="P53" s="68" t="b">
        <v>1</v>
      </c>
      <c r="Q53" s="93"/>
      <c r="R53" s="68"/>
      <c r="S53" s="93"/>
      <c r="T53" s="68"/>
      <c r="U53" s="93"/>
      <c r="V53" s="68"/>
      <c r="W53" s="93"/>
      <c r="X53" s="68"/>
      <c r="Y53" s="68"/>
      <c r="Z53" s="68"/>
      <c r="AA53" s="68"/>
      <c r="AB53" s="68"/>
      <c r="AC53" s="68"/>
      <c r="AD53" s="68"/>
      <c r="AE53" s="68"/>
      <c r="AF53" s="68"/>
      <c r="AG53" s="277"/>
      <c r="AH53" s="173" t="s">
        <v>347</v>
      </c>
    </row>
    <row r="54" ht="22.5" customHeight="1">
      <c r="A54" s="58">
        <f t="shared" si="3"/>
        <v>50</v>
      </c>
      <c r="B54" s="62" t="s">
        <v>356</v>
      </c>
      <c r="C54" s="255">
        <v>45741.0</v>
      </c>
      <c r="D54" s="129" t="s">
        <v>358</v>
      </c>
      <c r="E54" s="68" t="b">
        <v>1</v>
      </c>
      <c r="F54" s="271">
        <v>45804.0</v>
      </c>
      <c r="G54" s="73">
        <f t="shared" si="5"/>
        <v>8</v>
      </c>
      <c r="H54" s="75">
        <v>8.0</v>
      </c>
      <c r="I54" s="78">
        <v>44846.0</v>
      </c>
      <c r="J54" s="68" t="b">
        <v>1</v>
      </c>
      <c r="K54" s="142">
        <v>44932.0</v>
      </c>
      <c r="L54" s="68" t="b">
        <v>1</v>
      </c>
      <c r="M54" s="142">
        <v>45040.0</v>
      </c>
      <c r="N54" s="68" t="b">
        <v>1</v>
      </c>
      <c r="O54" s="93">
        <v>45321.0</v>
      </c>
      <c r="P54" s="68" t="b">
        <v>1</v>
      </c>
      <c r="Q54" s="93">
        <v>45412.0</v>
      </c>
      <c r="R54" s="68" t="b">
        <v>1</v>
      </c>
      <c r="S54" s="93">
        <v>45496.0</v>
      </c>
      <c r="T54" s="68" t="b">
        <v>1</v>
      </c>
      <c r="U54" s="93">
        <v>45597.0</v>
      </c>
      <c r="V54" s="68" t="b">
        <v>1</v>
      </c>
      <c r="W54" s="93">
        <v>45741.0</v>
      </c>
      <c r="X54" s="68" t="b">
        <v>1</v>
      </c>
      <c r="Y54" s="68"/>
      <c r="Z54" s="68" t="b">
        <v>0</v>
      </c>
      <c r="AA54" s="68"/>
      <c r="AB54" s="68" t="b">
        <v>0</v>
      </c>
      <c r="AC54" s="68"/>
      <c r="AD54" s="68" t="b">
        <v>0</v>
      </c>
      <c r="AE54" s="68"/>
      <c r="AF54" s="68" t="b">
        <v>0</v>
      </c>
      <c r="AG54" s="349" t="s">
        <v>362</v>
      </c>
      <c r="AH54" s="173" t="s">
        <v>363</v>
      </c>
    </row>
    <row r="55" ht="22.5" customHeight="1">
      <c r="A55" s="58">
        <f t="shared" si="3"/>
        <v>51</v>
      </c>
      <c r="B55" s="62" t="s">
        <v>364</v>
      </c>
      <c r="C55" s="255">
        <v>45851.0</v>
      </c>
      <c r="D55" s="129" t="s">
        <v>240</v>
      </c>
      <c r="E55" s="68" t="b">
        <v>0</v>
      </c>
      <c r="F55" s="129"/>
      <c r="G55" s="73">
        <f t="shared" si="5"/>
        <v>1</v>
      </c>
      <c r="H55" s="75">
        <v>4.0</v>
      </c>
      <c r="I55" s="78">
        <v>45736.0</v>
      </c>
      <c r="J55" s="68" t="b">
        <v>1</v>
      </c>
      <c r="K55" s="78">
        <v>45851.0</v>
      </c>
      <c r="L55" s="79" t="b">
        <v>0</v>
      </c>
      <c r="M55" s="231">
        <v>46035.0</v>
      </c>
      <c r="N55" s="422" t="b">
        <v>0</v>
      </c>
      <c r="O55" s="236">
        <v>46216.0</v>
      </c>
      <c r="P55" s="137" t="b">
        <v>0</v>
      </c>
      <c r="Q55" s="87"/>
      <c r="R55" s="143"/>
      <c r="S55" s="87"/>
      <c r="T55" s="143"/>
      <c r="U55" s="87"/>
      <c r="V55" s="143"/>
      <c r="W55" s="87"/>
      <c r="X55" s="143"/>
      <c r="Y55" s="68"/>
      <c r="Z55" s="143"/>
      <c r="AA55" s="68"/>
      <c r="AB55" s="143"/>
      <c r="AC55" s="143"/>
      <c r="AD55" s="143"/>
      <c r="AE55" s="143"/>
      <c r="AF55" s="143"/>
      <c r="AG55" s="108"/>
      <c r="AH55" s="173" t="s">
        <v>261</v>
      </c>
    </row>
    <row r="56" ht="22.5" customHeight="1">
      <c r="A56" s="58">
        <f t="shared" si="3"/>
        <v>52</v>
      </c>
      <c r="B56" s="62" t="s">
        <v>366</v>
      </c>
      <c r="C56" s="255">
        <v>45851.0</v>
      </c>
      <c r="D56" s="129" t="s">
        <v>240</v>
      </c>
      <c r="E56" s="68" t="b">
        <v>0</v>
      </c>
      <c r="F56" s="129"/>
      <c r="G56" s="73">
        <f t="shared" si="5"/>
        <v>1</v>
      </c>
      <c r="H56" s="75">
        <v>4.0</v>
      </c>
      <c r="I56" s="78">
        <v>45736.0</v>
      </c>
      <c r="J56" s="68" t="b">
        <v>1</v>
      </c>
      <c r="K56" s="78">
        <v>45851.0</v>
      </c>
      <c r="L56" s="79" t="b">
        <v>0</v>
      </c>
      <c r="M56" s="231">
        <v>46035.0</v>
      </c>
      <c r="N56" s="422" t="b">
        <v>0</v>
      </c>
      <c r="O56" s="236">
        <v>46216.0</v>
      </c>
      <c r="P56" s="137" t="b">
        <v>0</v>
      </c>
      <c r="Q56" s="87"/>
      <c r="R56" s="143"/>
      <c r="S56" s="87"/>
      <c r="T56" s="143"/>
      <c r="U56" s="87"/>
      <c r="V56" s="143"/>
      <c r="W56" s="87"/>
      <c r="X56" s="143"/>
      <c r="Y56" s="143"/>
      <c r="Z56" s="143"/>
      <c r="AA56" s="143"/>
      <c r="AB56" s="143"/>
      <c r="AC56" s="143"/>
      <c r="AD56" s="143"/>
      <c r="AE56" s="143"/>
      <c r="AF56" s="143"/>
      <c r="AG56" s="108"/>
      <c r="AH56" s="397" t="s">
        <v>317</v>
      </c>
    </row>
    <row r="57" ht="22.5" customHeight="1">
      <c r="A57" s="58">
        <f t="shared" si="3"/>
        <v>53</v>
      </c>
      <c r="B57" s="202" t="s">
        <v>370</v>
      </c>
      <c r="C57" s="255">
        <v>45832.0</v>
      </c>
      <c r="D57" s="129" t="s">
        <v>371</v>
      </c>
      <c r="E57" s="68" t="b">
        <v>0</v>
      </c>
      <c r="F57" s="129"/>
      <c r="G57" s="73">
        <f t="shared" si="5"/>
        <v>1</v>
      </c>
      <c r="H57" s="75">
        <v>4.0</v>
      </c>
      <c r="I57" s="236">
        <v>45706.0</v>
      </c>
      <c r="J57" s="137" t="b">
        <v>1</v>
      </c>
      <c r="K57" s="231">
        <v>45832.0</v>
      </c>
      <c r="L57" s="259" t="b">
        <v>0</v>
      </c>
      <c r="M57" s="236">
        <v>46014.0</v>
      </c>
      <c r="N57" s="259" t="b">
        <v>0</v>
      </c>
      <c r="O57" s="236">
        <v>46196.0</v>
      </c>
      <c r="P57" s="137" t="b">
        <v>0</v>
      </c>
      <c r="Q57" s="214"/>
      <c r="R57" s="215"/>
      <c r="S57" s="214"/>
      <c r="T57" s="215"/>
      <c r="U57" s="214"/>
      <c r="V57" s="215"/>
      <c r="W57" s="214"/>
      <c r="X57" s="215"/>
      <c r="Y57" s="215"/>
      <c r="Z57" s="215"/>
      <c r="AA57" s="215"/>
      <c r="AB57" s="215"/>
      <c r="AC57" s="215"/>
      <c r="AD57" s="215"/>
      <c r="AE57" s="215"/>
      <c r="AF57" s="215"/>
      <c r="AG57" s="216"/>
      <c r="AH57" s="173" t="s">
        <v>372</v>
      </c>
    </row>
    <row r="58" ht="22.5" customHeight="1">
      <c r="A58" s="247">
        <f t="shared" si="3"/>
        <v>54</v>
      </c>
      <c r="B58" s="72" t="s">
        <v>375</v>
      </c>
      <c r="C58" s="255">
        <v>45460.0</v>
      </c>
      <c r="D58" s="129" t="s">
        <v>198</v>
      </c>
      <c r="E58" s="68" t="b">
        <v>1</v>
      </c>
      <c r="F58" s="129" t="s">
        <v>278</v>
      </c>
      <c r="G58" s="73">
        <f t="shared" si="5"/>
        <v>4</v>
      </c>
      <c r="H58" s="75">
        <v>4.0</v>
      </c>
      <c r="I58" s="159">
        <v>44562.0</v>
      </c>
      <c r="J58" s="68" t="b">
        <v>1</v>
      </c>
      <c r="K58" s="142">
        <v>45091.0</v>
      </c>
      <c r="L58" s="68" t="b">
        <v>1</v>
      </c>
      <c r="M58" s="142">
        <v>45313.0</v>
      </c>
      <c r="N58" s="68" t="b">
        <v>1</v>
      </c>
      <c r="O58" s="93">
        <v>45490.0</v>
      </c>
      <c r="P58" s="137" t="b">
        <v>1</v>
      </c>
      <c r="Q58" s="93"/>
      <c r="R58" s="68"/>
      <c r="S58" s="93"/>
      <c r="T58" s="68"/>
      <c r="U58" s="93"/>
      <c r="V58" s="68"/>
      <c r="W58" s="93"/>
      <c r="X58" s="68"/>
      <c r="Y58" s="68"/>
      <c r="Z58" s="68"/>
      <c r="AA58" s="68"/>
      <c r="AB58" s="68"/>
      <c r="AC58" s="68"/>
      <c r="AD58" s="68"/>
      <c r="AE58" s="68"/>
      <c r="AF58" s="68"/>
      <c r="AG58" s="277"/>
      <c r="AH58" s="397" t="s">
        <v>325</v>
      </c>
    </row>
    <row r="59" ht="22.5" customHeight="1">
      <c r="A59" s="58">
        <f t="shared" si="3"/>
        <v>55</v>
      </c>
      <c r="B59" s="62" t="s">
        <v>381</v>
      </c>
      <c r="C59" s="255">
        <v>45815.0</v>
      </c>
      <c r="D59" s="129" t="s">
        <v>82</v>
      </c>
      <c r="E59" s="68" t="b">
        <v>0</v>
      </c>
      <c r="F59" s="129"/>
      <c r="G59" s="73">
        <f t="shared" si="5"/>
        <v>2</v>
      </c>
      <c r="H59" s="75">
        <v>4.0</v>
      </c>
      <c r="I59" s="78">
        <v>45566.0</v>
      </c>
      <c r="J59" s="68" t="b">
        <v>1</v>
      </c>
      <c r="K59" s="142">
        <v>45748.0</v>
      </c>
      <c r="L59" s="68" t="b">
        <v>1</v>
      </c>
      <c r="M59" s="142">
        <v>45937.0</v>
      </c>
      <c r="N59" s="143" t="b">
        <v>0</v>
      </c>
      <c r="O59" s="93">
        <v>46119.0</v>
      </c>
      <c r="P59" s="137" t="b">
        <v>0</v>
      </c>
      <c r="Q59" s="87"/>
      <c r="R59" s="143"/>
      <c r="S59" s="87"/>
      <c r="T59" s="143"/>
      <c r="U59" s="87"/>
      <c r="V59" s="143"/>
      <c r="W59" s="87"/>
      <c r="X59" s="143"/>
      <c r="Y59" s="143"/>
      <c r="Z59" s="143"/>
      <c r="AA59" s="143"/>
      <c r="AB59" s="143"/>
      <c r="AC59" s="143"/>
      <c r="AD59" s="143"/>
      <c r="AE59" s="143"/>
      <c r="AF59" s="143"/>
      <c r="AG59" s="108"/>
      <c r="AH59" s="145" t="s">
        <v>361</v>
      </c>
    </row>
    <row r="60" ht="22.5" customHeight="1">
      <c r="A60" s="58">
        <f t="shared" si="3"/>
        <v>56</v>
      </c>
      <c r="B60" s="62" t="s">
        <v>383</v>
      </c>
      <c r="C60" s="255">
        <v>45799.0</v>
      </c>
      <c r="D60" s="129" t="s">
        <v>371</v>
      </c>
      <c r="E60" s="68" t="b">
        <v>0</v>
      </c>
      <c r="F60" s="129"/>
      <c r="G60" s="73">
        <f t="shared" si="5"/>
        <v>1</v>
      </c>
      <c r="H60" s="75">
        <v>4.0</v>
      </c>
      <c r="I60" s="78">
        <v>45460.0</v>
      </c>
      <c r="J60" s="68" t="b">
        <v>1</v>
      </c>
      <c r="K60" s="87">
        <v>45799.0</v>
      </c>
      <c r="L60" s="68" t="b">
        <v>0</v>
      </c>
      <c r="M60" s="87">
        <v>45821.0</v>
      </c>
      <c r="N60" s="143" t="b">
        <v>0</v>
      </c>
      <c r="O60" s="93">
        <v>46003.0</v>
      </c>
      <c r="P60" s="137" t="b">
        <v>0</v>
      </c>
      <c r="Q60" s="93"/>
      <c r="R60" s="68"/>
      <c r="S60" s="93"/>
      <c r="T60" s="68"/>
      <c r="U60" s="93"/>
      <c r="V60" s="68"/>
      <c r="W60" s="93"/>
      <c r="X60" s="68"/>
      <c r="Y60" s="68"/>
      <c r="Z60" s="68"/>
      <c r="AA60" s="68"/>
      <c r="AB60" s="68"/>
      <c r="AC60" s="68"/>
      <c r="AD60" s="68"/>
      <c r="AE60" s="68"/>
      <c r="AF60" s="68"/>
      <c r="AG60" s="108"/>
      <c r="AH60" s="173" t="s">
        <v>385</v>
      </c>
    </row>
    <row r="61" ht="22.5" customHeight="1">
      <c r="A61" s="58">
        <f t="shared" si="3"/>
        <v>57</v>
      </c>
      <c r="B61" s="62" t="s">
        <v>386</v>
      </c>
      <c r="C61" s="255">
        <v>45825.0</v>
      </c>
      <c r="D61" s="129" t="s">
        <v>387</v>
      </c>
      <c r="E61" s="68" t="b">
        <v>1</v>
      </c>
      <c r="F61" s="129" t="s">
        <v>202</v>
      </c>
      <c r="G61" s="73">
        <f t="shared" si="5"/>
        <v>3</v>
      </c>
      <c r="H61" s="75">
        <v>3.0</v>
      </c>
      <c r="I61" s="78">
        <v>44868.0</v>
      </c>
      <c r="J61" s="83" t="b">
        <v>1</v>
      </c>
      <c r="K61" s="87">
        <v>45008.0</v>
      </c>
      <c r="L61" s="83" t="b">
        <v>1</v>
      </c>
      <c r="M61" s="87">
        <v>45460.0</v>
      </c>
      <c r="N61" s="83" t="b">
        <v>1</v>
      </c>
      <c r="O61" s="93"/>
      <c r="P61" s="143" t="b">
        <v>0</v>
      </c>
      <c r="Q61" s="93"/>
      <c r="R61" s="143" t="b">
        <v>0</v>
      </c>
      <c r="S61" s="93"/>
      <c r="T61" s="143" t="b">
        <v>0</v>
      </c>
      <c r="U61" s="93"/>
      <c r="V61" s="68"/>
      <c r="W61" s="93"/>
      <c r="X61" s="68"/>
      <c r="Y61" s="143"/>
      <c r="Z61" s="143"/>
      <c r="AA61" s="143"/>
      <c r="AB61" s="143"/>
      <c r="AC61" s="68"/>
      <c r="AD61" s="68"/>
      <c r="AE61" s="68"/>
      <c r="AF61" s="68"/>
      <c r="AG61" s="444" t="s">
        <v>390</v>
      </c>
      <c r="AH61" s="120"/>
    </row>
    <row r="62" ht="22.5" customHeight="1">
      <c r="A62" s="58">
        <f t="shared" si="3"/>
        <v>58</v>
      </c>
      <c r="B62" s="113" t="s">
        <v>214</v>
      </c>
      <c r="C62" s="133">
        <v>46006.0</v>
      </c>
      <c r="D62" s="129" t="s">
        <v>50</v>
      </c>
      <c r="E62" s="68" t="b">
        <v>0</v>
      </c>
      <c r="F62" s="129"/>
      <c r="G62" s="73">
        <f t="shared" si="5"/>
        <v>5</v>
      </c>
      <c r="H62" s="75">
        <v>6.0</v>
      </c>
      <c r="I62" s="78">
        <v>44868.0</v>
      </c>
      <c r="J62" s="68" t="b">
        <v>1</v>
      </c>
      <c r="K62" s="87">
        <v>45008.0</v>
      </c>
      <c r="L62" s="68" t="b">
        <v>1</v>
      </c>
      <c r="M62" s="87">
        <v>45266.0</v>
      </c>
      <c r="N62" s="68" t="b">
        <v>1</v>
      </c>
      <c r="O62" s="93">
        <v>45460.0</v>
      </c>
      <c r="P62" s="68" t="b">
        <v>1</v>
      </c>
      <c r="Q62" s="93">
        <v>45678.0</v>
      </c>
      <c r="R62" s="68" t="b">
        <v>1</v>
      </c>
      <c r="S62" s="93">
        <v>46006.0</v>
      </c>
      <c r="T62" s="68" t="b">
        <v>0</v>
      </c>
      <c r="U62" s="93"/>
      <c r="V62" s="68"/>
      <c r="W62" s="93"/>
      <c r="X62" s="68"/>
      <c r="Y62" s="445"/>
      <c r="Z62" s="68"/>
      <c r="AA62" s="445"/>
      <c r="AB62" s="68"/>
      <c r="AC62" s="68"/>
      <c r="AD62" s="68"/>
      <c r="AE62" s="68"/>
      <c r="AF62" s="68"/>
      <c r="AG62" s="444" t="s">
        <v>393</v>
      </c>
      <c r="AH62" s="120"/>
    </row>
    <row r="63" ht="22.5" customHeight="1">
      <c r="A63" s="58">
        <f t="shared" si="3"/>
        <v>59</v>
      </c>
      <c r="B63" s="113" t="s">
        <v>394</v>
      </c>
      <c r="C63" s="255">
        <v>45678.0</v>
      </c>
      <c r="D63" s="129" t="s">
        <v>198</v>
      </c>
      <c r="E63" s="68" t="b">
        <v>1</v>
      </c>
      <c r="F63" s="129" t="s">
        <v>202</v>
      </c>
      <c r="G63" s="73">
        <f t="shared" si="5"/>
        <v>4</v>
      </c>
      <c r="H63" s="75">
        <v>4.0</v>
      </c>
      <c r="I63" s="78">
        <v>45008.0</v>
      </c>
      <c r="J63" s="68" t="b">
        <v>1</v>
      </c>
      <c r="K63" s="87">
        <v>45296.0</v>
      </c>
      <c r="L63" s="68" t="b">
        <v>1</v>
      </c>
      <c r="M63" s="87">
        <v>45460.0</v>
      </c>
      <c r="N63" s="68" t="b">
        <v>1</v>
      </c>
      <c r="O63" s="93">
        <v>45678.0</v>
      </c>
      <c r="P63" s="68" t="b">
        <v>1</v>
      </c>
      <c r="Q63" s="93"/>
      <c r="R63" s="68"/>
      <c r="S63" s="93"/>
      <c r="T63" s="68"/>
      <c r="U63" s="93"/>
      <c r="V63" s="68"/>
      <c r="W63" s="93"/>
      <c r="X63" s="68"/>
      <c r="Y63" s="68"/>
      <c r="Z63" s="68"/>
      <c r="AA63" s="68"/>
      <c r="AB63" s="68"/>
      <c r="AC63" s="68"/>
      <c r="AD63" s="68"/>
      <c r="AE63" s="68"/>
      <c r="AF63" s="68"/>
      <c r="AG63" s="277"/>
      <c r="AH63" s="173" t="s">
        <v>398</v>
      </c>
    </row>
    <row r="64" ht="22.5" customHeight="1">
      <c r="A64" s="58">
        <f t="shared" si="3"/>
        <v>60</v>
      </c>
      <c r="B64" s="72" t="s">
        <v>399</v>
      </c>
      <c r="C64" s="255">
        <v>45705.0</v>
      </c>
      <c r="D64" s="129" t="s">
        <v>198</v>
      </c>
      <c r="E64" s="68" t="b">
        <v>1</v>
      </c>
      <c r="F64" s="129" t="s">
        <v>202</v>
      </c>
      <c r="G64" s="73">
        <f t="shared" si="5"/>
        <v>4</v>
      </c>
      <c r="H64" s="75">
        <v>4.0</v>
      </c>
      <c r="I64" s="78">
        <v>45008.0</v>
      </c>
      <c r="J64" s="68" t="b">
        <v>1</v>
      </c>
      <c r="K64" s="87">
        <v>45306.0</v>
      </c>
      <c r="L64" s="68" t="b">
        <v>1</v>
      </c>
      <c r="M64" s="87">
        <v>45495.0</v>
      </c>
      <c r="N64" s="68" t="b">
        <v>1</v>
      </c>
      <c r="O64" s="93">
        <v>45705.0</v>
      </c>
      <c r="P64" s="68" t="b">
        <v>1</v>
      </c>
      <c r="Q64" s="93"/>
      <c r="R64" s="68"/>
      <c r="S64" s="93"/>
      <c r="T64" s="68"/>
      <c r="U64" s="93"/>
      <c r="V64" s="68"/>
      <c r="W64" s="93"/>
      <c r="X64" s="68"/>
      <c r="Y64" s="68"/>
      <c r="Z64" s="68"/>
      <c r="AA64" s="68"/>
      <c r="AB64" s="68"/>
      <c r="AC64" s="68"/>
      <c r="AD64" s="68"/>
      <c r="AE64" s="68"/>
      <c r="AF64" s="68"/>
      <c r="AG64" s="277"/>
      <c r="AH64" s="173" t="s">
        <v>400</v>
      </c>
    </row>
    <row r="65" ht="22.5" customHeight="1">
      <c r="A65" s="58">
        <f t="shared" si="3"/>
        <v>61</v>
      </c>
      <c r="B65" s="62" t="s">
        <v>401</v>
      </c>
      <c r="C65" s="255">
        <v>45796.0</v>
      </c>
      <c r="D65" s="129" t="s">
        <v>60</v>
      </c>
      <c r="E65" s="68" t="b">
        <v>0</v>
      </c>
      <c r="F65" s="129"/>
      <c r="G65" s="73">
        <f t="shared" si="5"/>
        <v>5</v>
      </c>
      <c r="H65" s="75">
        <v>6.0</v>
      </c>
      <c r="I65" s="78">
        <v>44880.0</v>
      </c>
      <c r="J65" s="68" t="b">
        <v>1</v>
      </c>
      <c r="K65" s="87">
        <v>45015.0</v>
      </c>
      <c r="L65" s="68" t="b">
        <v>1</v>
      </c>
      <c r="M65" s="87">
        <v>45254.0</v>
      </c>
      <c r="N65" s="68" t="b">
        <v>1</v>
      </c>
      <c r="O65" s="93">
        <v>45470.0</v>
      </c>
      <c r="P65" s="68" t="b">
        <v>1</v>
      </c>
      <c r="Q65" s="93">
        <v>45626.0</v>
      </c>
      <c r="R65" s="68" t="b">
        <v>1</v>
      </c>
      <c r="S65" s="93">
        <v>45796.0</v>
      </c>
      <c r="T65" s="68" t="b">
        <v>0</v>
      </c>
      <c r="U65" s="93"/>
      <c r="V65" s="68"/>
      <c r="W65" s="93"/>
      <c r="X65" s="68"/>
      <c r="Y65" s="68"/>
      <c r="Z65" s="68"/>
      <c r="AA65" s="68"/>
      <c r="AB65" s="68"/>
      <c r="AC65" s="68"/>
      <c r="AD65" s="68"/>
      <c r="AE65" s="68"/>
      <c r="AF65" s="68"/>
      <c r="AG65" s="108"/>
      <c r="AH65" s="120"/>
    </row>
    <row r="66" ht="22.5" customHeight="1">
      <c r="A66" s="58">
        <f t="shared" si="3"/>
        <v>62</v>
      </c>
      <c r="B66" s="177" t="s">
        <v>403</v>
      </c>
      <c r="C66" s="129"/>
      <c r="D66" s="129"/>
      <c r="E66" s="68" t="b">
        <v>0</v>
      </c>
      <c r="F66" s="129"/>
      <c r="G66" s="73">
        <f t="shared" si="5"/>
        <v>0</v>
      </c>
      <c r="H66" s="75">
        <v>4.0</v>
      </c>
      <c r="I66" s="179"/>
      <c r="J66" s="183" t="b">
        <v>0</v>
      </c>
      <c r="K66" s="181"/>
      <c r="L66" s="183" t="b">
        <v>0</v>
      </c>
      <c r="M66" s="181"/>
      <c r="N66" s="453" t="b">
        <v>0</v>
      </c>
      <c r="O66" s="185"/>
      <c r="P66" s="187" t="b">
        <v>0</v>
      </c>
      <c r="Q66" s="181"/>
      <c r="R66" s="189"/>
      <c r="S66" s="181"/>
      <c r="T66" s="189"/>
      <c r="U66" s="181"/>
      <c r="V66" s="189"/>
      <c r="W66" s="181"/>
      <c r="X66" s="189"/>
      <c r="Y66" s="189"/>
      <c r="Z66" s="189"/>
      <c r="AA66" s="189"/>
      <c r="AB66" s="189"/>
      <c r="AC66" s="189"/>
      <c r="AD66" s="189"/>
      <c r="AE66" s="189"/>
      <c r="AF66" s="189"/>
      <c r="AG66" s="191"/>
      <c r="AH66" s="110"/>
    </row>
    <row r="67" ht="22.5" customHeight="1">
      <c r="A67" s="58">
        <f t="shared" si="3"/>
        <v>63</v>
      </c>
      <c r="B67" s="306" t="s">
        <v>404</v>
      </c>
      <c r="C67" s="255">
        <v>45787.0</v>
      </c>
      <c r="D67" s="129" t="s">
        <v>406</v>
      </c>
      <c r="E67" s="68" t="b">
        <v>0</v>
      </c>
      <c r="F67" s="129"/>
      <c r="G67" s="73">
        <f t="shared" si="5"/>
        <v>6</v>
      </c>
      <c r="H67" s="258">
        <v>12.0</v>
      </c>
      <c r="I67" s="96">
        <v>44881.0</v>
      </c>
      <c r="J67" s="454" t="b">
        <v>1</v>
      </c>
      <c r="K67" s="93">
        <v>44999.0</v>
      </c>
      <c r="L67" s="454" t="b">
        <v>1</v>
      </c>
      <c r="M67" s="93">
        <v>45120.0</v>
      </c>
      <c r="N67" s="454" t="b">
        <v>1</v>
      </c>
      <c r="O67" s="93">
        <v>45338.0</v>
      </c>
      <c r="P67" s="137" t="b">
        <v>1</v>
      </c>
      <c r="Q67" s="93">
        <v>45610.0</v>
      </c>
      <c r="R67" s="68" t="b">
        <v>1</v>
      </c>
      <c r="S67" s="207">
        <v>45701.0</v>
      </c>
      <c r="T67" s="68" t="b">
        <v>1</v>
      </c>
      <c r="U67" s="207">
        <v>45787.0</v>
      </c>
      <c r="V67" s="68" t="b">
        <v>0</v>
      </c>
      <c r="W67" s="93">
        <v>45883.0</v>
      </c>
      <c r="X67" s="68" t="b">
        <v>0</v>
      </c>
      <c r="Y67" s="455">
        <v>45974.0</v>
      </c>
      <c r="Z67" s="68" t="b">
        <v>0</v>
      </c>
      <c r="AA67" s="455">
        <v>46065.0</v>
      </c>
      <c r="AB67" s="68" t="b">
        <v>0</v>
      </c>
      <c r="AC67" s="456">
        <v>46156.0</v>
      </c>
      <c r="AD67" s="68" t="b">
        <v>0</v>
      </c>
      <c r="AE67" s="456">
        <v>46247.0</v>
      </c>
      <c r="AF67" s="68" t="b">
        <v>0</v>
      </c>
      <c r="AG67" s="263"/>
      <c r="AH67" s="110"/>
    </row>
    <row r="68" ht="22.5" customHeight="1">
      <c r="A68" s="58">
        <f t="shared" si="3"/>
        <v>64</v>
      </c>
      <c r="B68" s="62" t="s">
        <v>411</v>
      </c>
      <c r="C68" s="255">
        <v>45797.0</v>
      </c>
      <c r="D68" s="129" t="s">
        <v>60</v>
      </c>
      <c r="E68" s="68" t="b">
        <v>0</v>
      </c>
      <c r="F68" s="129"/>
      <c r="G68" s="73">
        <f t="shared" si="5"/>
        <v>3</v>
      </c>
      <c r="H68" s="75">
        <v>4.0</v>
      </c>
      <c r="I68" s="87">
        <v>45120.0</v>
      </c>
      <c r="J68" s="68" t="b">
        <v>1</v>
      </c>
      <c r="K68" s="87">
        <v>45316.0</v>
      </c>
      <c r="L68" s="68" t="b">
        <v>1</v>
      </c>
      <c r="M68" s="87">
        <v>45496.0</v>
      </c>
      <c r="N68" s="83" t="b">
        <v>1</v>
      </c>
      <c r="O68" s="93">
        <v>45797.0</v>
      </c>
      <c r="P68" s="68" t="b">
        <v>0</v>
      </c>
      <c r="Q68" s="93"/>
      <c r="R68" s="68"/>
      <c r="S68" s="93"/>
      <c r="T68" s="68"/>
      <c r="U68" s="93"/>
      <c r="V68" s="68"/>
      <c r="W68" s="93"/>
      <c r="X68" s="68"/>
      <c r="Y68" s="68"/>
      <c r="Z68" s="68"/>
      <c r="AA68" s="68"/>
      <c r="AB68" s="68"/>
      <c r="AC68" s="68"/>
      <c r="AD68" s="68"/>
      <c r="AE68" s="68"/>
      <c r="AF68" s="68"/>
      <c r="AG68" s="277"/>
      <c r="AH68" s="110"/>
    </row>
    <row r="69" ht="22.5" customHeight="1">
      <c r="A69" s="58">
        <f t="shared" si="3"/>
        <v>65</v>
      </c>
      <c r="B69" s="62" t="s">
        <v>413</v>
      </c>
      <c r="C69" s="255">
        <v>45785.0</v>
      </c>
      <c r="D69" s="129" t="s">
        <v>198</v>
      </c>
      <c r="E69" s="68" t="b">
        <v>0</v>
      </c>
      <c r="F69" s="129"/>
      <c r="G69" s="73">
        <f t="shared" si="5"/>
        <v>4</v>
      </c>
      <c r="H69" s="75">
        <v>4.0</v>
      </c>
      <c r="I69" s="78">
        <v>45255.0</v>
      </c>
      <c r="J69" s="79" t="b">
        <v>1</v>
      </c>
      <c r="K69" s="231">
        <v>45467.0</v>
      </c>
      <c r="L69" s="79" t="b">
        <v>1</v>
      </c>
      <c r="M69" s="231">
        <v>45616.0</v>
      </c>
      <c r="N69" s="68" t="b">
        <v>1</v>
      </c>
      <c r="O69" s="93">
        <v>45797.0</v>
      </c>
      <c r="P69" s="68" t="b">
        <v>1</v>
      </c>
      <c r="Q69" s="93"/>
      <c r="R69" s="68"/>
      <c r="S69" s="93"/>
      <c r="T69" s="68"/>
      <c r="U69" s="93"/>
      <c r="V69" s="68"/>
      <c r="W69" s="93"/>
      <c r="X69" s="68"/>
      <c r="Y69" s="68"/>
      <c r="Z69" s="68"/>
      <c r="AA69" s="68"/>
      <c r="AB69" s="68"/>
      <c r="AC69" s="68"/>
      <c r="AD69" s="68"/>
      <c r="AE69" s="68"/>
      <c r="AF69" s="68"/>
      <c r="AG69" s="108"/>
      <c r="AH69" s="110"/>
    </row>
    <row r="70" ht="22.5" customHeight="1">
      <c r="A70" s="58">
        <f t="shared" si="3"/>
        <v>66</v>
      </c>
      <c r="B70" s="72" t="s">
        <v>416</v>
      </c>
      <c r="C70" s="133">
        <v>46002.0</v>
      </c>
      <c r="D70" s="129" t="s">
        <v>175</v>
      </c>
      <c r="E70" s="68" t="b">
        <v>1</v>
      </c>
      <c r="F70" s="129" t="s">
        <v>202</v>
      </c>
      <c r="G70" s="73">
        <f t="shared" si="5"/>
        <v>4</v>
      </c>
      <c r="H70" s="75">
        <v>4.0</v>
      </c>
      <c r="I70" s="78">
        <v>45104.0</v>
      </c>
      <c r="J70" s="83" t="b">
        <v>1</v>
      </c>
      <c r="K70" s="87">
        <v>45320.0</v>
      </c>
      <c r="L70" s="83" t="b">
        <v>1</v>
      </c>
      <c r="M70" s="87">
        <v>45471.0</v>
      </c>
      <c r="N70" s="83" t="b">
        <v>1</v>
      </c>
      <c r="O70" s="93">
        <v>45637.0</v>
      </c>
      <c r="P70" s="68" t="b">
        <v>1</v>
      </c>
      <c r="Q70" s="93"/>
      <c r="R70" s="68"/>
      <c r="S70" s="93"/>
      <c r="T70" s="68"/>
      <c r="U70" s="93"/>
      <c r="V70" s="68"/>
      <c r="W70" s="93"/>
      <c r="X70" s="68"/>
      <c r="Y70" s="68"/>
      <c r="Z70" s="68"/>
      <c r="AA70" s="68"/>
      <c r="AB70" s="68"/>
      <c r="AC70" s="68"/>
      <c r="AD70" s="68"/>
      <c r="AE70" s="68"/>
      <c r="AF70" s="68"/>
      <c r="AG70" s="253"/>
      <c r="AH70" s="110"/>
    </row>
    <row r="71" ht="22.5" customHeight="1">
      <c r="A71" s="58">
        <f t="shared" si="3"/>
        <v>67</v>
      </c>
      <c r="B71" s="72" t="s">
        <v>417</v>
      </c>
      <c r="C71" s="129"/>
      <c r="D71" s="129" t="s">
        <v>418</v>
      </c>
      <c r="E71" s="68" t="b">
        <v>0</v>
      </c>
      <c r="F71" s="129"/>
      <c r="G71" s="73">
        <f t="shared" si="5"/>
        <v>1</v>
      </c>
      <c r="H71" s="75">
        <v>2.0</v>
      </c>
      <c r="I71" s="78">
        <v>45463.0</v>
      </c>
      <c r="J71" s="83" t="b">
        <v>1</v>
      </c>
      <c r="K71" s="87">
        <v>45632.0</v>
      </c>
      <c r="L71" s="83" t="b">
        <v>0</v>
      </c>
      <c r="M71" s="87"/>
      <c r="N71" s="83"/>
      <c r="O71" s="93"/>
      <c r="P71" s="68"/>
      <c r="Q71" s="93"/>
      <c r="R71" s="68"/>
      <c r="S71" s="93"/>
      <c r="T71" s="68"/>
      <c r="U71" s="93"/>
      <c r="V71" s="68"/>
      <c r="W71" s="93"/>
      <c r="X71" s="68"/>
      <c r="Y71" s="68"/>
      <c r="Z71" s="68"/>
      <c r="AA71" s="68"/>
      <c r="AB71" s="68"/>
      <c r="AC71" s="68"/>
      <c r="AD71" s="68"/>
      <c r="AE71" s="68"/>
      <c r="AF71" s="68"/>
      <c r="AG71" s="108" t="s">
        <v>423</v>
      </c>
      <c r="AH71" s="110"/>
    </row>
    <row r="72" ht="22.5" customHeight="1">
      <c r="A72" s="58">
        <f t="shared" si="3"/>
        <v>68</v>
      </c>
      <c r="B72" s="464" t="s">
        <v>424</v>
      </c>
      <c r="C72" s="255">
        <v>45787.0</v>
      </c>
      <c r="D72" s="129" t="s">
        <v>60</v>
      </c>
      <c r="E72" s="68" t="b">
        <v>0</v>
      </c>
      <c r="F72" s="129"/>
      <c r="G72" s="73">
        <f t="shared" si="5"/>
        <v>3</v>
      </c>
      <c r="H72" s="75">
        <v>4.0</v>
      </c>
      <c r="I72" s="78">
        <v>45227.0</v>
      </c>
      <c r="J72" s="68" t="b">
        <v>1</v>
      </c>
      <c r="K72" s="87">
        <v>45449.0</v>
      </c>
      <c r="L72" s="68" t="b">
        <v>1</v>
      </c>
      <c r="M72" s="87">
        <v>45628.0</v>
      </c>
      <c r="N72" s="68" t="b">
        <v>1</v>
      </c>
      <c r="O72" s="93">
        <v>45787.0</v>
      </c>
      <c r="P72" s="68" t="b">
        <v>0</v>
      </c>
      <c r="Q72" s="93"/>
      <c r="R72" s="68"/>
      <c r="S72" s="93"/>
      <c r="T72" s="68"/>
      <c r="U72" s="93"/>
      <c r="V72" s="68"/>
      <c r="W72" s="93"/>
      <c r="X72" s="68"/>
      <c r="Y72" s="68"/>
      <c r="Z72" s="68"/>
      <c r="AA72" s="68"/>
      <c r="AB72" s="68"/>
      <c r="AC72" s="68"/>
      <c r="AD72" s="68"/>
      <c r="AE72" s="68"/>
      <c r="AF72" s="68"/>
      <c r="AG72" s="108"/>
      <c r="AH72" s="173" t="s">
        <v>325</v>
      </c>
    </row>
    <row r="73" ht="22.5" customHeight="1">
      <c r="A73" s="58">
        <f t="shared" si="3"/>
        <v>69</v>
      </c>
      <c r="B73" s="465" t="s">
        <v>428</v>
      </c>
      <c r="C73" s="129"/>
      <c r="D73" s="129"/>
      <c r="E73" s="68" t="b">
        <v>0</v>
      </c>
      <c r="F73" s="129"/>
      <c r="G73" s="73">
        <f t="shared" si="5"/>
        <v>2</v>
      </c>
      <c r="H73" s="75">
        <v>2.0</v>
      </c>
      <c r="I73" s="78">
        <v>44562.0</v>
      </c>
      <c r="J73" s="83" t="b">
        <v>1</v>
      </c>
      <c r="K73" s="87">
        <v>45086.0</v>
      </c>
      <c r="L73" s="83" t="b">
        <v>1</v>
      </c>
      <c r="M73" s="87"/>
      <c r="N73" s="83"/>
      <c r="O73" s="93"/>
      <c r="P73" s="68"/>
      <c r="Q73" s="93"/>
      <c r="R73" s="68"/>
      <c r="S73" s="93"/>
      <c r="T73" s="68"/>
      <c r="U73" s="93"/>
      <c r="V73" s="68"/>
      <c r="W73" s="93"/>
      <c r="X73" s="68"/>
      <c r="Y73" s="68"/>
      <c r="Z73" s="68"/>
      <c r="AA73" s="68"/>
      <c r="AB73" s="68"/>
      <c r="AC73" s="68"/>
      <c r="AD73" s="68"/>
      <c r="AE73" s="68"/>
      <c r="AF73" s="68"/>
      <c r="AG73" s="108" t="s">
        <v>58</v>
      </c>
      <c r="AH73" s="110"/>
    </row>
    <row r="74" ht="22.5" customHeight="1">
      <c r="A74" s="58">
        <f t="shared" si="3"/>
        <v>70</v>
      </c>
      <c r="B74" s="62" t="s">
        <v>434</v>
      </c>
      <c r="C74" s="255">
        <v>45846.0</v>
      </c>
      <c r="D74" s="129" t="s">
        <v>240</v>
      </c>
      <c r="E74" s="68" t="b">
        <v>0</v>
      </c>
      <c r="F74" s="129"/>
      <c r="G74" s="73">
        <f t="shared" si="5"/>
        <v>1</v>
      </c>
      <c r="H74" s="75">
        <v>4.0</v>
      </c>
      <c r="I74" s="78">
        <v>45628.0</v>
      </c>
      <c r="J74" s="83" t="b">
        <v>1</v>
      </c>
      <c r="K74" s="87">
        <v>45846.0</v>
      </c>
      <c r="L74" s="136" t="b">
        <v>0</v>
      </c>
      <c r="M74" s="93">
        <v>46035.0</v>
      </c>
      <c r="N74" s="454" t="b">
        <v>0</v>
      </c>
      <c r="O74" s="93">
        <v>46217.0</v>
      </c>
      <c r="P74" s="68" t="b">
        <v>0</v>
      </c>
      <c r="Q74" s="93"/>
      <c r="R74" s="68"/>
      <c r="S74" s="93"/>
      <c r="T74" s="68"/>
      <c r="U74" s="93"/>
      <c r="V74" s="68"/>
      <c r="W74" s="93"/>
      <c r="X74" s="68"/>
      <c r="Y74" s="68"/>
      <c r="Z74" s="68"/>
      <c r="AA74" s="68"/>
      <c r="AB74" s="68"/>
      <c r="AC74" s="68"/>
      <c r="AD74" s="68"/>
      <c r="AE74" s="68"/>
      <c r="AF74" s="68"/>
      <c r="AG74" s="253"/>
      <c r="AH74" s="110"/>
    </row>
    <row r="75" ht="26.25" customHeight="1">
      <c r="A75" s="58">
        <f t="shared" si="3"/>
        <v>71</v>
      </c>
      <c r="B75" s="72" t="s">
        <v>438</v>
      </c>
      <c r="C75" s="255">
        <v>45722.0</v>
      </c>
      <c r="D75" s="129" t="s">
        <v>198</v>
      </c>
      <c r="E75" s="68" t="b">
        <v>0</v>
      </c>
      <c r="F75" s="129" t="s">
        <v>202</v>
      </c>
      <c r="G75" s="73">
        <f t="shared" si="5"/>
        <v>3</v>
      </c>
      <c r="H75" s="75">
        <v>4.0</v>
      </c>
      <c r="I75" s="87">
        <v>44874.0</v>
      </c>
      <c r="J75" s="83" t="b">
        <v>1</v>
      </c>
      <c r="K75" s="87">
        <v>44927.0</v>
      </c>
      <c r="L75" s="83" t="b">
        <v>0</v>
      </c>
      <c r="M75" s="87">
        <v>45082.0</v>
      </c>
      <c r="N75" s="83" t="b">
        <v>1</v>
      </c>
      <c r="O75" s="93">
        <v>45357.0</v>
      </c>
      <c r="P75" s="68" t="b">
        <v>1</v>
      </c>
      <c r="Q75" s="93"/>
      <c r="R75" s="68"/>
      <c r="S75" s="93"/>
      <c r="T75" s="68"/>
      <c r="U75" s="93"/>
      <c r="V75" s="68"/>
      <c r="W75" s="93"/>
      <c r="X75" s="68"/>
      <c r="Y75" s="68"/>
      <c r="Z75" s="68"/>
      <c r="AA75" s="68"/>
      <c r="AB75" s="68"/>
      <c r="AC75" s="68"/>
      <c r="AD75" s="68"/>
      <c r="AE75" s="68"/>
      <c r="AF75" s="68"/>
      <c r="AG75" s="108"/>
      <c r="AH75" s="110"/>
    </row>
    <row r="76" ht="24.0" customHeight="1">
      <c r="A76" s="58">
        <f t="shared" si="3"/>
        <v>72</v>
      </c>
      <c r="B76" s="62" t="s">
        <v>443</v>
      </c>
      <c r="C76" s="255">
        <v>45811.0</v>
      </c>
      <c r="D76" s="129" t="s">
        <v>60</v>
      </c>
      <c r="E76" s="68" t="b">
        <v>0</v>
      </c>
      <c r="F76" s="129"/>
      <c r="G76" s="73">
        <f t="shared" si="5"/>
        <v>8</v>
      </c>
      <c r="H76" s="75">
        <v>8.0</v>
      </c>
      <c r="I76" s="78">
        <v>44562.0</v>
      </c>
      <c r="J76" s="83" t="b">
        <v>1</v>
      </c>
      <c r="K76" s="87">
        <v>44679.0</v>
      </c>
      <c r="L76" s="83" t="b">
        <v>1</v>
      </c>
      <c r="M76" s="87">
        <v>44876.0</v>
      </c>
      <c r="N76" s="83" t="b">
        <v>1</v>
      </c>
      <c r="O76" s="87">
        <v>45055.0</v>
      </c>
      <c r="P76" s="68" t="b">
        <v>1</v>
      </c>
      <c r="Q76" s="93">
        <v>45313.0</v>
      </c>
      <c r="R76" s="68" t="b">
        <v>1</v>
      </c>
      <c r="S76" s="87">
        <v>45492.0</v>
      </c>
      <c r="T76" s="68" t="b">
        <v>1</v>
      </c>
      <c r="U76" s="87">
        <v>45633.0</v>
      </c>
      <c r="V76" s="68" t="b">
        <v>1</v>
      </c>
      <c r="W76" s="93">
        <v>45811.0</v>
      </c>
      <c r="X76" s="68" t="b">
        <v>0</v>
      </c>
      <c r="Y76" s="478">
        <v>46209.0</v>
      </c>
      <c r="Z76" s="68" t="b">
        <v>1</v>
      </c>
      <c r="AA76" s="68"/>
      <c r="AB76" s="68" t="b">
        <v>0</v>
      </c>
      <c r="AC76" s="68"/>
      <c r="AD76" s="68" t="b">
        <v>0</v>
      </c>
      <c r="AE76" s="68"/>
      <c r="AF76" s="68" t="b">
        <v>0</v>
      </c>
      <c r="AG76" s="108"/>
      <c r="AH76" s="110"/>
    </row>
    <row r="77" ht="24.75" customHeight="1">
      <c r="A77" s="58">
        <f t="shared" si="3"/>
        <v>73</v>
      </c>
      <c r="B77" s="62" t="s">
        <v>446</v>
      </c>
      <c r="C77" s="255">
        <v>45849.0</v>
      </c>
      <c r="D77" s="129" t="s">
        <v>82</v>
      </c>
      <c r="E77" s="68" t="b">
        <v>0</v>
      </c>
      <c r="F77" s="129"/>
      <c r="G77" s="73">
        <f t="shared" si="5"/>
        <v>2</v>
      </c>
      <c r="H77" s="75">
        <v>4.0</v>
      </c>
      <c r="I77" s="96">
        <v>45485.0</v>
      </c>
      <c r="J77" s="83" t="b">
        <v>1</v>
      </c>
      <c r="K77" s="93">
        <v>45667.0</v>
      </c>
      <c r="L77" s="83" t="b">
        <v>1</v>
      </c>
      <c r="M77" s="93">
        <v>45849.0</v>
      </c>
      <c r="N77" s="136" t="b">
        <v>0</v>
      </c>
      <c r="O77" s="93">
        <v>46031.0</v>
      </c>
      <c r="P77" s="137" t="b">
        <v>0</v>
      </c>
      <c r="Q77" s="93"/>
      <c r="R77" s="68"/>
      <c r="S77" s="93"/>
      <c r="T77" s="68"/>
      <c r="U77" s="93"/>
      <c r="V77" s="68"/>
      <c r="W77" s="93"/>
      <c r="X77" s="68"/>
      <c r="Y77" s="68"/>
      <c r="Z77" s="68"/>
      <c r="AA77" s="68"/>
      <c r="AB77" s="68"/>
      <c r="AC77" s="68"/>
      <c r="AD77" s="68"/>
      <c r="AE77" s="68"/>
      <c r="AF77" s="68"/>
      <c r="AG77" s="108"/>
      <c r="AH77" s="110"/>
    </row>
    <row r="78" ht="22.5" customHeight="1">
      <c r="A78" s="58">
        <f t="shared" si="3"/>
        <v>74</v>
      </c>
      <c r="B78" s="177" t="s">
        <v>448</v>
      </c>
      <c r="C78" s="255">
        <v>45827.0</v>
      </c>
      <c r="D78" s="129" t="s">
        <v>240</v>
      </c>
      <c r="E78" s="68" t="b">
        <v>0</v>
      </c>
      <c r="F78" s="129"/>
      <c r="G78" s="73">
        <f t="shared" si="5"/>
        <v>1</v>
      </c>
      <c r="H78" s="75">
        <v>4.0</v>
      </c>
      <c r="I78" s="78">
        <v>45639.0</v>
      </c>
      <c r="J78" s="83" t="b">
        <v>1</v>
      </c>
      <c r="K78" s="87">
        <v>45827.0</v>
      </c>
      <c r="L78" s="83" t="b">
        <v>0</v>
      </c>
      <c r="M78" s="87">
        <v>46009.0</v>
      </c>
      <c r="N78" s="136" t="b">
        <v>0</v>
      </c>
      <c r="O78" s="96">
        <v>46191.0</v>
      </c>
      <c r="P78" s="137" t="b">
        <v>0</v>
      </c>
      <c r="Q78" s="181"/>
      <c r="R78" s="189"/>
      <c r="S78" s="179"/>
      <c r="T78" s="189"/>
      <c r="U78" s="179"/>
      <c r="V78" s="189"/>
      <c r="W78" s="179"/>
      <c r="X78" s="189"/>
      <c r="Y78" s="189"/>
      <c r="Z78" s="189"/>
      <c r="AA78" s="189"/>
      <c r="AB78" s="189"/>
      <c r="AC78" s="189"/>
      <c r="AD78" s="189"/>
      <c r="AE78" s="189"/>
      <c r="AF78" s="189"/>
      <c r="AG78" s="191"/>
      <c r="AH78" s="194"/>
    </row>
    <row r="79" ht="22.5" customHeight="1">
      <c r="A79" s="58">
        <f t="shared" si="3"/>
        <v>75</v>
      </c>
      <c r="B79" s="482" t="s">
        <v>453</v>
      </c>
      <c r="C79" s="129"/>
      <c r="D79" s="129"/>
      <c r="E79" s="68" t="b">
        <v>0</v>
      </c>
      <c r="F79" s="129"/>
      <c r="G79" s="73">
        <f t="shared" si="5"/>
        <v>0</v>
      </c>
      <c r="H79" s="75">
        <v>4.0</v>
      </c>
      <c r="I79" s="179"/>
      <c r="J79" s="180" t="b">
        <v>0</v>
      </c>
      <c r="K79" s="181"/>
      <c r="L79" s="180" t="b">
        <v>0</v>
      </c>
      <c r="M79" s="181"/>
      <c r="N79" s="453" t="b">
        <v>0</v>
      </c>
      <c r="O79" s="185"/>
      <c r="P79" s="187" t="b">
        <v>0</v>
      </c>
      <c r="Q79" s="181"/>
      <c r="R79" s="189"/>
      <c r="S79" s="181"/>
      <c r="T79" s="189"/>
      <c r="U79" s="181"/>
      <c r="V79" s="189"/>
      <c r="W79" s="181"/>
      <c r="X79" s="189"/>
      <c r="Y79" s="189"/>
      <c r="Z79" s="189"/>
      <c r="AA79" s="189"/>
      <c r="AB79" s="189"/>
      <c r="AC79" s="189"/>
      <c r="AD79" s="189"/>
      <c r="AE79" s="189"/>
      <c r="AF79" s="189"/>
      <c r="AG79" s="191"/>
      <c r="AH79" s="194"/>
    </row>
    <row r="80" ht="22.5" customHeight="1">
      <c r="A80" s="58">
        <f t="shared" si="3"/>
        <v>76</v>
      </c>
      <c r="B80" s="62" t="s">
        <v>454</v>
      </c>
      <c r="C80" s="255">
        <v>45875.0</v>
      </c>
      <c r="D80" s="129" t="s">
        <v>50</v>
      </c>
      <c r="E80" s="68" t="b">
        <v>0</v>
      </c>
      <c r="F80" s="129"/>
      <c r="G80" s="73">
        <f t="shared" si="5"/>
        <v>4</v>
      </c>
      <c r="H80" s="75">
        <v>6.0</v>
      </c>
      <c r="I80" s="87">
        <v>44833.0</v>
      </c>
      <c r="J80" s="68" t="b">
        <v>1</v>
      </c>
      <c r="K80" s="87">
        <v>45014.0</v>
      </c>
      <c r="L80" s="83" t="b">
        <v>1</v>
      </c>
      <c r="M80" s="87">
        <v>45328.0</v>
      </c>
      <c r="N80" s="83" t="b">
        <v>1</v>
      </c>
      <c r="O80" s="93">
        <v>45545.0</v>
      </c>
      <c r="P80" s="137" t="b">
        <v>1</v>
      </c>
      <c r="Q80" s="93">
        <v>45708.0</v>
      </c>
      <c r="R80" s="68" t="b">
        <v>0</v>
      </c>
      <c r="S80" s="93">
        <v>45875.0</v>
      </c>
      <c r="T80" s="137" t="b">
        <v>0</v>
      </c>
      <c r="U80" s="93"/>
      <c r="V80" s="68"/>
      <c r="W80" s="93"/>
      <c r="X80" s="68"/>
      <c r="Y80" s="68"/>
      <c r="Z80" s="68"/>
      <c r="AA80" s="68"/>
      <c r="AB80" s="68"/>
      <c r="AC80" s="68"/>
      <c r="AD80" s="68"/>
      <c r="AE80" s="68"/>
      <c r="AF80" s="68"/>
      <c r="AG80" s="277"/>
      <c r="AH80" s="194"/>
    </row>
    <row r="81" ht="22.5" customHeight="1">
      <c r="A81" s="58">
        <f t="shared" si="3"/>
        <v>77</v>
      </c>
      <c r="B81" s="483" t="s">
        <v>458</v>
      </c>
      <c r="C81" s="255">
        <v>45786.0</v>
      </c>
      <c r="D81" s="129" t="s">
        <v>82</v>
      </c>
      <c r="E81" s="68" t="b">
        <v>0</v>
      </c>
      <c r="F81" s="129"/>
      <c r="G81" s="73">
        <f t="shared" si="5"/>
        <v>2</v>
      </c>
      <c r="H81" s="75">
        <v>4.0</v>
      </c>
      <c r="I81" s="78">
        <v>45490.0</v>
      </c>
      <c r="J81" s="484" t="b">
        <v>1</v>
      </c>
      <c r="K81" s="87">
        <v>45618.0</v>
      </c>
      <c r="L81" s="484" t="b">
        <v>1</v>
      </c>
      <c r="M81" s="87">
        <v>45786.0</v>
      </c>
      <c r="N81" s="485" t="b">
        <v>0</v>
      </c>
      <c r="O81" s="93">
        <v>45975.0</v>
      </c>
      <c r="P81" s="137" t="b">
        <v>0</v>
      </c>
      <c r="Q81" s="93"/>
      <c r="R81" s="68"/>
      <c r="S81" s="93"/>
      <c r="T81" s="68"/>
      <c r="U81" s="93"/>
      <c r="V81" s="68"/>
      <c r="W81" s="93"/>
      <c r="X81" s="68"/>
      <c r="Y81" s="68"/>
      <c r="Z81" s="68"/>
      <c r="AA81" s="68"/>
      <c r="AB81" s="68"/>
      <c r="AC81" s="68"/>
      <c r="AD81" s="68"/>
      <c r="AE81" s="68"/>
      <c r="AF81" s="68"/>
      <c r="AG81" s="108"/>
      <c r="AH81" s="110"/>
    </row>
    <row r="82" ht="22.5" customHeight="1">
      <c r="A82" s="58">
        <f t="shared" si="3"/>
        <v>78</v>
      </c>
      <c r="B82" s="487" t="s">
        <v>462</v>
      </c>
      <c r="C82" s="255">
        <v>45786.0</v>
      </c>
      <c r="D82" s="129" t="s">
        <v>463</v>
      </c>
      <c r="E82" s="68" t="b">
        <v>0</v>
      </c>
      <c r="F82" s="129"/>
      <c r="G82" s="73">
        <f t="shared" si="5"/>
        <v>0</v>
      </c>
      <c r="H82" s="75">
        <v>4.0</v>
      </c>
      <c r="I82" s="87">
        <v>45786.0</v>
      </c>
      <c r="J82" s="485" t="b">
        <v>0</v>
      </c>
      <c r="K82" s="93">
        <v>45975.0</v>
      </c>
      <c r="L82" s="137" t="b">
        <v>0</v>
      </c>
      <c r="M82" s="490">
        <v>46150.0</v>
      </c>
      <c r="N82" s="197" t="b">
        <v>0</v>
      </c>
      <c r="O82" s="210">
        <v>46339.0</v>
      </c>
      <c r="P82" s="200" t="b">
        <v>0</v>
      </c>
      <c r="Q82" s="214"/>
      <c r="R82" s="215"/>
      <c r="S82" s="214"/>
      <c r="T82" s="215"/>
      <c r="U82" s="214"/>
      <c r="V82" s="215"/>
      <c r="W82" s="214"/>
      <c r="X82" s="215"/>
      <c r="Y82" s="215"/>
      <c r="Z82" s="215"/>
      <c r="AA82" s="215"/>
      <c r="AB82" s="215"/>
      <c r="AC82" s="215"/>
      <c r="AD82" s="215"/>
      <c r="AE82" s="215"/>
      <c r="AF82" s="215"/>
      <c r="AG82" s="216"/>
      <c r="AH82" s="110"/>
    </row>
    <row r="83" ht="22.5" customHeight="1">
      <c r="A83" s="58">
        <f t="shared" si="3"/>
        <v>79</v>
      </c>
      <c r="B83" s="177" t="s">
        <v>466</v>
      </c>
      <c r="C83" s="129"/>
      <c r="D83" s="129"/>
      <c r="E83" s="68" t="b">
        <v>0</v>
      </c>
      <c r="F83" s="129"/>
      <c r="G83" s="73">
        <f t="shared" si="5"/>
        <v>0</v>
      </c>
      <c r="H83" s="75">
        <v>4.0</v>
      </c>
      <c r="I83" s="179"/>
      <c r="J83" s="180" t="b">
        <v>0</v>
      </c>
      <c r="K83" s="181"/>
      <c r="L83" s="180" t="b">
        <v>0</v>
      </c>
      <c r="M83" s="181"/>
      <c r="N83" s="453" t="b">
        <v>0</v>
      </c>
      <c r="O83" s="185"/>
      <c r="P83" s="187" t="b">
        <v>0</v>
      </c>
      <c r="Q83" s="181"/>
      <c r="R83" s="189"/>
      <c r="S83" s="181"/>
      <c r="T83" s="189"/>
      <c r="U83" s="181"/>
      <c r="V83" s="189"/>
      <c r="W83" s="181"/>
      <c r="X83" s="189"/>
      <c r="Y83" s="189"/>
      <c r="Z83" s="189"/>
      <c r="AA83" s="189"/>
      <c r="AB83" s="189"/>
      <c r="AC83" s="189"/>
      <c r="AD83" s="189"/>
      <c r="AE83" s="189"/>
      <c r="AF83" s="189"/>
      <c r="AG83" s="191"/>
      <c r="AH83" s="110"/>
    </row>
    <row r="84" ht="22.5" customHeight="1">
      <c r="A84" s="58">
        <f t="shared" si="3"/>
        <v>80</v>
      </c>
      <c r="B84" s="177" t="s">
        <v>470</v>
      </c>
      <c r="C84" s="129"/>
      <c r="D84" s="129"/>
      <c r="E84" s="68" t="b">
        <v>0</v>
      </c>
      <c r="F84" s="129"/>
      <c r="G84" s="73">
        <f t="shared" si="5"/>
        <v>0</v>
      </c>
      <c r="H84" s="75">
        <v>4.0</v>
      </c>
      <c r="I84" s="179"/>
      <c r="J84" s="180" t="b">
        <v>0</v>
      </c>
      <c r="K84" s="181"/>
      <c r="L84" s="180" t="b">
        <v>0</v>
      </c>
      <c r="M84" s="181"/>
      <c r="N84" s="453" t="b">
        <v>0</v>
      </c>
      <c r="O84" s="185"/>
      <c r="P84" s="187" t="b">
        <v>0</v>
      </c>
      <c r="Q84" s="181"/>
      <c r="R84" s="189"/>
      <c r="S84" s="181"/>
      <c r="T84" s="189"/>
      <c r="U84" s="181"/>
      <c r="V84" s="189"/>
      <c r="W84" s="181"/>
      <c r="X84" s="189"/>
      <c r="Y84" s="189"/>
      <c r="Z84" s="189"/>
      <c r="AA84" s="189"/>
      <c r="AB84" s="189"/>
      <c r="AC84" s="189"/>
      <c r="AD84" s="189"/>
      <c r="AE84" s="189"/>
      <c r="AF84" s="189"/>
      <c r="AG84" s="191"/>
      <c r="AH84" s="110"/>
    </row>
    <row r="85" ht="22.5" customHeight="1">
      <c r="A85" s="58">
        <f t="shared" si="3"/>
        <v>81</v>
      </c>
      <c r="B85" s="482" t="s">
        <v>473</v>
      </c>
      <c r="C85" s="255">
        <v>45786.0</v>
      </c>
      <c r="D85" s="129" t="s">
        <v>463</v>
      </c>
      <c r="E85" s="68" t="b">
        <v>0</v>
      </c>
      <c r="F85" s="129"/>
      <c r="G85" s="73">
        <f t="shared" si="5"/>
        <v>0</v>
      </c>
      <c r="H85" s="75">
        <v>4.0</v>
      </c>
      <c r="I85" s="87">
        <v>45786.0</v>
      </c>
      <c r="J85" s="485" t="b">
        <v>0</v>
      </c>
      <c r="K85" s="93">
        <v>45975.0</v>
      </c>
      <c r="L85" s="137" t="b">
        <v>0</v>
      </c>
      <c r="M85" s="490">
        <v>46150.0</v>
      </c>
      <c r="N85" s="197" t="b">
        <v>0</v>
      </c>
      <c r="O85" s="210">
        <v>46339.0</v>
      </c>
      <c r="P85" s="200" t="b">
        <v>0</v>
      </c>
      <c r="Q85" s="181"/>
      <c r="R85" s="189"/>
      <c r="S85" s="181"/>
      <c r="T85" s="189"/>
      <c r="U85" s="181"/>
      <c r="V85" s="189"/>
      <c r="W85" s="181"/>
      <c r="X85" s="189"/>
      <c r="Y85" s="189"/>
      <c r="Z85" s="189"/>
      <c r="AA85" s="189"/>
      <c r="AB85" s="189"/>
      <c r="AC85" s="189"/>
      <c r="AD85" s="189"/>
      <c r="AE85" s="189"/>
      <c r="AF85" s="189"/>
      <c r="AG85" s="191"/>
      <c r="AH85" s="110"/>
    </row>
    <row r="86" ht="22.5" customHeight="1">
      <c r="A86" s="58">
        <f t="shared" si="3"/>
        <v>82</v>
      </c>
      <c r="B86" s="499" t="s">
        <v>475</v>
      </c>
      <c r="C86" s="255">
        <v>45874.0</v>
      </c>
      <c r="D86" s="129" t="s">
        <v>476</v>
      </c>
      <c r="E86" s="68" t="b">
        <v>0</v>
      </c>
      <c r="F86" s="129"/>
      <c r="G86" s="73">
        <f t="shared" si="5"/>
        <v>2</v>
      </c>
      <c r="H86" s="75">
        <v>12.0</v>
      </c>
      <c r="I86" s="87">
        <v>45139.0</v>
      </c>
      <c r="J86" s="484" t="b">
        <v>1</v>
      </c>
      <c r="K86" s="87">
        <v>45324.0</v>
      </c>
      <c r="L86" s="484" t="b">
        <v>1</v>
      </c>
      <c r="M86" s="87">
        <v>45541.0</v>
      </c>
      <c r="N86" s="485" t="b">
        <v>0</v>
      </c>
      <c r="O86" s="87">
        <v>45723.0</v>
      </c>
      <c r="P86" s="143" t="b">
        <v>0</v>
      </c>
      <c r="Q86" s="93">
        <v>45905.0</v>
      </c>
      <c r="R86" s="68" t="b">
        <v>0</v>
      </c>
      <c r="S86" s="87">
        <v>46087.0</v>
      </c>
      <c r="T86" s="143" t="b">
        <v>0</v>
      </c>
      <c r="U86" s="93">
        <v>46269.0</v>
      </c>
      <c r="V86" s="68" t="b">
        <v>0</v>
      </c>
      <c r="W86" s="93"/>
      <c r="X86" s="68"/>
      <c r="Y86" s="68"/>
      <c r="Z86" s="68"/>
      <c r="AA86" s="68"/>
      <c r="AB86" s="68"/>
      <c r="AC86" s="68"/>
      <c r="AD86" s="68"/>
      <c r="AE86" s="68"/>
      <c r="AF86" s="68"/>
      <c r="AG86" s="108"/>
      <c r="AH86" s="110"/>
    </row>
    <row r="87" ht="22.5" customHeight="1">
      <c r="A87" s="58">
        <f t="shared" si="3"/>
        <v>83</v>
      </c>
      <c r="B87" s="499" t="s">
        <v>478</v>
      </c>
      <c r="C87" s="255">
        <v>45874.0</v>
      </c>
      <c r="D87" s="129" t="s">
        <v>476</v>
      </c>
      <c r="E87" s="68" t="b">
        <v>0</v>
      </c>
      <c r="F87" s="129"/>
      <c r="G87" s="73">
        <f t="shared" si="5"/>
        <v>5</v>
      </c>
      <c r="H87" s="75">
        <v>12.0</v>
      </c>
      <c r="I87" s="87">
        <v>44562.0</v>
      </c>
      <c r="J87" s="484" t="b">
        <v>1</v>
      </c>
      <c r="K87" s="87">
        <v>44562.0</v>
      </c>
      <c r="L87" s="484" t="b">
        <v>1</v>
      </c>
      <c r="M87" s="87">
        <v>44562.0</v>
      </c>
      <c r="N87" s="484" t="b">
        <v>1</v>
      </c>
      <c r="O87" s="93">
        <v>45254.0</v>
      </c>
      <c r="P87" s="68" t="b">
        <v>1</v>
      </c>
      <c r="Q87" s="87">
        <v>45541.0</v>
      </c>
      <c r="R87" s="68" t="b">
        <v>1</v>
      </c>
      <c r="S87" s="87">
        <v>45723.0</v>
      </c>
      <c r="T87" s="143" t="b">
        <v>0</v>
      </c>
      <c r="U87" s="93">
        <v>45905.0</v>
      </c>
      <c r="V87" s="68" t="b">
        <v>0</v>
      </c>
      <c r="W87" s="87">
        <v>46087.0</v>
      </c>
      <c r="X87" s="143" t="b">
        <v>0</v>
      </c>
      <c r="Y87" s="68"/>
      <c r="Z87" s="143" t="b">
        <v>0</v>
      </c>
      <c r="AA87" s="68"/>
      <c r="AB87" s="143" t="b">
        <v>0</v>
      </c>
      <c r="AC87" s="143"/>
      <c r="AD87" s="143" t="b">
        <v>0</v>
      </c>
      <c r="AE87" s="143"/>
      <c r="AF87" s="143" t="b">
        <v>0</v>
      </c>
      <c r="AG87" s="503"/>
      <c r="AH87" s="110"/>
    </row>
    <row r="88" ht="22.5" customHeight="1">
      <c r="A88" s="58">
        <f t="shared" si="3"/>
        <v>84</v>
      </c>
      <c r="B88" s="483" t="s">
        <v>481</v>
      </c>
      <c r="C88" s="255">
        <v>45874.0</v>
      </c>
      <c r="D88" s="129" t="s">
        <v>482</v>
      </c>
      <c r="E88" s="68" t="b">
        <v>0</v>
      </c>
      <c r="F88" s="129"/>
      <c r="G88" s="73">
        <f t="shared" si="5"/>
        <v>1</v>
      </c>
      <c r="H88" s="75">
        <v>12.0</v>
      </c>
      <c r="I88" s="87">
        <v>45387.0</v>
      </c>
      <c r="J88" s="484" t="b">
        <v>1</v>
      </c>
      <c r="K88" s="87">
        <v>45541.0</v>
      </c>
      <c r="L88" s="485" t="b">
        <v>0</v>
      </c>
      <c r="M88" s="87">
        <v>45723.0</v>
      </c>
      <c r="N88" s="485" t="b">
        <v>0</v>
      </c>
      <c r="O88" s="93">
        <v>45905.0</v>
      </c>
      <c r="P88" s="68" t="b">
        <v>0</v>
      </c>
      <c r="Q88" s="87">
        <v>46087.0</v>
      </c>
      <c r="R88" s="143" t="b">
        <v>0</v>
      </c>
      <c r="S88" s="93">
        <v>46269.0</v>
      </c>
      <c r="T88" s="68" t="b">
        <v>0</v>
      </c>
      <c r="U88" s="87"/>
      <c r="V88" s="68"/>
      <c r="W88" s="93"/>
      <c r="X88" s="68"/>
      <c r="Y88" s="68"/>
      <c r="Z88" s="68"/>
      <c r="AA88" s="68"/>
      <c r="AB88" s="68"/>
      <c r="AC88" s="68"/>
      <c r="AD88" s="68"/>
      <c r="AE88" s="68"/>
      <c r="AF88" s="68"/>
      <c r="AG88" s="108"/>
      <c r="AH88" s="110"/>
    </row>
    <row r="89" ht="22.5" customHeight="1">
      <c r="A89" s="58">
        <f t="shared" si="3"/>
        <v>85</v>
      </c>
      <c r="B89" s="505" t="s">
        <v>483</v>
      </c>
      <c r="C89" s="129"/>
      <c r="D89" s="129"/>
      <c r="E89" s="68" t="b">
        <v>0</v>
      </c>
      <c r="F89" s="129"/>
      <c r="G89" s="73">
        <f t="shared" si="5"/>
        <v>0</v>
      </c>
      <c r="H89" s="75">
        <v>4.0</v>
      </c>
      <c r="I89" s="179"/>
      <c r="J89" s="507" t="b">
        <v>0</v>
      </c>
      <c r="K89" s="181"/>
      <c r="L89" s="507" t="b">
        <v>0</v>
      </c>
      <c r="M89" s="181"/>
      <c r="N89" s="508" t="b">
        <v>0</v>
      </c>
      <c r="O89" s="185"/>
      <c r="P89" s="187" t="b">
        <v>0</v>
      </c>
      <c r="Q89" s="181"/>
      <c r="R89" s="189"/>
      <c r="S89" s="181"/>
      <c r="T89" s="189"/>
      <c r="U89" s="181"/>
      <c r="V89" s="189"/>
      <c r="W89" s="181"/>
      <c r="X89" s="189"/>
      <c r="Y89" s="189"/>
      <c r="Z89" s="189"/>
      <c r="AA89" s="189"/>
      <c r="AB89" s="189"/>
      <c r="AC89" s="189"/>
      <c r="AD89" s="189"/>
      <c r="AE89" s="189"/>
      <c r="AF89" s="189"/>
      <c r="AG89" s="191"/>
      <c r="AH89" s="110"/>
    </row>
    <row r="90" ht="22.5" customHeight="1">
      <c r="A90" s="58">
        <f t="shared" si="3"/>
        <v>86</v>
      </c>
      <c r="B90" s="289" t="s">
        <v>92</v>
      </c>
      <c r="C90" s="255">
        <v>45786.0</v>
      </c>
      <c r="D90" s="129" t="s">
        <v>198</v>
      </c>
      <c r="E90" s="68" t="b">
        <v>0</v>
      </c>
      <c r="F90" s="129" t="s">
        <v>353</v>
      </c>
      <c r="G90" s="73">
        <f t="shared" si="5"/>
        <v>4</v>
      </c>
      <c r="H90" s="75">
        <v>4.0</v>
      </c>
      <c r="I90" s="78">
        <v>45226.0</v>
      </c>
      <c r="J90" s="484" t="b">
        <v>1</v>
      </c>
      <c r="K90" s="87">
        <v>45412.0</v>
      </c>
      <c r="L90" s="484" t="b">
        <v>1</v>
      </c>
      <c r="M90" s="87">
        <v>45588.0</v>
      </c>
      <c r="N90" s="484" t="b">
        <v>1</v>
      </c>
      <c r="O90" s="93">
        <v>45786.0</v>
      </c>
      <c r="P90" s="68" t="b">
        <v>1</v>
      </c>
      <c r="Q90" s="93"/>
      <c r="R90" s="68"/>
      <c r="S90" s="93"/>
      <c r="T90" s="68"/>
      <c r="U90" s="93"/>
      <c r="V90" s="68"/>
      <c r="W90" s="93"/>
      <c r="X90" s="68"/>
      <c r="Y90" s="68"/>
      <c r="Z90" s="68"/>
      <c r="AA90" s="68"/>
      <c r="AB90" s="68"/>
      <c r="AC90" s="68"/>
      <c r="AD90" s="68"/>
      <c r="AE90" s="68"/>
      <c r="AF90" s="68"/>
      <c r="AG90" s="108"/>
      <c r="AH90" s="110"/>
    </row>
    <row r="91" ht="22.5" customHeight="1">
      <c r="A91" s="58">
        <f t="shared" si="3"/>
        <v>87</v>
      </c>
      <c r="B91" s="289" t="s">
        <v>490</v>
      </c>
      <c r="C91" s="255">
        <v>45912.0</v>
      </c>
      <c r="D91" s="129" t="s">
        <v>60</v>
      </c>
      <c r="E91" s="68" t="b">
        <v>0</v>
      </c>
      <c r="F91" s="129"/>
      <c r="G91" s="73">
        <f t="shared" si="5"/>
        <v>3</v>
      </c>
      <c r="H91" s="75">
        <v>4.0</v>
      </c>
      <c r="I91" s="78">
        <v>45362.0</v>
      </c>
      <c r="J91" s="484" t="b">
        <v>1</v>
      </c>
      <c r="K91" s="87">
        <v>45546.0</v>
      </c>
      <c r="L91" s="484" t="b">
        <v>1</v>
      </c>
      <c r="M91" s="87">
        <v>45707.0</v>
      </c>
      <c r="N91" s="484" t="b">
        <v>1</v>
      </c>
      <c r="O91" s="93">
        <v>45912.0</v>
      </c>
      <c r="P91" s="137" t="b">
        <v>0</v>
      </c>
      <c r="Q91" s="93"/>
      <c r="R91" s="68"/>
      <c r="S91" s="93"/>
      <c r="T91" s="68"/>
      <c r="U91" s="93"/>
      <c r="V91" s="68"/>
      <c r="W91" s="93"/>
      <c r="X91" s="68"/>
      <c r="Y91" s="68"/>
      <c r="Z91" s="68"/>
      <c r="AA91" s="68"/>
      <c r="AB91" s="68"/>
      <c r="AC91" s="68"/>
      <c r="AD91" s="68"/>
      <c r="AE91" s="68"/>
      <c r="AF91" s="68"/>
      <c r="AG91" s="108"/>
      <c r="AH91" s="110"/>
    </row>
    <row r="92" ht="22.5" customHeight="1">
      <c r="A92" s="58">
        <f t="shared" si="3"/>
        <v>88</v>
      </c>
      <c r="B92" s="177" t="s">
        <v>492</v>
      </c>
      <c r="C92" s="255">
        <v>45796.0</v>
      </c>
      <c r="D92" s="129" t="s">
        <v>463</v>
      </c>
      <c r="E92" s="68" t="b">
        <v>0</v>
      </c>
      <c r="F92" s="129"/>
      <c r="G92" s="73">
        <f t="shared" si="5"/>
        <v>0</v>
      </c>
      <c r="H92" s="75">
        <v>4.0</v>
      </c>
      <c r="I92" s="87">
        <v>45796.0</v>
      </c>
      <c r="J92" s="484" t="b">
        <v>0</v>
      </c>
      <c r="K92" s="93">
        <v>45975.0</v>
      </c>
      <c r="L92" s="137" t="b">
        <v>0</v>
      </c>
      <c r="M92" s="490">
        <v>46150.0</v>
      </c>
      <c r="N92" s="197" t="b">
        <v>0</v>
      </c>
      <c r="O92" s="210">
        <v>46339.0</v>
      </c>
      <c r="P92" s="200" t="b">
        <v>0</v>
      </c>
      <c r="Q92" s="181"/>
      <c r="R92" s="189"/>
      <c r="S92" s="181"/>
      <c r="T92" s="189"/>
      <c r="U92" s="181"/>
      <c r="V92" s="189"/>
      <c r="W92" s="181"/>
      <c r="X92" s="189"/>
      <c r="Y92" s="189"/>
      <c r="Z92" s="189"/>
      <c r="AA92" s="189"/>
      <c r="AB92" s="189"/>
      <c r="AC92" s="189"/>
      <c r="AD92" s="189"/>
      <c r="AE92" s="189"/>
      <c r="AF92" s="189"/>
      <c r="AG92" s="191"/>
      <c r="AH92" s="165" t="s">
        <v>204</v>
      </c>
    </row>
    <row r="93" ht="22.5" customHeight="1">
      <c r="A93" s="58">
        <f t="shared" si="3"/>
        <v>89</v>
      </c>
      <c r="B93" s="289" t="s">
        <v>500</v>
      </c>
      <c r="C93" s="255">
        <v>45933.0</v>
      </c>
      <c r="D93" s="129" t="s">
        <v>60</v>
      </c>
      <c r="E93" s="68" t="b">
        <v>0</v>
      </c>
      <c r="F93" s="129"/>
      <c r="G93" s="73">
        <f t="shared" si="5"/>
        <v>3</v>
      </c>
      <c r="H93" s="75">
        <v>4.0</v>
      </c>
      <c r="I93" s="78">
        <v>45387.0</v>
      </c>
      <c r="J93" s="484" t="b">
        <v>1</v>
      </c>
      <c r="K93" s="87">
        <v>45588.0</v>
      </c>
      <c r="L93" s="484" t="b">
        <v>1</v>
      </c>
      <c r="M93" s="87">
        <v>45751.0</v>
      </c>
      <c r="N93" s="484" t="b">
        <v>1</v>
      </c>
      <c r="O93" s="93">
        <v>45933.0</v>
      </c>
      <c r="P93" s="137" t="b">
        <v>0</v>
      </c>
      <c r="Q93" s="93"/>
      <c r="R93" s="68"/>
      <c r="S93" s="93"/>
      <c r="T93" s="68"/>
      <c r="U93" s="93"/>
      <c r="V93" s="68"/>
      <c r="W93" s="93"/>
      <c r="X93" s="68"/>
      <c r="Y93" s="68"/>
      <c r="Z93" s="68"/>
      <c r="AA93" s="68"/>
      <c r="AB93" s="68"/>
      <c r="AC93" s="68"/>
      <c r="AD93" s="68"/>
      <c r="AE93" s="68"/>
      <c r="AF93" s="68"/>
      <c r="AG93" s="108"/>
      <c r="AH93" s="110"/>
    </row>
    <row r="94" ht="22.5" customHeight="1">
      <c r="A94" s="58">
        <f t="shared" si="3"/>
        <v>90</v>
      </c>
      <c r="B94" s="431" t="s">
        <v>502</v>
      </c>
      <c r="C94" s="255">
        <v>45842.0</v>
      </c>
      <c r="D94" s="129" t="s">
        <v>240</v>
      </c>
      <c r="E94" s="68" t="b">
        <v>0</v>
      </c>
      <c r="F94" s="129"/>
      <c r="G94" s="515">
        <f t="shared" si="5"/>
        <v>1</v>
      </c>
      <c r="H94" s="75">
        <v>4.0</v>
      </c>
      <c r="I94" s="78">
        <v>45474.0</v>
      </c>
      <c r="J94" s="484" t="b">
        <v>1</v>
      </c>
      <c r="K94" s="87">
        <v>45799.0</v>
      </c>
      <c r="L94" s="484" t="b">
        <v>0</v>
      </c>
      <c r="M94" s="87">
        <v>45849.0</v>
      </c>
      <c r="N94" s="485" t="b">
        <v>0</v>
      </c>
      <c r="O94" s="93">
        <v>46031.0</v>
      </c>
      <c r="P94" s="137" t="b">
        <v>0</v>
      </c>
      <c r="Q94" s="181"/>
      <c r="R94" s="189"/>
      <c r="S94" s="181"/>
      <c r="T94" s="189"/>
      <c r="U94" s="181"/>
      <c r="V94" s="189"/>
      <c r="W94" s="181"/>
      <c r="X94" s="189"/>
      <c r="Y94" s="68"/>
      <c r="Z94" s="189"/>
      <c r="AA94" s="68"/>
      <c r="AB94" s="189"/>
      <c r="AC94" s="189"/>
      <c r="AD94" s="189"/>
      <c r="AE94" s="189"/>
      <c r="AF94" s="189"/>
      <c r="AG94" s="516" t="s">
        <v>505</v>
      </c>
      <c r="AH94" s="110"/>
    </row>
    <row r="95" ht="22.5" customHeight="1">
      <c r="A95" s="58">
        <f t="shared" si="3"/>
        <v>91</v>
      </c>
      <c r="B95" s="518" t="s">
        <v>506</v>
      </c>
      <c r="C95" s="255">
        <v>45799.0</v>
      </c>
      <c r="D95" s="129" t="s">
        <v>229</v>
      </c>
      <c r="E95" s="68" t="b">
        <v>0</v>
      </c>
      <c r="F95" s="129"/>
      <c r="G95" s="515">
        <f t="shared" si="5"/>
        <v>5</v>
      </c>
      <c r="H95" s="75">
        <v>6.0</v>
      </c>
      <c r="I95" s="231">
        <v>44743.0</v>
      </c>
      <c r="J95" s="259" t="b">
        <v>1</v>
      </c>
      <c r="K95" s="231">
        <v>44939.0</v>
      </c>
      <c r="L95" s="484" t="b">
        <v>1</v>
      </c>
      <c r="M95" s="87">
        <v>45120.0</v>
      </c>
      <c r="N95" s="484" t="b">
        <v>1</v>
      </c>
      <c r="O95" s="93">
        <v>45305.0</v>
      </c>
      <c r="P95" s="68" t="b">
        <v>1</v>
      </c>
      <c r="Q95" s="93">
        <v>45474.0</v>
      </c>
      <c r="R95" s="68" t="b">
        <v>1</v>
      </c>
      <c r="S95" s="93">
        <v>45799.0</v>
      </c>
      <c r="T95" s="68" t="b">
        <v>0</v>
      </c>
      <c r="U95" s="93">
        <v>45849.0</v>
      </c>
      <c r="V95" s="68" t="b">
        <v>0</v>
      </c>
      <c r="W95" s="93">
        <v>46031.0</v>
      </c>
      <c r="X95" s="68" t="b">
        <v>0</v>
      </c>
      <c r="Y95" s="68"/>
      <c r="Z95" s="68" t="b">
        <v>0</v>
      </c>
      <c r="AA95" s="68"/>
      <c r="AB95" s="68" t="b">
        <v>0</v>
      </c>
      <c r="AC95" s="68"/>
      <c r="AD95" s="68" t="b">
        <v>0</v>
      </c>
      <c r="AE95" s="68"/>
      <c r="AF95" s="68" t="b">
        <v>0</v>
      </c>
      <c r="AG95" s="522"/>
      <c r="AH95" s="110"/>
    </row>
    <row r="96" ht="22.5" customHeight="1">
      <c r="A96" s="58">
        <f t="shared" si="3"/>
        <v>92</v>
      </c>
      <c r="B96" s="289" t="s">
        <v>226</v>
      </c>
      <c r="C96" s="129"/>
      <c r="D96" s="129"/>
      <c r="E96" s="68" t="b">
        <v>0</v>
      </c>
      <c r="F96" s="129"/>
      <c r="G96" s="515">
        <f t="shared" si="5"/>
        <v>5</v>
      </c>
      <c r="H96" s="75">
        <v>12.0</v>
      </c>
      <c r="I96" s="231">
        <v>44562.0</v>
      </c>
      <c r="J96" s="259" t="b">
        <v>1</v>
      </c>
      <c r="K96" s="231">
        <v>44623.0</v>
      </c>
      <c r="L96" s="259" t="b">
        <v>1</v>
      </c>
      <c r="M96" s="231">
        <v>45264.0</v>
      </c>
      <c r="N96" s="259" t="b">
        <v>1</v>
      </c>
      <c r="O96" s="236">
        <v>45385.0</v>
      </c>
      <c r="P96" s="68" t="b">
        <v>1</v>
      </c>
      <c r="Q96" s="93">
        <v>45594.0</v>
      </c>
      <c r="R96" s="68" t="b">
        <v>1</v>
      </c>
      <c r="S96" s="93"/>
      <c r="T96" s="68"/>
      <c r="U96" s="93"/>
      <c r="V96" s="68"/>
      <c r="W96" s="93"/>
      <c r="X96" s="68"/>
      <c r="Y96" s="68"/>
      <c r="Z96" s="68"/>
      <c r="AA96" s="68"/>
      <c r="AB96" s="68"/>
      <c r="AC96" s="68"/>
      <c r="AD96" s="68"/>
      <c r="AE96" s="68"/>
      <c r="AF96" s="68"/>
      <c r="AG96" s="525"/>
      <c r="AH96" s="110"/>
    </row>
    <row r="97" ht="22.5" customHeight="1">
      <c r="A97" s="58">
        <f t="shared" si="3"/>
        <v>93</v>
      </c>
      <c r="B97" s="289" t="s">
        <v>513</v>
      </c>
      <c r="C97" s="255">
        <v>45685.0</v>
      </c>
      <c r="D97" s="129" t="s">
        <v>198</v>
      </c>
      <c r="E97" s="68" t="b">
        <v>1</v>
      </c>
      <c r="F97" s="527">
        <v>45805.0</v>
      </c>
      <c r="G97" s="515">
        <f t="shared" si="5"/>
        <v>4</v>
      </c>
      <c r="H97" s="75">
        <v>4.0</v>
      </c>
      <c r="I97" s="231">
        <v>45040.0</v>
      </c>
      <c r="J97" s="259" t="b">
        <v>1</v>
      </c>
      <c r="K97" s="231">
        <v>45317.0</v>
      </c>
      <c r="L97" s="259" t="b">
        <v>1</v>
      </c>
      <c r="M97" s="231">
        <v>45517.0</v>
      </c>
      <c r="N97" s="484" t="b">
        <v>1</v>
      </c>
      <c r="O97" s="93">
        <v>45685.0</v>
      </c>
      <c r="P97" s="484" t="b">
        <v>1</v>
      </c>
      <c r="Q97" s="93"/>
      <c r="R97" s="68"/>
      <c r="S97" s="93"/>
      <c r="T97" s="68"/>
      <c r="U97" s="93"/>
      <c r="V97" s="68"/>
      <c r="W97" s="93"/>
      <c r="X97" s="68"/>
      <c r="Y97" s="68"/>
      <c r="Z97" s="68"/>
      <c r="AA97" s="68"/>
      <c r="AB97" s="68"/>
      <c r="AC97" s="68"/>
      <c r="AD97" s="68"/>
      <c r="AE97" s="68"/>
      <c r="AF97" s="68"/>
      <c r="AG97" s="522"/>
      <c r="AH97" s="110"/>
    </row>
    <row r="98" ht="22.5" customHeight="1">
      <c r="A98" s="58">
        <f t="shared" si="3"/>
        <v>94</v>
      </c>
      <c r="B98" s="289" t="s">
        <v>108</v>
      </c>
      <c r="C98" s="255">
        <v>45901.0</v>
      </c>
      <c r="D98" s="129" t="s">
        <v>60</v>
      </c>
      <c r="E98" s="68" t="b">
        <v>0</v>
      </c>
      <c r="F98" s="129"/>
      <c r="G98" s="515">
        <f t="shared" si="5"/>
        <v>3</v>
      </c>
      <c r="H98" s="534">
        <v>4.0</v>
      </c>
      <c r="I98" s="231">
        <v>45320.0</v>
      </c>
      <c r="J98" s="259" t="b">
        <v>1</v>
      </c>
      <c r="K98" s="231">
        <v>45545.0</v>
      </c>
      <c r="L98" s="259" t="b">
        <v>1</v>
      </c>
      <c r="M98" s="231">
        <v>45707.0</v>
      </c>
      <c r="N98" s="259" t="b">
        <v>1</v>
      </c>
      <c r="O98" s="236">
        <v>45901.0</v>
      </c>
      <c r="P98" s="68" t="b">
        <v>0</v>
      </c>
      <c r="Q98" s="93"/>
      <c r="R98" s="68"/>
      <c r="S98" s="93"/>
      <c r="T98" s="68"/>
      <c r="U98" s="93"/>
      <c r="V98" s="68"/>
      <c r="W98" s="93"/>
      <c r="X98" s="68"/>
      <c r="Y98" s="68"/>
      <c r="Z98" s="68"/>
      <c r="AA98" s="68"/>
      <c r="AB98" s="68"/>
      <c r="AC98" s="68"/>
      <c r="AD98" s="68"/>
      <c r="AE98" s="68"/>
      <c r="AF98" s="68"/>
      <c r="AG98" s="525"/>
      <c r="AH98" s="110"/>
    </row>
    <row r="99" ht="22.5" customHeight="1">
      <c r="A99" s="58">
        <f t="shared" si="3"/>
        <v>95</v>
      </c>
      <c r="B99" s="537" t="s">
        <v>519</v>
      </c>
      <c r="C99" s="129"/>
      <c r="D99" s="129"/>
      <c r="E99" s="68" t="b">
        <v>0</v>
      </c>
      <c r="F99" s="129"/>
      <c r="G99" s="515">
        <f t="shared" si="5"/>
        <v>0</v>
      </c>
      <c r="H99" s="534">
        <v>4.0</v>
      </c>
      <c r="I99" s="199"/>
      <c r="J99" s="538" t="b">
        <v>0</v>
      </c>
      <c r="K99" s="199"/>
      <c r="L99" s="538" t="b">
        <v>0</v>
      </c>
      <c r="M99" s="199"/>
      <c r="N99" s="540" t="b">
        <v>0</v>
      </c>
      <c r="O99" s="542"/>
      <c r="P99" s="187" t="b">
        <v>0</v>
      </c>
      <c r="Q99" s="181"/>
      <c r="R99" s="189"/>
      <c r="S99" s="181"/>
      <c r="T99" s="189"/>
      <c r="U99" s="199"/>
      <c r="V99" s="545"/>
      <c r="W99" s="181"/>
      <c r="X99" s="189"/>
      <c r="Y99" s="189"/>
      <c r="Z99" s="189"/>
      <c r="AA99" s="189"/>
      <c r="AB99" s="189"/>
      <c r="AC99" s="189"/>
      <c r="AD99" s="189"/>
      <c r="AE99" s="189"/>
      <c r="AF99" s="189"/>
      <c r="AG99" s="546"/>
      <c r="AH99" s="110"/>
    </row>
    <row r="100" ht="22.5" customHeight="1">
      <c r="A100" s="58">
        <f t="shared" si="3"/>
        <v>96</v>
      </c>
      <c r="B100" s="177" t="s">
        <v>528</v>
      </c>
      <c r="C100" s="129"/>
      <c r="D100" s="129"/>
      <c r="E100" s="68" t="b">
        <v>0</v>
      </c>
      <c r="F100" s="129"/>
      <c r="G100" s="515">
        <f t="shared" si="5"/>
        <v>0</v>
      </c>
      <c r="H100" s="534">
        <v>4.0</v>
      </c>
      <c r="I100" s="199"/>
      <c r="J100" s="538" t="b">
        <v>0</v>
      </c>
      <c r="K100" s="199"/>
      <c r="L100" s="538" t="b">
        <v>0</v>
      </c>
      <c r="M100" s="199"/>
      <c r="N100" s="540" t="b">
        <v>0</v>
      </c>
      <c r="O100" s="542"/>
      <c r="P100" s="187" t="b">
        <v>0</v>
      </c>
      <c r="Q100" s="181"/>
      <c r="R100" s="189"/>
      <c r="S100" s="181"/>
      <c r="T100" s="189"/>
      <c r="U100" s="199"/>
      <c r="V100" s="545"/>
      <c r="W100" s="19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391"/>
      <c r="AH100" s="83" t="b">
        <v>0</v>
      </c>
    </row>
    <row r="101" ht="27.75" customHeight="1">
      <c r="A101" s="58">
        <v>84.0</v>
      </c>
      <c r="B101" s="552" t="s">
        <v>531</v>
      </c>
      <c r="C101" s="255">
        <v>45842.0</v>
      </c>
      <c r="D101" s="129" t="s">
        <v>240</v>
      </c>
      <c r="E101" s="68" t="b">
        <v>0</v>
      </c>
      <c r="F101" s="129"/>
      <c r="G101" s="554">
        <f t="shared" si="5"/>
        <v>1</v>
      </c>
      <c r="H101" s="555">
        <v>4.0</v>
      </c>
      <c r="I101" s="231">
        <v>45632.0</v>
      </c>
      <c r="J101" s="259" t="b">
        <v>1</v>
      </c>
      <c r="K101" s="236">
        <v>45842.0</v>
      </c>
      <c r="L101" s="259" t="b">
        <v>0</v>
      </c>
      <c r="M101" s="231">
        <v>46024.0</v>
      </c>
      <c r="N101" s="259" t="b">
        <v>0</v>
      </c>
      <c r="O101" s="231">
        <v>46206.0</v>
      </c>
      <c r="P101" s="454" t="b">
        <v>0</v>
      </c>
      <c r="Q101" s="93"/>
      <c r="R101" s="68"/>
      <c r="S101" s="93"/>
      <c r="T101" s="68"/>
      <c r="U101" s="236"/>
      <c r="V101" s="68"/>
      <c r="W101" s="93"/>
      <c r="X101" s="68"/>
      <c r="Y101" s="68"/>
      <c r="Z101" s="68"/>
      <c r="AA101" s="68"/>
      <c r="AB101" s="68"/>
      <c r="AC101" s="68"/>
      <c r="AD101" s="68"/>
      <c r="AE101" s="68"/>
      <c r="AF101" s="68"/>
      <c r="AG101" s="558"/>
      <c r="AH101" s="110"/>
    </row>
    <row r="102" ht="22.5" customHeight="1">
      <c r="A102" s="58">
        <f t="shared" ref="A102:A190" si="6">SUBTOTAL(3,$B$4:B102)</f>
        <v>98</v>
      </c>
      <c r="B102" s="289" t="s">
        <v>536</v>
      </c>
      <c r="C102" s="255">
        <v>45842.0</v>
      </c>
      <c r="D102" s="129" t="s">
        <v>82</v>
      </c>
      <c r="E102" s="68" t="b">
        <v>0</v>
      </c>
      <c r="F102" s="129"/>
      <c r="G102" s="515">
        <f t="shared" si="5"/>
        <v>2</v>
      </c>
      <c r="H102" s="534">
        <v>4.0</v>
      </c>
      <c r="I102" s="231">
        <v>45468.0</v>
      </c>
      <c r="J102" s="259" t="b">
        <v>1</v>
      </c>
      <c r="K102" s="231">
        <v>45632.0</v>
      </c>
      <c r="L102" s="259" t="b">
        <v>1</v>
      </c>
      <c r="M102" s="236">
        <v>45842.0</v>
      </c>
      <c r="N102" s="259" t="b">
        <v>0</v>
      </c>
      <c r="O102" s="231">
        <v>46024.0</v>
      </c>
      <c r="P102" s="137" t="b">
        <v>0</v>
      </c>
      <c r="Q102" s="93"/>
      <c r="R102" s="68"/>
      <c r="S102" s="93"/>
      <c r="T102" s="68"/>
      <c r="U102" s="93"/>
      <c r="V102" s="68"/>
      <c r="W102" s="93"/>
      <c r="X102" s="68"/>
      <c r="Y102" s="68"/>
      <c r="Z102" s="68"/>
      <c r="AA102" s="68"/>
      <c r="AB102" s="68"/>
      <c r="AC102" s="68"/>
      <c r="AD102" s="68"/>
      <c r="AE102" s="68"/>
      <c r="AF102" s="68"/>
      <c r="AG102" s="525"/>
      <c r="AH102" s="110"/>
    </row>
    <row r="103" ht="22.5" customHeight="1">
      <c r="A103" s="58">
        <f t="shared" si="6"/>
        <v>99</v>
      </c>
      <c r="B103" s="566" t="s">
        <v>540</v>
      </c>
      <c r="C103" s="129"/>
      <c r="D103" s="129"/>
      <c r="E103" s="68" t="b">
        <v>0</v>
      </c>
      <c r="F103" s="129"/>
      <c r="G103" s="515">
        <f t="shared" si="5"/>
        <v>0</v>
      </c>
      <c r="H103" s="534">
        <v>4.0</v>
      </c>
      <c r="I103" s="231"/>
      <c r="J103" s="259" t="b">
        <v>0</v>
      </c>
      <c r="K103" s="231"/>
      <c r="L103" s="259" t="b">
        <v>0</v>
      </c>
      <c r="M103" s="231"/>
      <c r="N103" s="567" t="b">
        <v>0</v>
      </c>
      <c r="O103" s="236"/>
      <c r="P103" s="137" t="b">
        <v>0</v>
      </c>
      <c r="Q103" s="181"/>
      <c r="R103" s="189"/>
      <c r="S103" s="181"/>
      <c r="T103" s="189"/>
      <c r="U103" s="181"/>
      <c r="V103" s="189"/>
      <c r="W103" s="181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546"/>
      <c r="AH103" s="110"/>
    </row>
    <row r="104" ht="22.5" customHeight="1">
      <c r="A104" s="58">
        <f t="shared" si="6"/>
        <v>100</v>
      </c>
      <c r="B104" s="570" t="s">
        <v>542</v>
      </c>
      <c r="C104" s="255">
        <v>45796.0</v>
      </c>
      <c r="D104" s="129" t="s">
        <v>180</v>
      </c>
      <c r="E104" s="68" t="b">
        <v>0</v>
      </c>
      <c r="F104" s="129"/>
      <c r="G104" s="515">
        <f t="shared" si="5"/>
        <v>4</v>
      </c>
      <c r="H104" s="534">
        <v>6.0</v>
      </c>
      <c r="I104" s="573">
        <v>44784.0</v>
      </c>
      <c r="J104" s="259" t="b">
        <v>1</v>
      </c>
      <c r="K104" s="231">
        <v>45048.0</v>
      </c>
      <c r="L104" s="259" t="b">
        <v>1</v>
      </c>
      <c r="M104" s="231">
        <v>45440.0</v>
      </c>
      <c r="N104" s="259" t="b">
        <v>1</v>
      </c>
      <c r="O104" s="231">
        <v>45605.0</v>
      </c>
      <c r="P104" s="68" t="b">
        <v>1</v>
      </c>
      <c r="Q104" s="87">
        <v>45796.0</v>
      </c>
      <c r="R104" s="68" t="b">
        <v>0</v>
      </c>
      <c r="S104" s="87">
        <v>45965.0</v>
      </c>
      <c r="T104" s="68" t="b">
        <v>0</v>
      </c>
      <c r="U104" s="93"/>
      <c r="V104" s="68"/>
      <c r="W104" s="93"/>
      <c r="X104" s="68"/>
      <c r="Y104" s="68"/>
      <c r="Z104" s="68"/>
      <c r="AA104" s="68"/>
      <c r="AB104" s="68"/>
      <c r="AC104" s="68"/>
      <c r="AD104" s="68"/>
      <c r="AE104" s="68"/>
      <c r="AF104" s="68"/>
      <c r="AG104" s="525" t="s">
        <v>545</v>
      </c>
      <c r="AH104" s="110"/>
    </row>
    <row r="105" ht="22.5" customHeight="1">
      <c r="A105" s="58">
        <f t="shared" si="6"/>
        <v>101</v>
      </c>
      <c r="B105" s="570" t="s">
        <v>546</v>
      </c>
      <c r="C105" s="255">
        <v>45877.0</v>
      </c>
      <c r="D105" s="129" t="s">
        <v>50</v>
      </c>
      <c r="E105" s="68" t="b">
        <v>0</v>
      </c>
      <c r="F105" s="129"/>
      <c r="G105" s="515">
        <f t="shared" si="5"/>
        <v>5</v>
      </c>
      <c r="H105" s="534">
        <v>6.0</v>
      </c>
      <c r="I105" s="231">
        <v>44873.0</v>
      </c>
      <c r="J105" s="259" t="b">
        <v>1</v>
      </c>
      <c r="K105" s="231">
        <v>44973.0</v>
      </c>
      <c r="L105" s="259" t="b">
        <v>1</v>
      </c>
      <c r="M105" s="231">
        <v>45325.0</v>
      </c>
      <c r="N105" s="259" t="b">
        <v>1</v>
      </c>
      <c r="O105" s="236">
        <v>45535.0</v>
      </c>
      <c r="P105" s="68" t="b">
        <v>1</v>
      </c>
      <c r="Q105" s="93">
        <v>45702.0</v>
      </c>
      <c r="R105" s="68" t="b">
        <v>1</v>
      </c>
      <c r="S105" s="93">
        <v>45877.0</v>
      </c>
      <c r="T105" s="68" t="b">
        <v>0</v>
      </c>
      <c r="U105" s="93"/>
      <c r="V105" s="68"/>
      <c r="W105" s="93"/>
      <c r="X105" s="68"/>
      <c r="Y105" s="68"/>
      <c r="Z105" s="68"/>
      <c r="AA105" s="68"/>
      <c r="AB105" s="68"/>
      <c r="AC105" s="68"/>
      <c r="AD105" s="68"/>
      <c r="AE105" s="68"/>
      <c r="AF105" s="68"/>
      <c r="AG105" s="525" t="s">
        <v>58</v>
      </c>
      <c r="AH105" s="110"/>
    </row>
    <row r="106" ht="22.5" customHeight="1">
      <c r="A106" s="247">
        <f t="shared" si="6"/>
        <v>102</v>
      </c>
      <c r="B106" s="584" t="s">
        <v>550</v>
      </c>
      <c r="C106" s="255">
        <v>45970.0</v>
      </c>
      <c r="D106" s="129" t="s">
        <v>175</v>
      </c>
      <c r="E106" s="68" t="b">
        <v>1</v>
      </c>
      <c r="F106" s="129" t="s">
        <v>235</v>
      </c>
      <c r="G106" s="515">
        <f t="shared" si="5"/>
        <v>4</v>
      </c>
      <c r="H106" s="534">
        <v>4.0</v>
      </c>
      <c r="I106" s="231">
        <v>44942.0</v>
      </c>
      <c r="J106" s="403" t="b">
        <v>1</v>
      </c>
      <c r="K106" s="231">
        <v>45268.0</v>
      </c>
      <c r="L106" s="403" t="b">
        <v>1</v>
      </c>
      <c r="M106" s="231">
        <v>45449.0</v>
      </c>
      <c r="N106" s="403" t="b">
        <v>1</v>
      </c>
      <c r="O106" s="236">
        <v>45605.0</v>
      </c>
      <c r="P106" s="68" t="b">
        <v>1</v>
      </c>
      <c r="Q106" s="93"/>
      <c r="R106" s="68"/>
      <c r="S106" s="93"/>
      <c r="T106" s="68"/>
      <c r="U106" s="93"/>
      <c r="V106" s="68"/>
      <c r="W106" s="93"/>
      <c r="X106" s="68"/>
      <c r="Y106" s="68"/>
      <c r="Z106" s="68"/>
      <c r="AA106" s="68"/>
      <c r="AB106" s="68"/>
      <c r="AC106" s="68"/>
      <c r="AD106" s="68"/>
      <c r="AE106" s="68"/>
      <c r="AF106" s="68"/>
      <c r="AG106" s="522"/>
      <c r="AH106" s="110"/>
    </row>
    <row r="107" ht="22.5" customHeight="1">
      <c r="A107" s="58">
        <f t="shared" si="6"/>
        <v>103</v>
      </c>
      <c r="B107" s="289" t="s">
        <v>553</v>
      </c>
      <c r="C107" s="255">
        <v>45796.0</v>
      </c>
      <c r="D107" s="129" t="s">
        <v>60</v>
      </c>
      <c r="E107" s="68" t="b">
        <v>0</v>
      </c>
      <c r="F107" s="129"/>
      <c r="G107" s="515">
        <f t="shared" si="5"/>
        <v>3</v>
      </c>
      <c r="H107" s="534">
        <v>4.0</v>
      </c>
      <c r="I107" s="231">
        <v>45133.0</v>
      </c>
      <c r="J107" s="259" t="b">
        <v>1</v>
      </c>
      <c r="K107" s="231">
        <v>45315.0</v>
      </c>
      <c r="L107" s="259" t="b">
        <v>1</v>
      </c>
      <c r="M107" s="231">
        <v>45605.0</v>
      </c>
      <c r="N107" s="259" t="b">
        <v>1</v>
      </c>
      <c r="O107" s="236">
        <v>45796.0</v>
      </c>
      <c r="P107" s="68" t="b">
        <v>0</v>
      </c>
      <c r="Q107" s="236"/>
      <c r="R107" s="68"/>
      <c r="S107" s="236"/>
      <c r="T107" s="68"/>
      <c r="U107" s="93"/>
      <c r="V107" s="68"/>
      <c r="W107" s="93"/>
      <c r="X107" s="68"/>
      <c r="Y107" s="68"/>
      <c r="Z107" s="68"/>
      <c r="AA107" s="68"/>
      <c r="AB107" s="68"/>
      <c r="AC107" s="68"/>
      <c r="AD107" s="68"/>
      <c r="AE107" s="68"/>
      <c r="AF107" s="68"/>
      <c r="AG107" s="522"/>
      <c r="AH107" s="110"/>
    </row>
    <row r="108" ht="22.5" customHeight="1">
      <c r="A108" s="410">
        <f t="shared" si="6"/>
        <v>104</v>
      </c>
      <c r="B108" s="588" t="s">
        <v>541</v>
      </c>
      <c r="C108" s="129"/>
      <c r="D108" s="129"/>
      <c r="E108" s="68" t="b">
        <v>0</v>
      </c>
      <c r="F108" s="129"/>
      <c r="G108" s="515">
        <f t="shared" si="5"/>
        <v>2</v>
      </c>
      <c r="H108" s="590">
        <v>2.0</v>
      </c>
      <c r="I108" s="592">
        <v>44904.0</v>
      </c>
      <c r="J108" s="593" t="b">
        <v>1</v>
      </c>
      <c r="K108" s="592">
        <v>45087.0</v>
      </c>
      <c r="L108" s="593" t="b">
        <v>1</v>
      </c>
      <c r="M108" s="592"/>
      <c r="N108" s="593"/>
      <c r="O108" s="592"/>
      <c r="P108" s="594"/>
      <c r="Q108" s="592"/>
      <c r="R108" s="594"/>
      <c r="S108" s="592"/>
      <c r="T108" s="594"/>
      <c r="U108" s="595"/>
      <c r="V108" s="597"/>
      <c r="W108" s="595"/>
      <c r="X108" s="597"/>
      <c r="Y108" s="597"/>
      <c r="Z108" s="597"/>
      <c r="AA108" s="597"/>
      <c r="AB108" s="597"/>
      <c r="AC108" s="68"/>
      <c r="AD108" s="68"/>
      <c r="AE108" s="68"/>
      <c r="AF108" s="68"/>
      <c r="AG108" s="598"/>
      <c r="AH108" s="110"/>
    </row>
    <row r="109" ht="22.5" customHeight="1">
      <c r="A109" s="58">
        <f t="shared" si="6"/>
        <v>105</v>
      </c>
      <c r="B109" s="537" t="s">
        <v>563</v>
      </c>
      <c r="C109" s="255">
        <v>45789.0</v>
      </c>
      <c r="D109" s="129" t="s">
        <v>463</v>
      </c>
      <c r="E109" s="68" t="b">
        <v>0</v>
      </c>
      <c r="F109" s="129"/>
      <c r="G109" s="515">
        <f t="shared" si="5"/>
        <v>0</v>
      </c>
      <c r="H109" s="534">
        <v>4.0</v>
      </c>
      <c r="I109" s="599">
        <v>45789.0</v>
      </c>
      <c r="J109" s="600" t="b">
        <v>0</v>
      </c>
      <c r="K109" s="601">
        <v>45957.0</v>
      </c>
      <c r="L109" s="600" t="b">
        <v>0</v>
      </c>
      <c r="M109" s="601">
        <v>46139.0</v>
      </c>
      <c r="N109" s="600" t="b">
        <v>0</v>
      </c>
      <c r="O109" s="603">
        <v>46321.0</v>
      </c>
      <c r="P109" s="187" t="b">
        <v>0</v>
      </c>
      <c r="Q109" s="181"/>
      <c r="R109" s="189"/>
      <c r="S109" s="181"/>
      <c r="T109" s="189"/>
      <c r="U109" s="181"/>
      <c r="V109" s="189"/>
      <c r="W109" s="181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546"/>
      <c r="AH109" s="110"/>
    </row>
    <row r="110" ht="22.5" customHeight="1">
      <c r="A110" s="58">
        <f t="shared" si="6"/>
        <v>106</v>
      </c>
      <c r="B110" s="289" t="s">
        <v>569</v>
      </c>
      <c r="C110" s="255">
        <v>45793.0</v>
      </c>
      <c r="D110" s="129" t="s">
        <v>60</v>
      </c>
      <c r="E110" s="68" t="b">
        <v>0</v>
      </c>
      <c r="F110" s="129"/>
      <c r="G110" s="515">
        <f t="shared" si="5"/>
        <v>3</v>
      </c>
      <c r="H110" s="534">
        <v>4.0</v>
      </c>
      <c r="I110" s="231">
        <v>45227.0</v>
      </c>
      <c r="J110" s="259" t="b">
        <v>1</v>
      </c>
      <c r="K110" s="231">
        <v>45393.0</v>
      </c>
      <c r="L110" s="259" t="b">
        <v>1</v>
      </c>
      <c r="M110" s="231">
        <v>45611.0</v>
      </c>
      <c r="N110" s="259" t="b">
        <v>1</v>
      </c>
      <c r="O110" s="236">
        <v>45793.0</v>
      </c>
      <c r="P110" s="68" t="b">
        <v>0</v>
      </c>
      <c r="Q110" s="236"/>
      <c r="R110" s="68"/>
      <c r="S110" s="236"/>
      <c r="T110" s="68"/>
      <c r="U110" s="236"/>
      <c r="V110" s="68"/>
      <c r="W110" s="93"/>
      <c r="X110" s="68"/>
      <c r="Y110" s="68"/>
      <c r="Z110" s="68"/>
      <c r="AA110" s="68"/>
      <c r="AB110" s="68"/>
      <c r="AC110" s="68"/>
      <c r="AD110" s="68"/>
      <c r="AE110" s="68"/>
      <c r="AF110" s="68"/>
      <c r="AG110" s="525"/>
      <c r="AH110" s="110"/>
    </row>
    <row r="111" ht="22.5" customHeight="1">
      <c r="A111" s="58">
        <f t="shared" si="6"/>
        <v>107</v>
      </c>
      <c r="B111" s="289" t="s">
        <v>573</v>
      </c>
      <c r="C111" s="255">
        <v>45793.0</v>
      </c>
      <c r="D111" s="129" t="s">
        <v>82</v>
      </c>
      <c r="E111" s="68" t="b">
        <v>0</v>
      </c>
      <c r="F111" s="129"/>
      <c r="G111" s="515">
        <f t="shared" si="5"/>
        <v>2</v>
      </c>
      <c r="H111" s="534">
        <v>4.0</v>
      </c>
      <c r="I111" s="231">
        <v>45393.0</v>
      </c>
      <c r="J111" s="259" t="b">
        <v>1</v>
      </c>
      <c r="K111" s="231">
        <v>45611.0</v>
      </c>
      <c r="L111" s="259" t="b">
        <v>1</v>
      </c>
      <c r="M111" s="231">
        <v>45793.0</v>
      </c>
      <c r="N111" s="567" t="b">
        <v>0</v>
      </c>
      <c r="O111" s="236">
        <v>45947.0</v>
      </c>
      <c r="P111" s="137" t="b">
        <v>0</v>
      </c>
      <c r="Q111" s="93"/>
      <c r="R111" s="68"/>
      <c r="S111" s="93"/>
      <c r="T111" s="68"/>
      <c r="U111" s="93"/>
      <c r="V111" s="68"/>
      <c r="W111" s="93"/>
      <c r="X111" s="68"/>
      <c r="Y111" s="68"/>
      <c r="Z111" s="68"/>
      <c r="AA111" s="68"/>
      <c r="AB111" s="68"/>
      <c r="AC111" s="68"/>
      <c r="AD111" s="68"/>
      <c r="AE111" s="68"/>
      <c r="AF111" s="68"/>
      <c r="AG111" s="525"/>
      <c r="AH111" s="607"/>
    </row>
    <row r="112" ht="22.5" customHeight="1">
      <c r="A112" s="304">
        <f t="shared" si="6"/>
        <v>108</v>
      </c>
      <c r="B112" s="608" t="s">
        <v>547</v>
      </c>
      <c r="C112" s="255">
        <v>45796.0</v>
      </c>
      <c r="D112" s="129" t="s">
        <v>583</v>
      </c>
      <c r="E112" s="68" t="b">
        <v>0</v>
      </c>
      <c r="F112" s="129"/>
      <c r="G112" s="515">
        <f t="shared" si="5"/>
        <v>6</v>
      </c>
      <c r="H112" s="534">
        <v>10.0</v>
      </c>
      <c r="I112" s="231">
        <v>44562.0</v>
      </c>
      <c r="J112" s="259" t="b">
        <v>1</v>
      </c>
      <c r="K112" s="231">
        <v>44562.0</v>
      </c>
      <c r="L112" s="259" t="b">
        <v>1</v>
      </c>
      <c r="M112" s="231">
        <v>45017.0</v>
      </c>
      <c r="N112" s="259" t="b">
        <v>1</v>
      </c>
      <c r="O112" s="236">
        <v>45216.0</v>
      </c>
      <c r="P112" s="68" t="b">
        <v>1</v>
      </c>
      <c r="Q112" s="93">
        <v>45415.0</v>
      </c>
      <c r="R112" s="68" t="b">
        <v>1</v>
      </c>
      <c r="S112" s="93">
        <v>45609.0</v>
      </c>
      <c r="T112" s="68" t="b">
        <v>1</v>
      </c>
      <c r="U112" s="93">
        <v>45796.0</v>
      </c>
      <c r="V112" s="68" t="b">
        <v>0</v>
      </c>
      <c r="W112" s="93">
        <v>45968.0</v>
      </c>
      <c r="X112" s="68" t="b">
        <v>0</v>
      </c>
      <c r="Y112" s="93">
        <v>46143.0</v>
      </c>
      <c r="Z112" s="68" t="b">
        <v>0</v>
      </c>
      <c r="AA112" s="93">
        <v>46332.0</v>
      </c>
      <c r="AB112" s="68" t="b">
        <v>0</v>
      </c>
      <c r="AC112" s="68"/>
      <c r="AD112" s="68"/>
      <c r="AE112" s="68"/>
      <c r="AF112" s="68"/>
      <c r="AG112" s="525"/>
      <c r="AH112" s="110"/>
    </row>
    <row r="113" ht="26.25" customHeight="1">
      <c r="A113" s="58">
        <f t="shared" si="6"/>
        <v>109</v>
      </c>
      <c r="B113" s="612" t="s">
        <v>590</v>
      </c>
      <c r="C113" s="613">
        <v>45832.0</v>
      </c>
      <c r="D113" s="614" t="s">
        <v>240</v>
      </c>
      <c r="E113" s="68" t="b">
        <v>0</v>
      </c>
      <c r="F113" s="614"/>
      <c r="G113" s="515">
        <f t="shared" si="5"/>
        <v>1</v>
      </c>
      <c r="H113" s="534">
        <v>4.0</v>
      </c>
      <c r="I113" s="231">
        <v>45680.0</v>
      </c>
      <c r="J113" s="259" t="b">
        <v>1</v>
      </c>
      <c r="K113" s="87">
        <v>45832.0</v>
      </c>
      <c r="L113" s="83" t="b">
        <v>0</v>
      </c>
      <c r="M113" s="616">
        <v>46021.0</v>
      </c>
      <c r="N113" s="618" t="b">
        <v>0</v>
      </c>
      <c r="O113" s="87">
        <v>46203.0</v>
      </c>
      <c r="P113" s="137" t="b">
        <v>0</v>
      </c>
      <c r="Q113" s="87"/>
      <c r="R113" s="143"/>
      <c r="S113" s="87"/>
      <c r="T113" s="143"/>
      <c r="U113" s="87"/>
      <c r="V113" s="143"/>
      <c r="W113" s="87"/>
      <c r="X113" s="143"/>
      <c r="Y113" s="143"/>
      <c r="Z113" s="143"/>
      <c r="AA113" s="143"/>
      <c r="AB113" s="143"/>
      <c r="AC113" s="68"/>
      <c r="AD113" s="68"/>
      <c r="AE113" s="68"/>
      <c r="AF113" s="68"/>
      <c r="AG113" s="525"/>
      <c r="AH113" s="110"/>
    </row>
    <row r="114" ht="22.5" customHeight="1">
      <c r="A114" s="58">
        <f t="shared" si="6"/>
        <v>110</v>
      </c>
      <c r="B114" s="289" t="s">
        <v>596</v>
      </c>
      <c r="C114" s="255">
        <v>45828.0</v>
      </c>
      <c r="D114" s="129" t="s">
        <v>82</v>
      </c>
      <c r="E114" s="68" t="b">
        <v>0</v>
      </c>
      <c r="F114" s="129"/>
      <c r="G114" s="515">
        <f t="shared" si="5"/>
        <v>2</v>
      </c>
      <c r="H114" s="534">
        <v>4.0</v>
      </c>
      <c r="I114" s="142">
        <v>45474.0</v>
      </c>
      <c r="J114" s="68" t="b">
        <v>1</v>
      </c>
      <c r="K114" s="207">
        <v>45638.0</v>
      </c>
      <c r="L114" s="68" t="b">
        <v>1</v>
      </c>
      <c r="M114" s="87">
        <v>45828.0</v>
      </c>
      <c r="N114" s="143" t="b">
        <v>0</v>
      </c>
      <c r="O114" s="93">
        <v>46010.0</v>
      </c>
      <c r="P114" s="137" t="b">
        <v>0</v>
      </c>
      <c r="Q114" s="231"/>
      <c r="R114" s="143"/>
      <c r="S114" s="231"/>
      <c r="T114" s="143"/>
      <c r="U114" s="93"/>
      <c r="V114" s="68"/>
      <c r="W114" s="93"/>
      <c r="X114" s="68"/>
      <c r="Y114" s="143"/>
      <c r="Z114" s="143"/>
      <c r="AA114" s="143"/>
      <c r="AB114" s="143"/>
      <c r="AC114" s="68"/>
      <c r="AD114" s="68"/>
      <c r="AE114" s="68"/>
      <c r="AF114" s="68"/>
      <c r="AG114" s="525"/>
      <c r="AH114" s="110"/>
    </row>
    <row r="115" ht="22.5" customHeight="1">
      <c r="A115" s="58">
        <f t="shared" si="6"/>
        <v>111</v>
      </c>
      <c r="B115" s="289" t="s">
        <v>598</v>
      </c>
      <c r="C115" s="255">
        <v>45799.0</v>
      </c>
      <c r="D115" s="129" t="s">
        <v>82</v>
      </c>
      <c r="E115" s="68" t="b">
        <v>0</v>
      </c>
      <c r="F115" s="129"/>
      <c r="G115" s="515">
        <f t="shared" si="5"/>
        <v>2</v>
      </c>
      <c r="H115" s="534">
        <v>4.0</v>
      </c>
      <c r="I115" s="231">
        <v>45330.0</v>
      </c>
      <c r="J115" s="259" t="b">
        <v>1</v>
      </c>
      <c r="K115" s="87">
        <v>45609.0</v>
      </c>
      <c r="L115" s="68" t="b">
        <v>1</v>
      </c>
      <c r="M115" s="87">
        <v>45799.0</v>
      </c>
      <c r="N115" s="143" t="b">
        <v>0</v>
      </c>
      <c r="O115" s="93">
        <v>45901.0</v>
      </c>
      <c r="P115" s="68" t="b">
        <v>0</v>
      </c>
      <c r="Q115" s="87"/>
      <c r="R115" s="143"/>
      <c r="S115" s="87"/>
      <c r="T115" s="143"/>
      <c r="U115" s="93"/>
      <c r="V115" s="68"/>
      <c r="W115" s="93"/>
      <c r="X115" s="68"/>
      <c r="Y115" s="143"/>
      <c r="Z115" s="143"/>
      <c r="AA115" s="143"/>
      <c r="AB115" s="143"/>
      <c r="AC115" s="68"/>
      <c r="AD115" s="68"/>
      <c r="AE115" s="68"/>
      <c r="AF115" s="68"/>
      <c r="AG115" s="525"/>
      <c r="AH115" s="110"/>
    </row>
    <row r="116" ht="22.5" customHeight="1">
      <c r="A116" s="58">
        <f t="shared" si="6"/>
        <v>112</v>
      </c>
      <c r="B116" s="624" t="s">
        <v>603</v>
      </c>
      <c r="C116" s="255">
        <v>45775.0</v>
      </c>
      <c r="D116" s="129" t="s">
        <v>198</v>
      </c>
      <c r="E116" s="68" t="b">
        <v>0</v>
      </c>
      <c r="F116" s="527">
        <v>45805.0</v>
      </c>
      <c r="G116" s="515">
        <f t="shared" si="5"/>
        <v>4</v>
      </c>
      <c r="H116" s="534">
        <v>4.0</v>
      </c>
      <c r="I116" s="231">
        <v>45216.0</v>
      </c>
      <c r="J116" s="259" t="b">
        <v>1</v>
      </c>
      <c r="K116" s="231">
        <v>45411.0</v>
      </c>
      <c r="L116" s="68" t="b">
        <v>1</v>
      </c>
      <c r="M116" s="236">
        <v>45607.0</v>
      </c>
      <c r="N116" s="259" t="b">
        <v>1</v>
      </c>
      <c r="O116" s="236">
        <v>45775.0</v>
      </c>
      <c r="P116" s="68" t="b">
        <v>1</v>
      </c>
      <c r="Q116" s="87"/>
      <c r="R116" s="143"/>
      <c r="S116" s="87"/>
      <c r="T116" s="143"/>
      <c r="U116" s="93"/>
      <c r="V116" s="68"/>
      <c r="W116" s="93"/>
      <c r="X116" s="68"/>
      <c r="Y116" s="143"/>
      <c r="Z116" s="143"/>
      <c r="AA116" s="143"/>
      <c r="AB116" s="143"/>
      <c r="AC116" s="68"/>
      <c r="AD116" s="68"/>
      <c r="AE116" s="68"/>
      <c r="AF116" s="68"/>
      <c r="AG116" s="525"/>
      <c r="AH116" s="110"/>
    </row>
    <row r="117" ht="22.5" customHeight="1">
      <c r="A117" s="58">
        <f t="shared" si="6"/>
        <v>113</v>
      </c>
      <c r="B117" s="627" t="s">
        <v>554</v>
      </c>
      <c r="C117" s="255">
        <v>45751.0</v>
      </c>
      <c r="D117" s="129" t="s">
        <v>198</v>
      </c>
      <c r="E117" s="68" t="b">
        <v>1</v>
      </c>
      <c r="F117" s="129" t="s">
        <v>202</v>
      </c>
      <c r="G117" s="515">
        <f t="shared" si="5"/>
        <v>4</v>
      </c>
      <c r="H117" s="534">
        <v>4.0</v>
      </c>
      <c r="I117" s="231">
        <v>45219.0</v>
      </c>
      <c r="J117" s="259" t="b">
        <v>1</v>
      </c>
      <c r="K117" s="87">
        <v>45394.0</v>
      </c>
      <c r="L117" s="83" t="b">
        <v>1</v>
      </c>
      <c r="M117" s="87">
        <v>45609.0</v>
      </c>
      <c r="N117" s="259" t="b">
        <v>1</v>
      </c>
      <c r="O117" s="93">
        <v>45751.0</v>
      </c>
      <c r="P117" s="68" t="b">
        <v>1</v>
      </c>
      <c r="Q117" s="87"/>
      <c r="R117" s="143"/>
      <c r="S117" s="87"/>
      <c r="T117" s="143"/>
      <c r="U117" s="93"/>
      <c r="V117" s="68"/>
      <c r="W117" s="93"/>
      <c r="X117" s="68"/>
      <c r="Y117" s="143"/>
      <c r="Z117" s="143"/>
      <c r="AA117" s="143"/>
      <c r="AB117" s="143"/>
      <c r="AC117" s="68"/>
      <c r="AD117" s="68"/>
      <c r="AE117" s="68"/>
      <c r="AF117" s="68"/>
      <c r="AG117" s="522"/>
      <c r="AH117" s="110"/>
    </row>
    <row r="118" ht="29.25" customHeight="1">
      <c r="A118" s="58">
        <f t="shared" si="6"/>
        <v>114</v>
      </c>
      <c r="B118" s="465" t="s">
        <v>609</v>
      </c>
      <c r="C118" s="129"/>
      <c r="D118" s="129"/>
      <c r="E118" s="68" t="b">
        <v>0</v>
      </c>
      <c r="F118" s="129"/>
      <c r="G118" s="515">
        <f t="shared" si="5"/>
        <v>2</v>
      </c>
      <c r="H118" s="534">
        <v>2.0</v>
      </c>
      <c r="I118" s="231">
        <v>45007.0</v>
      </c>
      <c r="J118" s="259" t="b">
        <v>1</v>
      </c>
      <c r="K118" s="231">
        <v>45295.0</v>
      </c>
      <c r="L118" s="83" t="b">
        <v>1</v>
      </c>
      <c r="M118" s="231"/>
      <c r="N118" s="259" t="b">
        <v>0</v>
      </c>
      <c r="O118" s="93"/>
      <c r="P118" s="137"/>
      <c r="Q118" s="93"/>
      <c r="R118" s="68"/>
      <c r="S118" s="93"/>
      <c r="T118" s="68"/>
      <c r="U118" s="93"/>
      <c r="V118" s="68"/>
      <c r="W118" s="93"/>
      <c r="X118" s="68"/>
      <c r="Y118" s="143"/>
      <c r="Z118" s="143"/>
      <c r="AA118" s="143"/>
      <c r="AB118" s="143"/>
      <c r="AC118" s="68"/>
      <c r="AD118" s="68"/>
      <c r="AE118" s="68"/>
      <c r="AF118" s="68"/>
      <c r="AG118" s="522"/>
      <c r="AH118" s="110"/>
    </row>
    <row r="119" ht="22.5" customHeight="1">
      <c r="A119" s="58">
        <f t="shared" si="6"/>
        <v>115</v>
      </c>
      <c r="B119" s="289" t="s">
        <v>610</v>
      </c>
      <c r="C119" s="129"/>
      <c r="D119" s="129"/>
      <c r="E119" s="68" t="b">
        <v>0</v>
      </c>
      <c r="F119" s="129"/>
      <c r="G119" s="73">
        <v>0.0</v>
      </c>
      <c r="H119" s="534">
        <v>4.0</v>
      </c>
      <c r="I119" s="231">
        <v>45453.0</v>
      </c>
      <c r="J119" s="259" t="b">
        <v>0</v>
      </c>
      <c r="K119" s="87">
        <v>45636.0</v>
      </c>
      <c r="L119" s="68" t="b">
        <v>0</v>
      </c>
      <c r="M119" s="231">
        <v>45818.0</v>
      </c>
      <c r="N119" s="567" t="b">
        <v>0</v>
      </c>
      <c r="O119" s="236">
        <v>46001.0</v>
      </c>
      <c r="P119" s="143" t="b">
        <v>0</v>
      </c>
      <c r="Q119" s="231"/>
      <c r="R119" s="143"/>
      <c r="S119" s="231"/>
      <c r="T119" s="143"/>
      <c r="U119" s="87"/>
      <c r="V119" s="143"/>
      <c r="W119" s="87"/>
      <c r="X119" s="68"/>
      <c r="Y119" s="143"/>
      <c r="Z119" s="143"/>
      <c r="AA119" s="143"/>
      <c r="AB119" s="143"/>
      <c r="AC119" s="68"/>
      <c r="AD119" s="68"/>
      <c r="AE119" s="68"/>
      <c r="AF119" s="68"/>
      <c r="AG119" s="525"/>
      <c r="AH119" s="110"/>
    </row>
    <row r="120" ht="22.5" customHeight="1">
      <c r="A120" s="58">
        <f t="shared" si="6"/>
        <v>116</v>
      </c>
      <c r="B120" s="289" t="s">
        <v>618</v>
      </c>
      <c r="C120" s="255">
        <v>45829.0</v>
      </c>
      <c r="D120" s="614" t="s">
        <v>240</v>
      </c>
      <c r="E120" s="68" t="b">
        <v>0</v>
      </c>
      <c r="F120" s="129"/>
      <c r="G120" s="73">
        <f t="shared" ref="G120:G130" si="7">COUNTIFS(I120:AG120,"True")</f>
        <v>2</v>
      </c>
      <c r="H120" s="534">
        <v>4.0</v>
      </c>
      <c r="I120" s="231">
        <v>45504.0</v>
      </c>
      <c r="J120" s="259" t="b">
        <v>1</v>
      </c>
      <c r="K120" s="87">
        <v>45740.0</v>
      </c>
      <c r="L120" s="83" t="b">
        <v>1</v>
      </c>
      <c r="M120" s="87">
        <v>45829.0</v>
      </c>
      <c r="N120" s="567" t="b">
        <v>0</v>
      </c>
      <c r="O120" s="93">
        <v>46011.0</v>
      </c>
      <c r="P120" s="143" t="b">
        <v>0</v>
      </c>
      <c r="Q120" s="87"/>
      <c r="R120" s="143"/>
      <c r="S120" s="87"/>
      <c r="T120" s="143"/>
      <c r="U120" s="87"/>
      <c r="V120" s="143"/>
      <c r="W120" s="87"/>
      <c r="X120" s="143"/>
      <c r="Y120" s="143"/>
      <c r="Z120" s="143"/>
      <c r="AA120" s="143"/>
      <c r="AB120" s="143"/>
      <c r="AC120" s="68"/>
      <c r="AD120" s="68"/>
      <c r="AE120" s="68"/>
      <c r="AF120" s="68"/>
      <c r="AG120" s="525"/>
      <c r="AH120" s="110"/>
    </row>
    <row r="121" ht="22.5" customHeight="1">
      <c r="A121" s="58">
        <f t="shared" si="6"/>
        <v>117</v>
      </c>
      <c r="B121" s="537" t="s">
        <v>622</v>
      </c>
      <c r="C121" s="638">
        <v>45825.0</v>
      </c>
      <c r="D121" s="614" t="s">
        <v>240</v>
      </c>
      <c r="E121" s="68" t="b">
        <v>0</v>
      </c>
      <c r="F121" s="639"/>
      <c r="G121" s="515">
        <f t="shared" si="7"/>
        <v>1</v>
      </c>
      <c r="H121" s="534">
        <v>4.0</v>
      </c>
      <c r="I121" s="231">
        <v>45705.0</v>
      </c>
      <c r="J121" s="259" t="b">
        <v>1</v>
      </c>
      <c r="K121" s="231">
        <v>45825.0</v>
      </c>
      <c r="L121" s="259" t="b">
        <v>0</v>
      </c>
      <c r="M121" s="231">
        <v>46007.0</v>
      </c>
      <c r="N121" s="567" t="b">
        <v>0</v>
      </c>
      <c r="O121" s="236">
        <v>46189.0</v>
      </c>
      <c r="P121" s="137" t="b">
        <v>0</v>
      </c>
      <c r="Q121" s="181"/>
      <c r="R121" s="189"/>
      <c r="S121" s="181"/>
      <c r="T121" s="189"/>
      <c r="U121" s="181"/>
      <c r="V121" s="189"/>
      <c r="W121" s="181"/>
      <c r="X121" s="189"/>
      <c r="Y121" s="143"/>
      <c r="Z121" s="143"/>
      <c r="AA121" s="143"/>
      <c r="AB121" s="143"/>
      <c r="AC121" s="68"/>
      <c r="AD121" s="68"/>
      <c r="AE121" s="68"/>
      <c r="AF121" s="68"/>
      <c r="AG121" s="516" t="s">
        <v>628</v>
      </c>
      <c r="AH121" s="110"/>
    </row>
    <row r="122" ht="22.5" customHeight="1">
      <c r="A122" s="58">
        <f t="shared" si="6"/>
        <v>118</v>
      </c>
      <c r="B122" s="570" t="s">
        <v>567</v>
      </c>
      <c r="C122" s="133">
        <v>45957.0</v>
      </c>
      <c r="D122" s="129" t="s">
        <v>180</v>
      </c>
      <c r="E122" s="68" t="b">
        <v>0</v>
      </c>
      <c r="F122" s="129"/>
      <c r="G122" s="515">
        <f t="shared" si="7"/>
        <v>4</v>
      </c>
      <c r="H122" s="534">
        <v>6.0</v>
      </c>
      <c r="I122" s="231">
        <v>44880.0</v>
      </c>
      <c r="J122" s="259" t="b">
        <v>1</v>
      </c>
      <c r="K122" s="231">
        <v>45216.0</v>
      </c>
      <c r="L122" s="259" t="b">
        <v>1</v>
      </c>
      <c r="M122" s="236">
        <v>45607.0</v>
      </c>
      <c r="N122" s="259" t="b">
        <v>1</v>
      </c>
      <c r="O122" s="236">
        <v>45775.0</v>
      </c>
      <c r="P122" s="68" t="b">
        <v>1</v>
      </c>
      <c r="Q122" s="93">
        <v>45957.0</v>
      </c>
      <c r="R122" s="68" t="b">
        <v>0</v>
      </c>
      <c r="S122" s="93">
        <v>46139.0</v>
      </c>
      <c r="T122" s="68" t="b">
        <v>0</v>
      </c>
      <c r="U122" s="93"/>
      <c r="V122" s="68"/>
      <c r="W122" s="93"/>
      <c r="X122" s="68"/>
      <c r="Y122" s="143"/>
      <c r="Z122" s="143"/>
      <c r="AA122" s="143"/>
      <c r="AB122" s="143"/>
      <c r="AC122" s="68"/>
      <c r="AD122" s="68"/>
      <c r="AE122" s="68"/>
      <c r="AF122" s="68"/>
      <c r="AG122" s="522"/>
      <c r="AH122" s="110"/>
    </row>
    <row r="123" ht="22.5" customHeight="1">
      <c r="A123" s="58">
        <f t="shared" si="6"/>
        <v>119</v>
      </c>
      <c r="B123" s="289" t="s">
        <v>632</v>
      </c>
      <c r="C123" s="255">
        <v>45886.0</v>
      </c>
      <c r="D123" s="129" t="s">
        <v>633</v>
      </c>
      <c r="E123" s="68" t="b">
        <v>0</v>
      </c>
      <c r="F123" s="129"/>
      <c r="G123" s="515">
        <f t="shared" si="7"/>
        <v>4</v>
      </c>
      <c r="H123" s="534">
        <v>6.0</v>
      </c>
      <c r="I123" s="231">
        <v>45069.0</v>
      </c>
      <c r="J123" s="259" t="b">
        <v>1</v>
      </c>
      <c r="K123" s="231">
        <v>45244.0</v>
      </c>
      <c r="L123" s="259" t="b">
        <v>1</v>
      </c>
      <c r="M123" s="231">
        <v>45706.0</v>
      </c>
      <c r="N123" s="259" t="b">
        <v>1</v>
      </c>
      <c r="O123" s="236">
        <v>45886.0</v>
      </c>
      <c r="P123" s="68" t="b">
        <v>0</v>
      </c>
      <c r="Q123" s="93">
        <v>46070.0</v>
      </c>
      <c r="R123" s="68" t="b">
        <v>0</v>
      </c>
      <c r="S123" s="93">
        <v>46252.0</v>
      </c>
      <c r="T123" s="68" t="b">
        <v>1</v>
      </c>
      <c r="U123" s="93"/>
      <c r="V123" s="68"/>
      <c r="W123" s="93"/>
      <c r="X123" s="68"/>
      <c r="Y123" s="143"/>
      <c r="Z123" s="143"/>
      <c r="AA123" s="143"/>
      <c r="AB123" s="143"/>
      <c r="AC123" s="68"/>
      <c r="AD123" s="68"/>
      <c r="AE123" s="68"/>
      <c r="AF123" s="68"/>
      <c r="AG123" s="525" t="s">
        <v>636</v>
      </c>
      <c r="AH123" s="110"/>
    </row>
    <row r="124" ht="22.5" customHeight="1">
      <c r="A124" s="345">
        <f t="shared" si="6"/>
        <v>120</v>
      </c>
      <c r="B124" s="624" t="s">
        <v>637</v>
      </c>
      <c r="C124" s="129"/>
      <c r="D124" s="129"/>
      <c r="E124" s="68" t="b">
        <v>0</v>
      </c>
      <c r="F124" s="129"/>
      <c r="G124" s="515">
        <f t="shared" si="7"/>
        <v>6</v>
      </c>
      <c r="H124" s="534">
        <v>6.0</v>
      </c>
      <c r="I124" s="231">
        <v>44603.0</v>
      </c>
      <c r="J124" s="259" t="b">
        <v>1</v>
      </c>
      <c r="K124" s="231">
        <v>44677.0</v>
      </c>
      <c r="L124" s="259" t="b">
        <v>1</v>
      </c>
      <c r="M124" s="231">
        <v>45042.0</v>
      </c>
      <c r="N124" s="259" t="b">
        <v>1</v>
      </c>
      <c r="O124" s="236">
        <v>45266.0</v>
      </c>
      <c r="P124" s="68" t="b">
        <v>1</v>
      </c>
      <c r="Q124" s="93">
        <v>45422.0</v>
      </c>
      <c r="R124" s="68" t="b">
        <v>1</v>
      </c>
      <c r="S124" s="93">
        <v>45607.0</v>
      </c>
      <c r="T124" s="68" t="b">
        <v>1</v>
      </c>
      <c r="U124" s="93"/>
      <c r="V124" s="68"/>
      <c r="W124" s="93"/>
      <c r="X124" s="68"/>
      <c r="Y124" s="143"/>
      <c r="Z124" s="143"/>
      <c r="AA124" s="143"/>
      <c r="AB124" s="143"/>
      <c r="AC124" s="68"/>
      <c r="AD124" s="68"/>
      <c r="AE124" s="68"/>
      <c r="AF124" s="68"/>
      <c r="AG124" s="522"/>
      <c r="AH124" s="110"/>
    </row>
    <row r="125" ht="27.75" customHeight="1">
      <c r="A125" s="58">
        <f t="shared" si="6"/>
        <v>121</v>
      </c>
      <c r="B125" s="648" t="s">
        <v>639</v>
      </c>
      <c r="C125" s="639"/>
      <c r="D125" s="639"/>
      <c r="E125" s="68" t="b">
        <v>0</v>
      </c>
      <c r="F125" s="639"/>
      <c r="G125" s="515">
        <f t="shared" si="7"/>
        <v>0</v>
      </c>
      <c r="H125" s="534">
        <v>4.0</v>
      </c>
      <c r="I125" s="650"/>
      <c r="J125" s="484" t="b">
        <v>0</v>
      </c>
      <c r="K125" s="650"/>
      <c r="L125" s="484" t="b">
        <v>0</v>
      </c>
      <c r="M125" s="650"/>
      <c r="N125" s="485" t="b">
        <v>0</v>
      </c>
      <c r="O125" s="652"/>
      <c r="P125" s="653" t="b">
        <v>0</v>
      </c>
      <c r="Q125" s="654"/>
      <c r="R125" s="656"/>
      <c r="S125" s="654"/>
      <c r="T125" s="656"/>
      <c r="U125" s="654"/>
      <c r="V125" s="656"/>
      <c r="W125" s="654"/>
      <c r="X125" s="656"/>
      <c r="Y125" s="189"/>
      <c r="Z125" s="189"/>
      <c r="AA125" s="189"/>
      <c r="AB125" s="189"/>
      <c r="AC125" s="189"/>
      <c r="AD125" s="189"/>
      <c r="AE125" s="189"/>
      <c r="AF125" s="189"/>
      <c r="AG125" s="546"/>
      <c r="AH125" s="110"/>
    </row>
    <row r="126" ht="28.5" customHeight="1">
      <c r="A126" s="58">
        <f t="shared" si="6"/>
        <v>122</v>
      </c>
      <c r="B126" s="658" t="s">
        <v>646</v>
      </c>
      <c r="C126" s="659">
        <v>45789.0</v>
      </c>
      <c r="D126" s="660" t="s">
        <v>82</v>
      </c>
      <c r="E126" s="68" t="b">
        <v>0</v>
      </c>
      <c r="F126" s="660"/>
      <c r="G126" s="73">
        <f t="shared" si="7"/>
        <v>2</v>
      </c>
      <c r="H126" s="555">
        <v>4.0</v>
      </c>
      <c r="I126" s="231">
        <v>45301.0</v>
      </c>
      <c r="J126" s="83" t="b">
        <v>1</v>
      </c>
      <c r="K126" s="231">
        <v>45485.0</v>
      </c>
      <c r="L126" s="83" t="b">
        <v>1</v>
      </c>
      <c r="M126" s="231">
        <v>45789.0</v>
      </c>
      <c r="N126" s="136" t="b">
        <v>0</v>
      </c>
      <c r="O126" s="236">
        <v>45850.0</v>
      </c>
      <c r="P126" s="83" t="b">
        <v>0</v>
      </c>
      <c r="Q126" s="207"/>
      <c r="R126" s="661"/>
      <c r="S126" s="207"/>
      <c r="T126" s="661"/>
      <c r="U126" s="207"/>
      <c r="V126" s="661"/>
      <c r="W126" s="207"/>
      <c r="X126" s="661"/>
      <c r="Y126" s="143"/>
      <c r="Z126" s="143"/>
      <c r="AA126" s="143"/>
      <c r="AB126" s="143"/>
      <c r="AC126" s="68"/>
      <c r="AD126" s="68"/>
      <c r="AE126" s="68"/>
      <c r="AF126" s="68"/>
      <c r="AG126" s="108"/>
      <c r="AH126" s="110"/>
    </row>
    <row r="127" ht="27.75" customHeight="1">
      <c r="A127" s="58">
        <f t="shared" si="6"/>
        <v>123</v>
      </c>
      <c r="B127" s="663" t="s">
        <v>651</v>
      </c>
      <c r="C127" s="664">
        <v>45814.0</v>
      </c>
      <c r="D127" s="665" t="s">
        <v>652</v>
      </c>
      <c r="E127" s="68" t="b">
        <v>0</v>
      </c>
      <c r="F127" s="665"/>
      <c r="G127" s="554">
        <f t="shared" si="7"/>
        <v>2</v>
      </c>
      <c r="H127" s="555">
        <v>6.0</v>
      </c>
      <c r="I127" s="231">
        <v>45520.0</v>
      </c>
      <c r="J127" s="83" t="b">
        <v>1</v>
      </c>
      <c r="K127" s="236">
        <v>45633.0</v>
      </c>
      <c r="L127" s="83" t="b">
        <v>1</v>
      </c>
      <c r="M127" s="231">
        <v>45814.0</v>
      </c>
      <c r="N127" s="136" t="b">
        <v>0</v>
      </c>
      <c r="O127" s="236">
        <v>45996.0</v>
      </c>
      <c r="P127" s="454" t="b">
        <v>0</v>
      </c>
      <c r="Q127" s="87">
        <v>46178.0</v>
      </c>
      <c r="R127" s="137" t="b">
        <v>0</v>
      </c>
      <c r="S127" s="93">
        <v>46360.0</v>
      </c>
      <c r="T127" s="137" t="b">
        <v>0</v>
      </c>
      <c r="U127" s="93"/>
      <c r="V127" s="68"/>
      <c r="W127" s="93"/>
      <c r="X127" s="68"/>
      <c r="Y127" s="143"/>
      <c r="Z127" s="143"/>
      <c r="AA127" s="143"/>
      <c r="AB127" s="143"/>
      <c r="AC127" s="68"/>
      <c r="AD127" s="68"/>
      <c r="AE127" s="68"/>
      <c r="AF127" s="68"/>
      <c r="AG127" s="558" t="s">
        <v>658</v>
      </c>
      <c r="AH127" s="110"/>
    </row>
    <row r="128" ht="27.75" customHeight="1">
      <c r="A128" s="58">
        <f t="shared" si="6"/>
        <v>124</v>
      </c>
      <c r="B128" s="612" t="s">
        <v>659</v>
      </c>
      <c r="C128" s="664">
        <v>45814.0</v>
      </c>
      <c r="D128" s="666" t="s">
        <v>240</v>
      </c>
      <c r="E128" s="68" t="b">
        <v>0</v>
      </c>
      <c r="F128" s="666"/>
      <c r="G128" s="554">
        <f t="shared" si="7"/>
        <v>1</v>
      </c>
      <c r="H128" s="555">
        <v>4.0</v>
      </c>
      <c r="I128" s="236">
        <v>45633.0</v>
      </c>
      <c r="J128" s="83" t="b">
        <v>1</v>
      </c>
      <c r="K128" s="231">
        <v>45814.0</v>
      </c>
      <c r="L128" s="136" t="b">
        <v>0</v>
      </c>
      <c r="M128" s="236">
        <v>45996.0</v>
      </c>
      <c r="N128" s="454" t="b">
        <v>0</v>
      </c>
      <c r="O128" s="231">
        <v>46178.0</v>
      </c>
      <c r="P128" s="454" t="b">
        <v>0</v>
      </c>
      <c r="Q128" s="87"/>
      <c r="R128" s="143"/>
      <c r="S128" s="87"/>
      <c r="T128" s="143"/>
      <c r="U128" s="87"/>
      <c r="V128" s="143"/>
      <c r="W128" s="87"/>
      <c r="X128" s="143"/>
      <c r="Y128" s="143"/>
      <c r="Z128" s="143"/>
      <c r="AA128" s="143"/>
      <c r="AB128" s="143"/>
      <c r="AC128" s="68"/>
      <c r="AD128" s="68"/>
      <c r="AE128" s="68"/>
      <c r="AF128" s="68"/>
      <c r="AG128" s="558"/>
      <c r="AH128" s="110"/>
    </row>
    <row r="129" ht="27.75" customHeight="1">
      <c r="A129" s="58">
        <f t="shared" si="6"/>
        <v>125</v>
      </c>
      <c r="B129" s="465" t="s">
        <v>568</v>
      </c>
      <c r="C129" s="67"/>
      <c r="D129" s="67"/>
      <c r="E129" s="68" t="b">
        <v>0</v>
      </c>
      <c r="F129" s="67"/>
      <c r="G129" s="554">
        <f t="shared" si="7"/>
        <v>0</v>
      </c>
      <c r="H129" s="555">
        <v>4.0</v>
      </c>
      <c r="I129" s="231">
        <v>45355.0</v>
      </c>
      <c r="J129" s="567" t="b">
        <v>0</v>
      </c>
      <c r="K129" s="231">
        <v>45540.0</v>
      </c>
      <c r="L129" s="567" t="b">
        <v>0</v>
      </c>
      <c r="M129" s="231">
        <v>45720.0</v>
      </c>
      <c r="N129" s="567" t="b">
        <v>0</v>
      </c>
      <c r="O129" s="236">
        <v>45902.0</v>
      </c>
      <c r="P129" s="68" t="b">
        <v>0</v>
      </c>
      <c r="Q129" s="93"/>
      <c r="R129" s="68"/>
      <c r="S129" s="93"/>
      <c r="T129" s="68"/>
      <c r="U129" s="93"/>
      <c r="V129" s="68"/>
      <c r="W129" s="93"/>
      <c r="X129" s="68"/>
      <c r="Y129" s="143"/>
      <c r="Z129" s="143"/>
      <c r="AA129" s="143"/>
      <c r="AB129" s="143"/>
      <c r="AC129" s="68"/>
      <c r="AD129" s="68"/>
      <c r="AE129" s="68"/>
      <c r="AF129" s="68"/>
      <c r="AG129" s="558"/>
      <c r="AH129" s="110"/>
    </row>
    <row r="130" ht="27.75" customHeight="1">
      <c r="A130" s="58">
        <f t="shared" si="6"/>
        <v>126</v>
      </c>
      <c r="B130" s="669" t="s">
        <v>129</v>
      </c>
      <c r="C130" s="255">
        <v>45889.0</v>
      </c>
      <c r="D130" s="129" t="s">
        <v>50</v>
      </c>
      <c r="E130" s="68" t="b">
        <v>0</v>
      </c>
      <c r="F130" s="129"/>
      <c r="G130" s="73">
        <f t="shared" si="7"/>
        <v>5</v>
      </c>
      <c r="H130" s="75">
        <v>6.0</v>
      </c>
      <c r="I130" s="670">
        <v>44881.0</v>
      </c>
      <c r="J130" s="83" t="b">
        <v>1</v>
      </c>
      <c r="K130" s="87">
        <v>45037.0</v>
      </c>
      <c r="L130" s="83" t="b">
        <v>1</v>
      </c>
      <c r="M130" s="87">
        <v>45272.0</v>
      </c>
      <c r="N130" s="83" t="b">
        <v>1</v>
      </c>
      <c r="O130" s="671">
        <v>45463.0</v>
      </c>
      <c r="P130" s="68" t="b">
        <v>1</v>
      </c>
      <c r="Q130" s="87">
        <v>45716.0</v>
      </c>
      <c r="R130" s="68" t="b">
        <v>1</v>
      </c>
      <c r="S130" s="671">
        <v>45889.0</v>
      </c>
      <c r="T130" s="68" t="b">
        <v>0</v>
      </c>
      <c r="U130" s="87"/>
      <c r="V130" s="68"/>
      <c r="W130" s="93"/>
      <c r="X130" s="68"/>
      <c r="Y130" s="143"/>
      <c r="Z130" s="143"/>
      <c r="AA130" s="143"/>
      <c r="AB130" s="143"/>
      <c r="AC130" s="68"/>
      <c r="AD130" s="68"/>
      <c r="AE130" s="68"/>
      <c r="AF130" s="68"/>
      <c r="AG130" s="558" t="s">
        <v>159</v>
      </c>
      <c r="AH130" s="110"/>
    </row>
    <row r="131" ht="27.75" customHeight="1">
      <c r="A131" s="58">
        <f t="shared" si="6"/>
        <v>127</v>
      </c>
      <c r="B131" s="674" t="s">
        <v>667</v>
      </c>
      <c r="C131" s="129"/>
      <c r="D131" s="129"/>
      <c r="E131" s="68" t="b">
        <v>0</v>
      </c>
      <c r="F131" s="129"/>
      <c r="G131" s="678">
        <v>0.0</v>
      </c>
      <c r="H131" s="680">
        <v>4.0</v>
      </c>
      <c r="I131" s="682">
        <v>45454.0</v>
      </c>
      <c r="J131" s="83" t="b">
        <v>0</v>
      </c>
      <c r="K131" s="682">
        <v>45637.0</v>
      </c>
      <c r="L131" s="683" t="b">
        <v>0</v>
      </c>
      <c r="M131" s="682">
        <v>45819.0</v>
      </c>
      <c r="N131" s="684" t="b">
        <v>0</v>
      </c>
      <c r="O131" s="682">
        <v>46002.0</v>
      </c>
      <c r="P131" s="685" t="b">
        <v>0</v>
      </c>
      <c r="Q131" s="682"/>
      <c r="R131" s="686"/>
      <c r="S131" s="687"/>
      <c r="T131" s="685"/>
      <c r="U131" s="687"/>
      <c r="V131" s="685"/>
      <c r="W131" s="687"/>
      <c r="X131" s="685"/>
      <c r="Y131" s="143"/>
      <c r="Z131" s="143"/>
      <c r="AA131" s="143"/>
      <c r="AB131" s="143"/>
      <c r="AC131" s="68"/>
      <c r="AD131" s="68"/>
      <c r="AE131" s="68"/>
      <c r="AF131" s="68"/>
      <c r="AG131" s="689" t="s">
        <v>669</v>
      </c>
      <c r="AH131" s="110"/>
    </row>
    <row r="132" ht="27.75" customHeight="1">
      <c r="A132" s="58">
        <f t="shared" si="6"/>
        <v>128</v>
      </c>
      <c r="B132" s="62" t="s">
        <v>670</v>
      </c>
      <c r="C132" s="255">
        <v>45881.0</v>
      </c>
      <c r="D132" s="129" t="s">
        <v>60</v>
      </c>
      <c r="E132" s="68" t="b">
        <v>0</v>
      </c>
      <c r="F132" s="129"/>
      <c r="G132" s="73">
        <f t="shared" ref="G132:G173" si="8">COUNTIFS(I132:AG132,"True")</f>
        <v>3</v>
      </c>
      <c r="H132" s="75">
        <v>4.0</v>
      </c>
      <c r="I132" s="78">
        <v>45320.0</v>
      </c>
      <c r="J132" s="83" t="b">
        <v>1</v>
      </c>
      <c r="K132" s="78">
        <v>45537.0</v>
      </c>
      <c r="L132" s="484" t="b">
        <v>1</v>
      </c>
      <c r="M132" s="78">
        <v>45707.0</v>
      </c>
      <c r="N132" s="83" t="b">
        <v>1</v>
      </c>
      <c r="O132" s="96">
        <v>45881.0</v>
      </c>
      <c r="P132" s="68" t="b">
        <v>0</v>
      </c>
      <c r="Q132" s="96"/>
      <c r="R132" s="693"/>
      <c r="S132" s="93"/>
      <c r="T132" s="68"/>
      <c r="U132" s="93"/>
      <c r="V132" s="68"/>
      <c r="W132" s="93"/>
      <c r="X132" s="68"/>
      <c r="Y132" s="143"/>
      <c r="Z132" s="143"/>
      <c r="AA132" s="143"/>
      <c r="AB132" s="143"/>
      <c r="AC132" s="68"/>
      <c r="AD132" s="68"/>
      <c r="AE132" s="68"/>
      <c r="AF132" s="68"/>
      <c r="AG132" s="558"/>
      <c r="AH132" s="110"/>
    </row>
    <row r="133" ht="27.75" customHeight="1">
      <c r="A133" s="58">
        <f t="shared" si="6"/>
        <v>129</v>
      </c>
      <c r="B133" s="62" t="s">
        <v>673</v>
      </c>
      <c r="C133" s="255">
        <v>45849.0</v>
      </c>
      <c r="D133" s="129" t="s">
        <v>50</v>
      </c>
      <c r="E133" s="68" t="b">
        <v>0</v>
      </c>
      <c r="F133" s="129"/>
      <c r="G133" s="73">
        <f t="shared" si="8"/>
        <v>5</v>
      </c>
      <c r="H133" s="75">
        <v>6.0</v>
      </c>
      <c r="I133" s="87">
        <v>44883.0</v>
      </c>
      <c r="J133" s="484" t="b">
        <v>1</v>
      </c>
      <c r="K133" s="87">
        <v>44655.0</v>
      </c>
      <c r="L133" s="484" t="b">
        <v>1</v>
      </c>
      <c r="M133" s="87">
        <v>45295.0</v>
      </c>
      <c r="N133" s="68" t="b">
        <v>1</v>
      </c>
      <c r="O133" s="93">
        <v>45505.0</v>
      </c>
      <c r="P133" s="68" t="b">
        <v>1</v>
      </c>
      <c r="Q133" s="96">
        <v>45618.0</v>
      </c>
      <c r="R133" s="693" t="b">
        <v>1</v>
      </c>
      <c r="S133" s="93">
        <v>45849.0</v>
      </c>
      <c r="T133" s="68" t="b">
        <v>0</v>
      </c>
      <c r="U133" s="93"/>
      <c r="V133" s="68"/>
      <c r="W133" s="93"/>
      <c r="X133" s="68"/>
      <c r="Y133" s="143"/>
      <c r="Z133" s="143"/>
      <c r="AA133" s="143"/>
      <c r="AB133" s="143"/>
      <c r="AC133" s="68"/>
      <c r="AD133" s="68"/>
      <c r="AE133" s="68"/>
      <c r="AF133" s="68"/>
      <c r="AG133" s="558"/>
      <c r="AH133" s="110"/>
    </row>
    <row r="134" ht="27.75" customHeight="1">
      <c r="A134" s="58">
        <f t="shared" si="6"/>
        <v>130</v>
      </c>
      <c r="B134" s="72" t="s">
        <v>580</v>
      </c>
      <c r="C134" s="255">
        <v>45628.0</v>
      </c>
      <c r="D134" s="129" t="s">
        <v>198</v>
      </c>
      <c r="E134" s="68" t="b">
        <v>1</v>
      </c>
      <c r="F134" s="527">
        <v>45805.0</v>
      </c>
      <c r="G134" s="73">
        <f t="shared" si="8"/>
        <v>4</v>
      </c>
      <c r="H134" s="75">
        <v>4.0</v>
      </c>
      <c r="I134" s="87">
        <v>45107.0</v>
      </c>
      <c r="J134" s="484" t="b">
        <v>1</v>
      </c>
      <c r="K134" s="87">
        <v>45320.0</v>
      </c>
      <c r="L134" s="484" t="b">
        <v>1</v>
      </c>
      <c r="M134" s="87">
        <v>45474.0</v>
      </c>
      <c r="N134" s="68" t="b">
        <v>1</v>
      </c>
      <c r="O134" s="93">
        <v>45628.0</v>
      </c>
      <c r="P134" s="68" t="b">
        <v>1</v>
      </c>
      <c r="Q134" s="96"/>
      <c r="R134" s="704"/>
      <c r="S134" s="93"/>
      <c r="T134" s="68"/>
      <c r="U134" s="93"/>
      <c r="V134" s="68"/>
      <c r="W134" s="93"/>
      <c r="X134" s="68"/>
      <c r="Y134" s="143"/>
      <c r="Z134" s="143"/>
      <c r="AA134" s="143"/>
      <c r="AB134" s="143"/>
      <c r="AC134" s="68"/>
      <c r="AD134" s="68"/>
      <c r="AE134" s="68"/>
      <c r="AF134" s="68"/>
      <c r="AG134" s="705"/>
      <c r="AH134" s="110"/>
    </row>
    <row r="135" ht="27.75" customHeight="1">
      <c r="A135" s="58">
        <f t="shared" si="6"/>
        <v>131</v>
      </c>
      <c r="B135" s="177" t="s">
        <v>682</v>
      </c>
      <c r="C135" s="129"/>
      <c r="D135" s="129"/>
      <c r="E135" s="68" t="b">
        <v>0</v>
      </c>
      <c r="F135" s="129"/>
      <c r="G135" s="73">
        <f t="shared" si="8"/>
        <v>0</v>
      </c>
      <c r="H135" s="75">
        <v>4.0</v>
      </c>
      <c r="I135" s="87"/>
      <c r="J135" s="484" t="b">
        <v>0</v>
      </c>
      <c r="K135" s="87"/>
      <c r="L135" s="484" t="b">
        <v>0</v>
      </c>
      <c r="M135" s="87"/>
      <c r="N135" s="143" t="b">
        <v>0</v>
      </c>
      <c r="O135" s="93"/>
      <c r="P135" s="137" t="b">
        <v>0</v>
      </c>
      <c r="Q135" s="179"/>
      <c r="R135" s="708"/>
      <c r="S135" s="181"/>
      <c r="T135" s="189"/>
      <c r="U135" s="181"/>
      <c r="V135" s="189"/>
      <c r="W135" s="181"/>
      <c r="X135" s="189"/>
      <c r="Y135" s="189"/>
      <c r="Z135" s="189"/>
      <c r="AA135" s="189"/>
      <c r="AB135" s="189"/>
      <c r="AC135" s="189"/>
      <c r="AD135" s="189"/>
      <c r="AE135" s="189"/>
      <c r="AF135" s="189"/>
      <c r="AG135" s="282"/>
      <c r="AH135" s="110"/>
    </row>
    <row r="136" ht="27.75" customHeight="1">
      <c r="A136" s="58">
        <f t="shared" si="6"/>
        <v>132</v>
      </c>
      <c r="B136" s="202" t="s">
        <v>682</v>
      </c>
      <c r="C136" s="129"/>
      <c r="D136" s="129"/>
      <c r="E136" s="68" t="b">
        <v>0</v>
      </c>
      <c r="F136" s="129"/>
      <c r="G136" s="73">
        <f t="shared" si="8"/>
        <v>0</v>
      </c>
      <c r="H136" s="75">
        <v>4.0</v>
      </c>
      <c r="I136" s="713"/>
      <c r="J136" s="714" t="b">
        <v>0</v>
      </c>
      <c r="K136" s="713"/>
      <c r="L136" s="714" t="b">
        <v>0</v>
      </c>
      <c r="M136" s="713"/>
      <c r="N136" s="197" t="b">
        <v>0</v>
      </c>
      <c r="O136" s="718"/>
      <c r="P136" s="200" t="b">
        <v>0</v>
      </c>
      <c r="Q136" s="713"/>
      <c r="R136" s="720"/>
      <c r="S136" s="214"/>
      <c r="T136" s="215"/>
      <c r="U136" s="214"/>
      <c r="V136" s="215"/>
      <c r="W136" s="214"/>
      <c r="X136" s="215"/>
      <c r="Y136" s="215"/>
      <c r="Z136" s="215"/>
      <c r="AA136" s="215"/>
      <c r="AB136" s="215"/>
      <c r="AC136" s="68"/>
      <c r="AD136" s="68"/>
      <c r="AE136" s="68"/>
      <c r="AF136" s="68"/>
      <c r="AG136" s="722"/>
      <c r="AH136" s="110"/>
    </row>
    <row r="137" ht="27.75" customHeight="1">
      <c r="A137" s="58">
        <f t="shared" si="6"/>
        <v>133</v>
      </c>
      <c r="B137" s="62" t="s">
        <v>691</v>
      </c>
      <c r="C137" s="129"/>
      <c r="D137" s="129"/>
      <c r="E137" s="68" t="b">
        <v>0</v>
      </c>
      <c r="F137" s="129"/>
      <c r="G137" s="73">
        <f t="shared" si="8"/>
        <v>3</v>
      </c>
      <c r="H137" s="75">
        <v>4.0</v>
      </c>
      <c r="I137" s="87">
        <v>45306.0</v>
      </c>
      <c r="J137" s="484" t="b">
        <v>1</v>
      </c>
      <c r="K137" s="93">
        <v>45485.0</v>
      </c>
      <c r="L137" s="484" t="b">
        <v>1</v>
      </c>
      <c r="M137" s="93">
        <v>45618.0</v>
      </c>
      <c r="N137" s="68" t="b">
        <v>1</v>
      </c>
      <c r="O137" s="93">
        <v>45849.0</v>
      </c>
      <c r="P137" s="68" t="b">
        <v>0</v>
      </c>
      <c r="Q137" s="96"/>
      <c r="R137" s="704"/>
      <c r="S137" s="93"/>
      <c r="T137" s="68"/>
      <c r="U137" s="93"/>
      <c r="V137" s="68"/>
      <c r="W137" s="93"/>
      <c r="X137" s="68"/>
      <c r="Y137" s="143"/>
      <c r="Z137" s="143"/>
      <c r="AA137" s="143"/>
      <c r="AB137" s="143"/>
      <c r="AC137" s="68"/>
      <c r="AD137" s="68"/>
      <c r="AE137" s="68"/>
      <c r="AF137" s="68"/>
      <c r="AG137" s="558"/>
      <c r="AH137" s="110"/>
    </row>
    <row r="138" ht="27.75" customHeight="1">
      <c r="A138" s="58">
        <f t="shared" si="6"/>
        <v>134</v>
      </c>
      <c r="B138" s="728" t="s">
        <v>692</v>
      </c>
      <c r="C138" s="255">
        <v>45849.0</v>
      </c>
      <c r="D138" s="129" t="s">
        <v>60</v>
      </c>
      <c r="E138" s="68" t="b">
        <v>0</v>
      </c>
      <c r="F138" s="129"/>
      <c r="G138" s="73">
        <f t="shared" si="8"/>
        <v>1</v>
      </c>
      <c r="H138" s="75">
        <v>4.0</v>
      </c>
      <c r="I138" s="78">
        <v>45618.0</v>
      </c>
      <c r="J138" s="68" t="b">
        <v>1</v>
      </c>
      <c r="K138" s="87">
        <v>45730.0</v>
      </c>
      <c r="L138" s="68" t="b">
        <v>0</v>
      </c>
      <c r="M138" s="93">
        <v>45912.0</v>
      </c>
      <c r="N138" s="68" t="b">
        <v>0</v>
      </c>
      <c r="O138" s="93">
        <v>46094.0</v>
      </c>
      <c r="P138" s="68" t="b">
        <v>0</v>
      </c>
      <c r="Q138" s="231"/>
      <c r="R138" s="422"/>
      <c r="S138" s="87"/>
      <c r="T138" s="143"/>
      <c r="U138" s="87"/>
      <c r="V138" s="143"/>
      <c r="W138" s="87"/>
      <c r="X138" s="143"/>
      <c r="Y138" s="143"/>
      <c r="Z138" s="143"/>
      <c r="AA138" s="143"/>
      <c r="AB138" s="143"/>
      <c r="AC138" s="68"/>
      <c r="AD138" s="68"/>
      <c r="AE138" s="68"/>
      <c r="AF138" s="68"/>
      <c r="AG138" s="558"/>
      <c r="AH138" s="110"/>
    </row>
    <row r="139" ht="27.75" customHeight="1">
      <c r="A139" s="345">
        <f t="shared" si="6"/>
        <v>135</v>
      </c>
      <c r="B139" s="72" t="s">
        <v>696</v>
      </c>
      <c r="C139" s="255">
        <v>45858.0</v>
      </c>
      <c r="D139" s="129" t="s">
        <v>201</v>
      </c>
      <c r="E139" s="68" t="b">
        <v>1</v>
      </c>
      <c r="F139" s="129" t="s">
        <v>697</v>
      </c>
      <c r="G139" s="73">
        <f t="shared" si="8"/>
        <v>6</v>
      </c>
      <c r="H139" s="258">
        <v>6.0</v>
      </c>
      <c r="I139" s="96">
        <v>44562.0</v>
      </c>
      <c r="J139" s="137" t="b">
        <v>1</v>
      </c>
      <c r="K139" s="93">
        <v>44679.0</v>
      </c>
      <c r="L139" s="137" t="b">
        <v>1</v>
      </c>
      <c r="M139" s="236">
        <v>44971.0</v>
      </c>
      <c r="N139" s="137" t="b">
        <v>1</v>
      </c>
      <c r="O139" s="236">
        <v>45140.0</v>
      </c>
      <c r="P139" s="68" t="b">
        <v>1</v>
      </c>
      <c r="Q139" s="236">
        <v>45329.0</v>
      </c>
      <c r="R139" s="471" t="b">
        <v>1</v>
      </c>
      <c r="S139" s="93">
        <v>45493.0</v>
      </c>
      <c r="T139" s="137" t="b">
        <v>1</v>
      </c>
      <c r="U139" s="87"/>
      <c r="V139" s="143"/>
      <c r="W139" s="87"/>
      <c r="X139" s="143"/>
      <c r="Y139" s="143"/>
      <c r="Z139" s="143"/>
      <c r="AA139" s="143"/>
      <c r="AB139" s="143"/>
      <c r="AC139" s="68"/>
      <c r="AD139" s="68"/>
      <c r="AE139" s="68"/>
      <c r="AF139" s="68"/>
      <c r="AG139" s="729"/>
      <c r="AH139" s="110"/>
    </row>
    <row r="140" ht="27.75" customHeight="1">
      <c r="A140" s="58">
        <f t="shared" si="6"/>
        <v>136</v>
      </c>
      <c r="B140" s="202" t="s">
        <v>699</v>
      </c>
      <c r="C140" s="730">
        <v>46009.0</v>
      </c>
      <c r="D140" s="354" t="s">
        <v>82</v>
      </c>
      <c r="E140" s="68" t="b">
        <v>0</v>
      </c>
      <c r="F140" s="354"/>
      <c r="G140" s="73">
        <f t="shared" si="8"/>
        <v>2</v>
      </c>
      <c r="H140" s="75">
        <v>4.0</v>
      </c>
      <c r="I140" s="78">
        <v>45639.0</v>
      </c>
      <c r="J140" s="68" t="b">
        <v>1</v>
      </c>
      <c r="K140" s="87">
        <v>45780.0</v>
      </c>
      <c r="L140" s="68" t="b">
        <v>1</v>
      </c>
      <c r="M140" s="231">
        <v>46009.0</v>
      </c>
      <c r="N140" s="143" t="b">
        <v>0</v>
      </c>
      <c r="O140" s="236">
        <v>46191.0</v>
      </c>
      <c r="P140" s="137" t="b">
        <v>0</v>
      </c>
      <c r="Q140" s="731"/>
      <c r="R140" s="732"/>
      <c r="S140" s="214"/>
      <c r="T140" s="215"/>
      <c r="U140" s="214"/>
      <c r="V140" s="215"/>
      <c r="W140" s="214"/>
      <c r="X140" s="215"/>
      <c r="Y140" s="215"/>
      <c r="Z140" s="215"/>
      <c r="AA140" s="215"/>
      <c r="AB140" s="215"/>
      <c r="AC140" s="68"/>
      <c r="AD140" s="68"/>
      <c r="AE140" s="68"/>
      <c r="AF140" s="68"/>
      <c r="AG140" s="722"/>
      <c r="AH140" s="110"/>
    </row>
    <row r="141" ht="27.75" customHeight="1">
      <c r="A141" s="58">
        <f t="shared" si="6"/>
        <v>137</v>
      </c>
      <c r="B141" s="62" t="s">
        <v>700</v>
      </c>
      <c r="C141" s="734">
        <v>45875.0</v>
      </c>
      <c r="D141" s="67" t="s">
        <v>50</v>
      </c>
      <c r="E141" s="68" t="b">
        <v>0</v>
      </c>
      <c r="F141" s="67"/>
      <c r="G141" s="73">
        <f t="shared" si="8"/>
        <v>5</v>
      </c>
      <c r="H141" s="75">
        <v>6.0</v>
      </c>
      <c r="I141" s="78">
        <v>44833.0</v>
      </c>
      <c r="J141" s="68" t="b">
        <v>1</v>
      </c>
      <c r="K141" s="87">
        <v>45014.0</v>
      </c>
      <c r="L141" s="68" t="b">
        <v>1</v>
      </c>
      <c r="M141" s="231">
        <v>45328.0</v>
      </c>
      <c r="N141" s="68" t="b">
        <v>1</v>
      </c>
      <c r="O141" s="236">
        <v>45496.0</v>
      </c>
      <c r="P141" s="68" t="b">
        <v>1</v>
      </c>
      <c r="Q141" s="236">
        <v>45694.0</v>
      </c>
      <c r="R141" s="79" t="b">
        <v>1</v>
      </c>
      <c r="S141" s="93">
        <v>45875.0</v>
      </c>
      <c r="T141" s="137" t="b">
        <v>0</v>
      </c>
      <c r="U141" s="93"/>
      <c r="V141" s="68"/>
      <c r="W141" s="93"/>
      <c r="X141" s="68"/>
      <c r="Y141" s="143"/>
      <c r="Z141" s="143"/>
      <c r="AA141" s="143"/>
      <c r="AB141" s="143"/>
      <c r="AC141" s="68"/>
      <c r="AD141" s="68"/>
      <c r="AE141" s="68"/>
      <c r="AF141" s="68"/>
      <c r="AG141" s="737"/>
      <c r="AH141" s="110"/>
    </row>
    <row r="142" ht="27.75" customHeight="1">
      <c r="A142" s="58">
        <f t="shared" si="6"/>
        <v>138</v>
      </c>
      <c r="B142" s="177" t="s">
        <v>706</v>
      </c>
      <c r="C142" s="730">
        <v>46009.0</v>
      </c>
      <c r="D142" s="354" t="s">
        <v>82</v>
      </c>
      <c r="E142" s="68" t="b">
        <v>0</v>
      </c>
      <c r="F142" s="354"/>
      <c r="G142" s="73">
        <f t="shared" si="8"/>
        <v>2</v>
      </c>
      <c r="H142" s="75">
        <v>4.0</v>
      </c>
      <c r="I142" s="87">
        <v>45639.0</v>
      </c>
      <c r="J142" s="68" t="b">
        <v>1</v>
      </c>
      <c r="K142" s="231">
        <v>45780.0</v>
      </c>
      <c r="L142" s="68" t="b">
        <v>1</v>
      </c>
      <c r="M142" s="231">
        <v>46009.0</v>
      </c>
      <c r="N142" s="143" t="b">
        <v>0</v>
      </c>
      <c r="O142" s="236">
        <v>46191.0</v>
      </c>
      <c r="P142" s="137" t="b">
        <v>0</v>
      </c>
      <c r="Q142" s="199"/>
      <c r="R142" s="741"/>
      <c r="S142" s="181"/>
      <c r="T142" s="189"/>
      <c r="U142" s="181"/>
      <c r="V142" s="189"/>
      <c r="W142" s="181"/>
      <c r="X142" s="189"/>
      <c r="Y142" s="189"/>
      <c r="Z142" s="189"/>
      <c r="AA142" s="189"/>
      <c r="AB142" s="189"/>
      <c r="AC142" s="189"/>
      <c r="AD142" s="189"/>
      <c r="AE142" s="189"/>
      <c r="AF142" s="189"/>
      <c r="AG142" s="282"/>
      <c r="AH142" s="110"/>
    </row>
    <row r="143" ht="27.75" customHeight="1">
      <c r="A143" s="58">
        <f t="shared" si="6"/>
        <v>139</v>
      </c>
      <c r="B143" s="177" t="s">
        <v>708</v>
      </c>
      <c r="C143" s="742">
        <v>45910.0</v>
      </c>
      <c r="D143" s="354" t="s">
        <v>240</v>
      </c>
      <c r="E143" s="68" t="b">
        <v>0</v>
      </c>
      <c r="F143" s="385"/>
      <c r="G143" s="73">
        <f t="shared" si="8"/>
        <v>1</v>
      </c>
      <c r="H143" s="75">
        <v>4.0</v>
      </c>
      <c r="I143" s="231">
        <v>45752.0</v>
      </c>
      <c r="J143" s="79" t="b">
        <v>1</v>
      </c>
      <c r="K143" s="231">
        <v>45910.0</v>
      </c>
      <c r="L143" s="422" t="b">
        <v>0</v>
      </c>
      <c r="M143" s="236">
        <v>46092.0</v>
      </c>
      <c r="N143" s="744" t="b">
        <v>0</v>
      </c>
      <c r="O143" s="745">
        <v>46274.0</v>
      </c>
      <c r="P143" s="747" t="b">
        <v>0</v>
      </c>
      <c r="Q143" s="199"/>
      <c r="R143" s="741"/>
      <c r="S143" s="181"/>
      <c r="T143" s="189"/>
      <c r="U143" s="181"/>
      <c r="V143" s="189"/>
      <c r="W143" s="181"/>
      <c r="X143" s="189"/>
      <c r="Y143" s="189"/>
      <c r="Z143" s="189"/>
      <c r="AA143" s="189"/>
      <c r="AB143" s="189"/>
      <c r="AC143" s="189"/>
      <c r="AD143" s="189"/>
      <c r="AE143" s="189"/>
      <c r="AF143" s="189"/>
      <c r="AG143" s="282"/>
      <c r="AH143" s="110"/>
    </row>
    <row r="144" ht="27.75" customHeight="1">
      <c r="A144" s="58">
        <f t="shared" si="6"/>
        <v>140</v>
      </c>
      <c r="B144" s="177" t="s">
        <v>709</v>
      </c>
      <c r="C144" s="385"/>
      <c r="D144" s="385"/>
      <c r="E144" s="68" t="b">
        <v>0</v>
      </c>
      <c r="F144" s="385"/>
      <c r="G144" s="73">
        <f t="shared" si="8"/>
        <v>0</v>
      </c>
      <c r="H144" s="75">
        <v>4.0</v>
      </c>
      <c r="I144" s="179"/>
      <c r="J144" s="183" t="b">
        <v>0</v>
      </c>
      <c r="K144" s="181"/>
      <c r="L144" s="183" t="b">
        <v>0</v>
      </c>
      <c r="M144" s="179"/>
      <c r="N144" s="184" t="b">
        <v>0</v>
      </c>
      <c r="O144" s="185"/>
      <c r="P144" s="187" t="b">
        <v>0</v>
      </c>
      <c r="Q144" s="199"/>
      <c r="R144" s="741"/>
      <c r="S144" s="181"/>
      <c r="T144" s="189"/>
      <c r="U144" s="181"/>
      <c r="V144" s="189"/>
      <c r="W144" s="181"/>
      <c r="X144" s="189"/>
      <c r="Y144" s="189"/>
      <c r="Z144" s="189"/>
      <c r="AA144" s="189"/>
      <c r="AB144" s="189"/>
      <c r="AC144" s="189"/>
      <c r="AD144" s="189"/>
      <c r="AE144" s="189"/>
      <c r="AF144" s="189"/>
      <c r="AG144" s="282"/>
      <c r="AH144" s="110"/>
    </row>
    <row r="145" ht="27.75" customHeight="1">
      <c r="A145" s="58">
        <f t="shared" si="6"/>
        <v>141</v>
      </c>
      <c r="B145" s="177" t="s">
        <v>711</v>
      </c>
      <c r="C145" s="385"/>
      <c r="D145" s="385"/>
      <c r="E145" s="68" t="b">
        <v>0</v>
      </c>
      <c r="F145" s="385"/>
      <c r="G145" s="73">
        <f t="shared" si="8"/>
        <v>0</v>
      </c>
      <c r="H145" s="75">
        <v>4.0</v>
      </c>
      <c r="I145" s="179"/>
      <c r="J145" s="183" t="b">
        <v>0</v>
      </c>
      <c r="K145" s="181"/>
      <c r="L145" s="183" t="b">
        <v>0</v>
      </c>
      <c r="M145" s="179"/>
      <c r="N145" s="184" t="b">
        <v>0</v>
      </c>
      <c r="O145" s="185"/>
      <c r="P145" s="187" t="b">
        <v>0</v>
      </c>
      <c r="Q145" s="199"/>
      <c r="R145" s="741"/>
      <c r="S145" s="181"/>
      <c r="T145" s="189"/>
      <c r="U145" s="181"/>
      <c r="V145" s="189"/>
      <c r="W145" s="181"/>
      <c r="X145" s="189"/>
      <c r="Y145" s="189"/>
      <c r="Z145" s="189"/>
      <c r="AA145" s="189"/>
      <c r="AB145" s="189"/>
      <c r="AC145" s="189"/>
      <c r="AD145" s="189"/>
      <c r="AE145" s="189"/>
      <c r="AF145" s="189"/>
      <c r="AG145" s="282"/>
      <c r="AH145" s="110"/>
    </row>
    <row r="146" ht="27.75" customHeight="1">
      <c r="A146" s="58">
        <f t="shared" si="6"/>
        <v>142</v>
      </c>
      <c r="B146" s="177" t="s">
        <v>712</v>
      </c>
      <c r="C146" s="748"/>
      <c r="D146" s="748"/>
      <c r="E146" s="68" t="b">
        <v>0</v>
      </c>
      <c r="F146" s="748"/>
      <c r="G146" s="73">
        <f t="shared" si="8"/>
        <v>0</v>
      </c>
      <c r="H146" s="75">
        <v>4.0</v>
      </c>
      <c r="I146" s="179"/>
      <c r="J146" s="183" t="b">
        <v>0</v>
      </c>
      <c r="K146" s="181"/>
      <c r="L146" s="183" t="b">
        <v>0</v>
      </c>
      <c r="M146" s="179"/>
      <c r="N146" s="184" t="b">
        <v>0</v>
      </c>
      <c r="O146" s="185"/>
      <c r="P146" s="187" t="b">
        <v>0</v>
      </c>
      <c r="Q146" s="199"/>
      <c r="R146" s="741"/>
      <c r="S146" s="181"/>
      <c r="T146" s="189"/>
      <c r="U146" s="181"/>
      <c r="V146" s="189"/>
      <c r="W146" s="181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282"/>
      <c r="AH146" s="110"/>
    </row>
    <row r="147" ht="27.75" customHeight="1">
      <c r="A147" s="58">
        <f t="shared" si="6"/>
        <v>143</v>
      </c>
      <c r="B147" s="177" t="s">
        <v>714</v>
      </c>
      <c r="C147" s="385"/>
      <c r="D147" s="385"/>
      <c r="E147" s="68" t="b">
        <v>0</v>
      </c>
      <c r="F147" s="385"/>
      <c r="G147" s="73">
        <f t="shared" si="8"/>
        <v>0</v>
      </c>
      <c r="H147" s="75">
        <v>4.0</v>
      </c>
      <c r="I147" s="179"/>
      <c r="J147" s="183" t="b">
        <v>0</v>
      </c>
      <c r="K147" s="181"/>
      <c r="L147" s="183" t="b">
        <v>0</v>
      </c>
      <c r="M147" s="179"/>
      <c r="N147" s="184" t="b">
        <v>0</v>
      </c>
      <c r="O147" s="185"/>
      <c r="P147" s="187" t="b">
        <v>0</v>
      </c>
      <c r="Q147" s="199"/>
      <c r="R147" s="741"/>
      <c r="S147" s="181"/>
      <c r="T147" s="189"/>
      <c r="U147" s="181"/>
      <c r="V147" s="189"/>
      <c r="W147" s="181"/>
      <c r="X147" s="189"/>
      <c r="Y147" s="189"/>
      <c r="Z147" s="189"/>
      <c r="AA147" s="189"/>
      <c r="AB147" s="189"/>
      <c r="AC147" s="189"/>
      <c r="AD147" s="189"/>
      <c r="AE147" s="189"/>
      <c r="AF147" s="189"/>
      <c r="AG147" s="282"/>
      <c r="AH147" s="110"/>
    </row>
    <row r="148" ht="27.75" customHeight="1">
      <c r="A148" s="58">
        <f t="shared" si="6"/>
        <v>144</v>
      </c>
      <c r="B148" s="202" t="s">
        <v>715</v>
      </c>
      <c r="C148" s="742">
        <v>45910.0</v>
      </c>
      <c r="D148" s="354" t="s">
        <v>240</v>
      </c>
      <c r="E148" s="68" t="b">
        <v>0</v>
      </c>
      <c r="F148" s="354"/>
      <c r="G148" s="73">
        <f t="shared" si="8"/>
        <v>1</v>
      </c>
      <c r="H148" s="75">
        <v>4.0</v>
      </c>
      <c r="I148" s="231">
        <v>45752.0</v>
      </c>
      <c r="J148" s="79" t="b">
        <v>1</v>
      </c>
      <c r="K148" s="231">
        <v>45910.0</v>
      </c>
      <c r="L148" s="422" t="b">
        <v>0</v>
      </c>
      <c r="M148" s="236">
        <v>46092.0</v>
      </c>
      <c r="N148" s="744" t="b">
        <v>0</v>
      </c>
      <c r="O148" s="745">
        <v>46274.0</v>
      </c>
      <c r="P148" s="747" t="b">
        <v>0</v>
      </c>
      <c r="Q148" s="753"/>
      <c r="R148" s="754"/>
      <c r="S148" s="214"/>
      <c r="T148" s="215"/>
      <c r="U148" s="214"/>
      <c r="V148" s="215"/>
      <c r="W148" s="214"/>
      <c r="X148" s="215"/>
      <c r="Y148" s="215"/>
      <c r="Z148" s="215"/>
      <c r="AA148" s="215"/>
      <c r="AB148" s="215"/>
      <c r="AC148" s="68"/>
      <c r="AD148" s="68"/>
      <c r="AE148" s="68"/>
      <c r="AF148" s="68"/>
      <c r="AG148" s="722"/>
      <c r="AH148" s="110"/>
    </row>
    <row r="149" ht="27.75" customHeight="1">
      <c r="A149" s="58">
        <f t="shared" si="6"/>
        <v>145</v>
      </c>
      <c r="B149" s="72" t="s">
        <v>716</v>
      </c>
      <c r="C149" s="755">
        <v>45345.0</v>
      </c>
      <c r="D149" s="756" t="s">
        <v>233</v>
      </c>
      <c r="E149" s="68" t="b">
        <v>0</v>
      </c>
      <c r="F149" s="756" t="s">
        <v>353</v>
      </c>
      <c r="G149" s="757">
        <f t="shared" si="8"/>
        <v>2</v>
      </c>
      <c r="H149" s="759">
        <v>2.0</v>
      </c>
      <c r="I149" s="761">
        <v>44963.0</v>
      </c>
      <c r="J149" s="597" t="b">
        <v>1</v>
      </c>
      <c r="K149" s="595">
        <v>45345.0</v>
      </c>
      <c r="L149" s="597" t="b">
        <v>1</v>
      </c>
      <c r="M149" s="78"/>
      <c r="N149" s="68"/>
      <c r="O149" s="93"/>
      <c r="P149" s="137"/>
      <c r="Q149" s="236"/>
      <c r="R149" s="79"/>
      <c r="S149" s="93"/>
      <c r="T149" s="137"/>
      <c r="U149" s="595"/>
      <c r="V149" s="597"/>
      <c r="W149" s="595"/>
      <c r="X149" s="597"/>
      <c r="Y149" s="143"/>
      <c r="Z149" s="143"/>
      <c r="AA149" s="143"/>
      <c r="AB149" s="143"/>
      <c r="AC149" s="68"/>
      <c r="AD149" s="68"/>
      <c r="AE149" s="68"/>
      <c r="AF149" s="68"/>
      <c r="AG149" s="764"/>
      <c r="AH149" s="110"/>
    </row>
    <row r="150" ht="27.75" customHeight="1">
      <c r="A150" s="58">
        <f t="shared" si="6"/>
        <v>146</v>
      </c>
      <c r="B150" s="765" t="s">
        <v>604</v>
      </c>
      <c r="C150" s="255">
        <v>45815.0</v>
      </c>
      <c r="D150" s="129" t="s">
        <v>198</v>
      </c>
      <c r="E150" s="68" t="b">
        <v>0</v>
      </c>
      <c r="F150" s="129" t="s">
        <v>723</v>
      </c>
      <c r="G150" s="767">
        <f t="shared" si="8"/>
        <v>4</v>
      </c>
      <c r="H150" s="771">
        <v>4.0</v>
      </c>
      <c r="I150" s="773">
        <v>44564.0</v>
      </c>
      <c r="J150" s="775" t="b">
        <v>1</v>
      </c>
      <c r="K150" s="777">
        <v>44713.0</v>
      </c>
      <c r="L150" s="775" t="b">
        <v>1</v>
      </c>
      <c r="M150" s="778">
        <v>44931.0</v>
      </c>
      <c r="N150" s="775" t="b">
        <v>1</v>
      </c>
      <c r="O150" s="778">
        <v>45114.0</v>
      </c>
      <c r="P150" s="775" t="b">
        <v>1</v>
      </c>
      <c r="Q150" s="778"/>
      <c r="R150" s="779"/>
      <c r="S150" s="777"/>
      <c r="T150" s="775"/>
      <c r="U150" s="777"/>
      <c r="V150" s="775"/>
      <c r="W150" s="777"/>
      <c r="X150" s="775"/>
      <c r="Y150" s="143"/>
      <c r="Z150" s="143"/>
      <c r="AA150" s="143"/>
      <c r="AB150" s="143"/>
      <c r="AC150" s="68"/>
      <c r="AD150" s="68"/>
      <c r="AE150" s="68"/>
      <c r="AF150" s="68"/>
      <c r="AG150" s="781" t="s">
        <v>734</v>
      </c>
      <c r="AH150" s="110"/>
    </row>
    <row r="151" ht="27.75" customHeight="1">
      <c r="A151" s="58">
        <f t="shared" si="6"/>
        <v>147</v>
      </c>
      <c r="B151" s="783" t="s">
        <v>736</v>
      </c>
      <c r="C151" s="784"/>
      <c r="D151" s="784"/>
      <c r="E151" s="68" t="b">
        <v>0</v>
      </c>
      <c r="F151" s="784"/>
      <c r="G151" s="73">
        <f t="shared" si="8"/>
        <v>1</v>
      </c>
      <c r="H151" s="75">
        <v>4.0</v>
      </c>
      <c r="I151" s="78">
        <v>45639.0</v>
      </c>
      <c r="J151" s="68" t="b">
        <v>1</v>
      </c>
      <c r="K151" s="87">
        <v>45827.0</v>
      </c>
      <c r="L151" s="68" t="b">
        <v>0</v>
      </c>
      <c r="M151" s="78">
        <v>46009.0</v>
      </c>
      <c r="N151" s="143" t="b">
        <v>0</v>
      </c>
      <c r="O151" s="93">
        <v>46191.0</v>
      </c>
      <c r="P151" s="137" t="b">
        <v>0</v>
      </c>
      <c r="Q151" s="786"/>
      <c r="R151" s="788"/>
      <c r="S151" s="786"/>
      <c r="T151" s="788"/>
      <c r="U151" s="786"/>
      <c r="V151" s="788"/>
      <c r="W151" s="786"/>
      <c r="X151" s="788"/>
      <c r="Y151" s="788"/>
      <c r="Z151" s="788"/>
      <c r="AA151" s="788"/>
      <c r="AB151" s="788"/>
      <c r="AC151" s="68"/>
      <c r="AD151" s="68"/>
      <c r="AE151" s="68"/>
      <c r="AF151" s="68"/>
      <c r="AG151" s="791"/>
      <c r="AH151" s="792"/>
    </row>
    <row r="152" ht="27.75" customHeight="1">
      <c r="A152" s="58">
        <f t="shared" si="6"/>
        <v>148</v>
      </c>
      <c r="B152" s="795" t="s">
        <v>745</v>
      </c>
      <c r="C152" s="65">
        <v>45958.0</v>
      </c>
      <c r="D152" s="67" t="s">
        <v>180</v>
      </c>
      <c r="E152" s="68" t="b">
        <v>0</v>
      </c>
      <c r="F152" s="67"/>
      <c r="G152" s="73">
        <f t="shared" si="8"/>
        <v>3</v>
      </c>
      <c r="H152" s="75">
        <v>6.0</v>
      </c>
      <c r="I152" s="78">
        <v>45226.0</v>
      </c>
      <c r="J152" s="68" t="b">
        <v>1</v>
      </c>
      <c r="K152" s="87">
        <v>45414.0</v>
      </c>
      <c r="L152" s="68" t="b">
        <v>1</v>
      </c>
      <c r="M152" s="78">
        <v>45619.0</v>
      </c>
      <c r="N152" s="68" t="b">
        <v>1</v>
      </c>
      <c r="O152" s="93">
        <v>45769.0</v>
      </c>
      <c r="P152" s="68" t="b">
        <v>0</v>
      </c>
      <c r="Q152" s="231">
        <v>45958.0</v>
      </c>
      <c r="R152" s="79" t="b">
        <v>0</v>
      </c>
      <c r="S152" s="93">
        <v>46140.0</v>
      </c>
      <c r="T152" s="68" t="b">
        <v>0</v>
      </c>
      <c r="U152" s="93"/>
      <c r="V152" s="68"/>
      <c r="W152" s="93"/>
      <c r="X152" s="68"/>
      <c r="Y152" s="143"/>
      <c r="Z152" s="143"/>
      <c r="AA152" s="143"/>
      <c r="AB152" s="143"/>
      <c r="AC152" s="68"/>
      <c r="AD152" s="68"/>
      <c r="AE152" s="68"/>
      <c r="AF152" s="68"/>
      <c r="AG152" s="558"/>
      <c r="AH152" s="110"/>
    </row>
    <row r="153" ht="27.75" customHeight="1">
      <c r="A153" s="58">
        <f t="shared" si="6"/>
        <v>149</v>
      </c>
      <c r="B153" s="62" t="s">
        <v>748</v>
      </c>
      <c r="C153" s="67"/>
      <c r="D153" s="67"/>
      <c r="E153" s="68" t="b">
        <v>0</v>
      </c>
      <c r="F153" s="67"/>
      <c r="G153" s="73">
        <f t="shared" si="8"/>
        <v>1</v>
      </c>
      <c r="H153" s="75">
        <v>4.0</v>
      </c>
      <c r="I153" s="78">
        <v>45429.0</v>
      </c>
      <c r="J153" s="68" t="b">
        <v>1</v>
      </c>
      <c r="K153" s="87">
        <v>45517.0</v>
      </c>
      <c r="L153" s="143" t="b">
        <v>0</v>
      </c>
      <c r="M153" s="96">
        <v>45699.0</v>
      </c>
      <c r="N153" s="68" t="b">
        <v>0</v>
      </c>
      <c r="O153" s="87">
        <v>45881.0</v>
      </c>
      <c r="P153" s="143" t="b">
        <v>0</v>
      </c>
      <c r="Q153" s="231">
        <v>46063.0</v>
      </c>
      <c r="R153" s="471" t="b">
        <v>0</v>
      </c>
      <c r="S153" s="93"/>
      <c r="T153" s="68"/>
      <c r="U153" s="96"/>
      <c r="V153" s="68"/>
      <c r="W153" s="96"/>
      <c r="X153" s="68"/>
      <c r="Y153" s="143"/>
      <c r="Z153" s="143"/>
      <c r="AA153" s="143"/>
      <c r="AB153" s="143"/>
      <c r="AC153" s="68"/>
      <c r="AD153" s="68"/>
      <c r="AE153" s="68"/>
      <c r="AF153" s="68"/>
      <c r="AG153" s="812"/>
      <c r="AH153" s="110"/>
    </row>
    <row r="154" ht="27.75" customHeight="1">
      <c r="A154" s="58">
        <f t="shared" si="6"/>
        <v>150</v>
      </c>
      <c r="B154" s="815" t="s">
        <v>149</v>
      </c>
      <c r="C154" s="816">
        <v>45786.0</v>
      </c>
      <c r="D154" s="818"/>
      <c r="E154" s="68" t="b">
        <v>1</v>
      </c>
      <c r="F154" s="756" t="s">
        <v>202</v>
      </c>
      <c r="G154" s="73">
        <f t="shared" si="8"/>
        <v>4</v>
      </c>
      <c r="H154" s="759">
        <v>4.0</v>
      </c>
      <c r="I154" s="819">
        <v>45268.0</v>
      </c>
      <c r="J154" s="820" t="b">
        <v>1</v>
      </c>
      <c r="K154" s="823">
        <v>45450.0</v>
      </c>
      <c r="L154" s="820" t="b">
        <v>1</v>
      </c>
      <c r="M154" s="819">
        <v>45628.0</v>
      </c>
      <c r="N154" s="820" t="b">
        <v>1</v>
      </c>
      <c r="O154" s="819">
        <v>45786.0</v>
      </c>
      <c r="P154" s="820" t="b">
        <v>1</v>
      </c>
      <c r="Q154" s="819"/>
      <c r="R154" s="661"/>
      <c r="S154" s="819"/>
      <c r="T154" s="820"/>
      <c r="U154" s="819"/>
      <c r="V154" s="820"/>
      <c r="W154" s="819"/>
      <c r="X154" s="820"/>
      <c r="Y154" s="827"/>
      <c r="Z154" s="827"/>
      <c r="AA154" s="827"/>
      <c r="AB154" s="827"/>
      <c r="AC154" s="68"/>
      <c r="AD154" s="68"/>
      <c r="AE154" s="68"/>
      <c r="AF154" s="68"/>
      <c r="AG154" s="829"/>
      <c r="AH154" s="792"/>
    </row>
    <row r="155" ht="27.75" customHeight="1">
      <c r="A155" s="58">
        <f t="shared" si="6"/>
        <v>151</v>
      </c>
      <c r="B155" s="831" t="s">
        <v>767</v>
      </c>
      <c r="C155" s="832">
        <v>45787.0</v>
      </c>
      <c r="D155" s="834"/>
      <c r="E155" s="68" t="b">
        <v>0</v>
      </c>
      <c r="F155" s="834"/>
      <c r="G155" s="73">
        <f t="shared" si="8"/>
        <v>2</v>
      </c>
      <c r="H155" s="75">
        <v>4.0</v>
      </c>
      <c r="I155" s="159">
        <v>45464.0</v>
      </c>
      <c r="J155" s="661" t="b">
        <v>1</v>
      </c>
      <c r="K155" s="159">
        <v>45638.0</v>
      </c>
      <c r="L155" s="661" t="b">
        <v>1</v>
      </c>
      <c r="M155" s="159">
        <v>45787.0</v>
      </c>
      <c r="N155" s="827" t="b">
        <v>0</v>
      </c>
      <c r="O155" s="837">
        <v>46010.0</v>
      </c>
      <c r="P155" s="838" t="b">
        <v>0</v>
      </c>
      <c r="Q155" s="837"/>
      <c r="R155" s="661"/>
      <c r="S155" s="837"/>
      <c r="T155" s="661"/>
      <c r="U155" s="837"/>
      <c r="V155" s="661"/>
      <c r="W155" s="837"/>
      <c r="X155" s="661"/>
      <c r="Y155" s="827"/>
      <c r="Z155" s="827"/>
      <c r="AA155" s="827"/>
      <c r="AB155" s="827"/>
      <c r="AC155" s="68"/>
      <c r="AD155" s="68"/>
      <c r="AE155" s="68"/>
      <c r="AF155" s="68"/>
      <c r="AG155" s="841"/>
      <c r="AH155" s="792"/>
    </row>
    <row r="156" ht="27.75" customHeight="1">
      <c r="A156" s="58">
        <f t="shared" si="6"/>
        <v>152</v>
      </c>
      <c r="B156" s="831" t="s">
        <v>771</v>
      </c>
      <c r="C156" s="832">
        <v>45699.0</v>
      </c>
      <c r="D156" s="834" t="s">
        <v>198</v>
      </c>
      <c r="E156" s="68" t="b">
        <v>1</v>
      </c>
      <c r="F156" s="844">
        <v>45805.0</v>
      </c>
      <c r="G156" s="73">
        <f t="shared" si="8"/>
        <v>4</v>
      </c>
      <c r="H156" s="75">
        <v>4.0</v>
      </c>
      <c r="I156" s="159">
        <v>45153.0</v>
      </c>
      <c r="J156" s="661" t="b">
        <v>1</v>
      </c>
      <c r="K156" s="159">
        <v>45329.0</v>
      </c>
      <c r="L156" s="661" t="b">
        <v>1</v>
      </c>
      <c r="M156" s="159">
        <v>45545.0</v>
      </c>
      <c r="N156" s="661" t="b">
        <v>1</v>
      </c>
      <c r="O156" s="837">
        <v>45699.0</v>
      </c>
      <c r="P156" s="661" t="b">
        <v>1</v>
      </c>
      <c r="Q156" s="837"/>
      <c r="R156" s="661"/>
      <c r="S156" s="837"/>
      <c r="T156" s="661"/>
      <c r="U156" s="837"/>
      <c r="V156" s="661"/>
      <c r="W156" s="837"/>
      <c r="X156" s="661"/>
      <c r="Y156" s="827"/>
      <c r="Z156" s="827"/>
      <c r="AA156" s="827"/>
      <c r="AB156" s="827"/>
      <c r="AC156" s="68"/>
      <c r="AD156" s="68"/>
      <c r="AE156" s="68"/>
      <c r="AF156" s="68"/>
      <c r="AG156" s="841"/>
      <c r="AH156" s="792"/>
    </row>
    <row r="157" ht="27.75" customHeight="1">
      <c r="A157" s="58">
        <f t="shared" si="6"/>
        <v>153</v>
      </c>
      <c r="B157" s="831" t="s">
        <v>773</v>
      </c>
      <c r="C157" s="834"/>
      <c r="D157" s="834" t="s">
        <v>240</v>
      </c>
      <c r="E157" s="68" t="b">
        <v>0</v>
      </c>
      <c r="F157" s="834"/>
      <c r="G157" s="73">
        <f t="shared" si="8"/>
        <v>1</v>
      </c>
      <c r="H157" s="75">
        <v>4.0</v>
      </c>
      <c r="I157" s="231">
        <v>45483.0</v>
      </c>
      <c r="J157" s="83" t="b">
        <v>1</v>
      </c>
      <c r="K157" s="231">
        <v>45671.0</v>
      </c>
      <c r="L157" s="83" t="b">
        <v>0</v>
      </c>
      <c r="M157" s="231">
        <v>45846.0</v>
      </c>
      <c r="N157" s="136" t="b">
        <v>0</v>
      </c>
      <c r="O157" s="236">
        <v>46035.0</v>
      </c>
      <c r="P157" s="454" t="b">
        <v>0</v>
      </c>
      <c r="Q157" s="837"/>
      <c r="R157" s="661"/>
      <c r="S157" s="837"/>
      <c r="T157" s="661"/>
      <c r="U157" s="837"/>
      <c r="V157" s="661"/>
      <c r="W157" s="837"/>
      <c r="X157" s="661"/>
      <c r="Y157" s="827"/>
      <c r="Z157" s="827"/>
      <c r="AA157" s="827"/>
      <c r="AB157" s="827"/>
      <c r="AC157" s="68"/>
      <c r="AD157" s="68"/>
      <c r="AE157" s="68"/>
      <c r="AF157" s="68"/>
      <c r="AG157" s="841"/>
      <c r="AH157" s="792"/>
    </row>
    <row r="158" ht="27.75" customHeight="1">
      <c r="A158" s="58">
        <f t="shared" si="6"/>
        <v>154</v>
      </c>
      <c r="B158" s="831" t="s">
        <v>166</v>
      </c>
      <c r="C158" s="255">
        <v>45794.0</v>
      </c>
      <c r="D158" s="129" t="s">
        <v>633</v>
      </c>
      <c r="E158" s="68" t="b">
        <v>0</v>
      </c>
      <c r="F158" s="129"/>
      <c r="G158" s="73">
        <f t="shared" si="8"/>
        <v>3</v>
      </c>
      <c r="H158" s="75">
        <v>6.0</v>
      </c>
      <c r="I158" s="87">
        <v>45226.0</v>
      </c>
      <c r="J158" s="68" t="b">
        <v>1</v>
      </c>
      <c r="K158" s="78">
        <v>45392.0</v>
      </c>
      <c r="L158" s="693" t="b">
        <v>1</v>
      </c>
      <c r="M158" s="93">
        <v>45583.0</v>
      </c>
      <c r="N158" s="693" t="b">
        <v>1</v>
      </c>
      <c r="O158" s="87">
        <v>45794.0</v>
      </c>
      <c r="P158" s="137" t="b">
        <v>0</v>
      </c>
      <c r="Q158" s="837">
        <v>45951.0</v>
      </c>
      <c r="R158" s="661" t="b">
        <v>0</v>
      </c>
      <c r="S158" s="159">
        <v>46133.0</v>
      </c>
      <c r="T158" s="838" t="b">
        <v>0</v>
      </c>
      <c r="U158" s="837"/>
      <c r="V158" s="661"/>
      <c r="W158" s="837"/>
      <c r="X158" s="661"/>
      <c r="Y158" s="827"/>
      <c r="Z158" s="827"/>
      <c r="AA158" s="827"/>
      <c r="AB158" s="827"/>
      <c r="AC158" s="68"/>
      <c r="AD158" s="68"/>
      <c r="AE158" s="68"/>
      <c r="AF158" s="68"/>
      <c r="AG158" s="854" t="s">
        <v>776</v>
      </c>
      <c r="AH158" s="855"/>
    </row>
    <row r="159" ht="27.75" customHeight="1">
      <c r="A159" s="58">
        <f t="shared" si="6"/>
        <v>155</v>
      </c>
      <c r="B159" s="831" t="s">
        <v>777</v>
      </c>
      <c r="C159" s="255">
        <v>45933.0</v>
      </c>
      <c r="D159" s="129" t="s">
        <v>60</v>
      </c>
      <c r="E159" s="68" t="b">
        <v>0</v>
      </c>
      <c r="F159" s="129"/>
      <c r="G159" s="73">
        <f t="shared" si="8"/>
        <v>3</v>
      </c>
      <c r="H159" s="75">
        <v>4.0</v>
      </c>
      <c r="I159" s="78">
        <v>45387.0</v>
      </c>
      <c r="J159" s="68" t="b">
        <v>1</v>
      </c>
      <c r="K159" s="78">
        <v>45588.0</v>
      </c>
      <c r="L159" s="79" t="b">
        <v>1</v>
      </c>
      <c r="M159" s="231">
        <v>45751.0</v>
      </c>
      <c r="N159" s="79" t="b">
        <v>1</v>
      </c>
      <c r="O159" s="236">
        <v>45933.0</v>
      </c>
      <c r="P159" s="137" t="b">
        <v>0</v>
      </c>
      <c r="Q159" s="837"/>
      <c r="R159" s="661"/>
      <c r="S159" s="837"/>
      <c r="T159" s="661"/>
      <c r="U159" s="837"/>
      <c r="V159" s="661"/>
      <c r="W159" s="837"/>
      <c r="X159" s="661"/>
      <c r="Y159" s="827"/>
      <c r="Z159" s="827"/>
      <c r="AA159" s="827"/>
      <c r="AB159" s="827"/>
      <c r="AC159" s="68"/>
      <c r="AD159" s="68"/>
      <c r="AE159" s="68"/>
      <c r="AF159" s="68"/>
      <c r="AG159" s="841"/>
      <c r="AH159" s="855"/>
    </row>
    <row r="160" ht="27.75" customHeight="1">
      <c r="A160" s="58">
        <f t="shared" si="6"/>
        <v>156</v>
      </c>
      <c r="B160" s="831" t="s">
        <v>608</v>
      </c>
      <c r="C160" s="255">
        <v>45859.0</v>
      </c>
      <c r="D160" s="129" t="s">
        <v>60</v>
      </c>
      <c r="E160" s="68" t="b">
        <v>0</v>
      </c>
      <c r="F160" s="129"/>
      <c r="G160" s="73">
        <f t="shared" si="8"/>
        <v>3</v>
      </c>
      <c r="H160" s="75">
        <v>4.0</v>
      </c>
      <c r="I160" s="78">
        <v>45306.0</v>
      </c>
      <c r="J160" s="68" t="b">
        <v>1</v>
      </c>
      <c r="K160" s="78">
        <v>45495.0</v>
      </c>
      <c r="L160" s="79" t="b">
        <v>1</v>
      </c>
      <c r="M160" s="231">
        <v>45686.0</v>
      </c>
      <c r="N160" s="79" t="b">
        <v>1</v>
      </c>
      <c r="O160" s="236">
        <v>45859.0</v>
      </c>
      <c r="P160" s="68" t="b">
        <v>0</v>
      </c>
      <c r="Q160" s="837"/>
      <c r="R160" s="661"/>
      <c r="S160" s="837"/>
      <c r="T160" s="661"/>
      <c r="U160" s="837"/>
      <c r="V160" s="661"/>
      <c r="W160" s="837"/>
      <c r="X160" s="661"/>
      <c r="Y160" s="827"/>
      <c r="Z160" s="827"/>
      <c r="AA160" s="827"/>
      <c r="AB160" s="827"/>
      <c r="AC160" s="68"/>
      <c r="AD160" s="68"/>
      <c r="AE160" s="68"/>
      <c r="AF160" s="68"/>
      <c r="AG160" s="841"/>
      <c r="AH160" s="855"/>
    </row>
    <row r="161" ht="27.75" customHeight="1">
      <c r="A161" s="58">
        <f t="shared" si="6"/>
        <v>157</v>
      </c>
      <c r="B161" s="831" t="s">
        <v>611</v>
      </c>
      <c r="C161" s="255">
        <v>45859.0</v>
      </c>
      <c r="D161" s="129" t="s">
        <v>60</v>
      </c>
      <c r="E161" s="68" t="b">
        <v>0</v>
      </c>
      <c r="F161" s="129"/>
      <c r="G161" s="73">
        <f t="shared" si="8"/>
        <v>3</v>
      </c>
      <c r="H161" s="75">
        <v>4.0</v>
      </c>
      <c r="I161" s="78">
        <v>45306.0</v>
      </c>
      <c r="J161" s="68" t="b">
        <v>1</v>
      </c>
      <c r="K161" s="78">
        <v>45495.0</v>
      </c>
      <c r="L161" s="79" t="b">
        <v>1</v>
      </c>
      <c r="M161" s="231">
        <v>45694.0</v>
      </c>
      <c r="N161" s="79" t="b">
        <v>1</v>
      </c>
      <c r="O161" s="236">
        <v>45859.0</v>
      </c>
      <c r="P161" s="68" t="b">
        <v>0</v>
      </c>
      <c r="Q161" s="837"/>
      <c r="R161" s="661"/>
      <c r="S161" s="837"/>
      <c r="T161" s="661"/>
      <c r="U161" s="837"/>
      <c r="V161" s="661"/>
      <c r="W161" s="837"/>
      <c r="X161" s="661"/>
      <c r="Y161" s="827"/>
      <c r="Z161" s="827"/>
      <c r="AA161" s="827"/>
      <c r="AB161" s="827"/>
      <c r="AC161" s="68"/>
      <c r="AD161" s="68"/>
      <c r="AE161" s="68"/>
      <c r="AF161" s="68"/>
      <c r="AG161" s="841"/>
      <c r="AH161" s="855"/>
    </row>
    <row r="162" ht="27.75" customHeight="1">
      <c r="A162" s="410">
        <f t="shared" si="6"/>
        <v>158</v>
      </c>
      <c r="B162" s="863" t="s">
        <v>787</v>
      </c>
      <c r="C162" s="255">
        <v>45921.0</v>
      </c>
      <c r="D162" s="129" t="s">
        <v>82</v>
      </c>
      <c r="E162" s="68" t="b">
        <v>0</v>
      </c>
      <c r="F162" s="129"/>
      <c r="G162" s="73">
        <f t="shared" si="8"/>
        <v>2</v>
      </c>
      <c r="H162" s="75">
        <v>4.0</v>
      </c>
      <c r="I162" s="78">
        <v>45457.0</v>
      </c>
      <c r="J162" s="68" t="b">
        <v>1</v>
      </c>
      <c r="K162" s="78">
        <v>45739.0</v>
      </c>
      <c r="L162" s="79" t="b">
        <v>1</v>
      </c>
      <c r="M162" s="231">
        <v>45921.0</v>
      </c>
      <c r="N162" s="422" t="b">
        <v>0</v>
      </c>
      <c r="O162" s="236">
        <v>46103.0</v>
      </c>
      <c r="P162" s="137" t="b">
        <v>0</v>
      </c>
      <c r="Q162" s="837"/>
      <c r="R162" s="661"/>
      <c r="S162" s="837"/>
      <c r="T162" s="661"/>
      <c r="U162" s="837"/>
      <c r="V162" s="661"/>
      <c r="W162" s="837"/>
      <c r="X162" s="661"/>
      <c r="Y162" s="827"/>
      <c r="Z162" s="827"/>
      <c r="AA162" s="827"/>
      <c r="AB162" s="827"/>
      <c r="AC162" s="68"/>
      <c r="AD162" s="68"/>
      <c r="AE162" s="68"/>
      <c r="AF162" s="68"/>
      <c r="AG162" s="841"/>
      <c r="AH162" s="855"/>
    </row>
    <row r="163" ht="27.75" customHeight="1">
      <c r="A163" s="410">
        <f t="shared" si="6"/>
        <v>159</v>
      </c>
      <c r="B163" s="867" t="s">
        <v>791</v>
      </c>
      <c r="C163" s="255">
        <v>45900.0</v>
      </c>
      <c r="D163" s="129" t="s">
        <v>198</v>
      </c>
      <c r="E163" s="68" t="b">
        <v>1</v>
      </c>
      <c r="F163" s="527">
        <v>45805.0</v>
      </c>
      <c r="G163" s="73">
        <f t="shared" si="8"/>
        <v>4</v>
      </c>
      <c r="H163" s="75">
        <v>4.0</v>
      </c>
      <c r="I163" s="78">
        <v>44880.0</v>
      </c>
      <c r="J163" s="68" t="b">
        <v>1</v>
      </c>
      <c r="K163" s="78">
        <v>45017.0</v>
      </c>
      <c r="L163" s="79" t="b">
        <v>1</v>
      </c>
      <c r="M163" s="231">
        <v>45253.0</v>
      </c>
      <c r="N163" s="79" t="b">
        <v>1</v>
      </c>
      <c r="O163" s="231">
        <v>45534.0</v>
      </c>
      <c r="P163" s="68" t="b">
        <v>1</v>
      </c>
      <c r="Q163" s="837"/>
      <c r="R163" s="661"/>
      <c r="S163" s="837"/>
      <c r="T163" s="661"/>
      <c r="U163" s="159"/>
      <c r="V163" s="661"/>
      <c r="W163" s="159"/>
      <c r="X163" s="661"/>
      <c r="Y163" s="827"/>
      <c r="Z163" s="827"/>
      <c r="AA163" s="827"/>
      <c r="AB163" s="827"/>
      <c r="AC163" s="68"/>
      <c r="AD163" s="68"/>
      <c r="AE163" s="68"/>
      <c r="AF163" s="68"/>
      <c r="AG163" s="869" t="s">
        <v>792</v>
      </c>
      <c r="AH163" s="855"/>
    </row>
    <row r="164" ht="28.5" customHeight="1">
      <c r="A164" s="58">
        <f t="shared" si="6"/>
        <v>160</v>
      </c>
      <c r="B164" s="831" t="s">
        <v>793</v>
      </c>
      <c r="C164" s="255">
        <v>45933.0</v>
      </c>
      <c r="D164" s="129" t="s">
        <v>60</v>
      </c>
      <c r="E164" s="68" t="b">
        <v>0</v>
      </c>
      <c r="F164" s="129"/>
      <c r="G164" s="73">
        <f t="shared" si="8"/>
        <v>3</v>
      </c>
      <c r="H164" s="75">
        <v>4.0</v>
      </c>
      <c r="I164" s="78">
        <v>45387.0</v>
      </c>
      <c r="J164" s="68" t="b">
        <v>1</v>
      </c>
      <c r="K164" s="78">
        <v>45609.0</v>
      </c>
      <c r="L164" s="79" t="b">
        <v>1</v>
      </c>
      <c r="M164" s="231">
        <v>45751.0</v>
      </c>
      <c r="N164" s="79" t="b">
        <v>1</v>
      </c>
      <c r="O164" s="236">
        <v>45933.0</v>
      </c>
      <c r="P164" s="137" t="b">
        <v>0</v>
      </c>
      <c r="Q164" s="837"/>
      <c r="R164" s="661"/>
      <c r="S164" s="837"/>
      <c r="T164" s="661"/>
      <c r="U164" s="837"/>
      <c r="V164" s="661"/>
      <c r="W164" s="837"/>
      <c r="X164" s="661"/>
      <c r="Y164" s="827"/>
      <c r="Z164" s="827"/>
      <c r="AA164" s="827"/>
      <c r="AB164" s="827"/>
      <c r="AC164" s="68"/>
      <c r="AD164" s="68"/>
      <c r="AE164" s="68"/>
      <c r="AF164" s="68"/>
      <c r="AG164" s="841"/>
      <c r="AH164" s="855"/>
    </row>
    <row r="165" ht="28.5" customHeight="1">
      <c r="A165" s="58">
        <f t="shared" si="6"/>
        <v>161</v>
      </c>
      <c r="B165" s="831" t="s">
        <v>798</v>
      </c>
      <c r="C165" s="255">
        <v>45832.0</v>
      </c>
      <c r="D165" s="129" t="s">
        <v>180</v>
      </c>
      <c r="E165" s="68" t="b">
        <v>0</v>
      </c>
      <c r="F165" s="129"/>
      <c r="G165" s="873">
        <f t="shared" si="8"/>
        <v>4</v>
      </c>
      <c r="H165" s="75">
        <v>6.0</v>
      </c>
      <c r="I165" s="78">
        <v>44562.0</v>
      </c>
      <c r="J165" s="874" t="b">
        <v>1</v>
      </c>
      <c r="K165" s="670">
        <v>44562.0</v>
      </c>
      <c r="L165" s="209" t="b">
        <v>1</v>
      </c>
      <c r="M165" s="231">
        <v>45468.0</v>
      </c>
      <c r="N165" s="79" t="b">
        <v>1</v>
      </c>
      <c r="O165" s="236">
        <v>45637.0</v>
      </c>
      <c r="P165" s="137" t="b">
        <v>1</v>
      </c>
      <c r="Q165" s="159">
        <v>45832.0</v>
      </c>
      <c r="R165" s="661" t="b">
        <v>0</v>
      </c>
      <c r="S165" s="837">
        <v>46014.0</v>
      </c>
      <c r="T165" s="838" t="b">
        <v>0</v>
      </c>
      <c r="U165" s="837"/>
      <c r="V165" s="661"/>
      <c r="W165" s="837"/>
      <c r="X165" s="661"/>
      <c r="Y165" s="827"/>
      <c r="Z165" s="827"/>
      <c r="AA165" s="827"/>
      <c r="AB165" s="827"/>
      <c r="AC165" s="68"/>
      <c r="AD165" s="68"/>
      <c r="AE165" s="68"/>
      <c r="AF165" s="68"/>
      <c r="AG165" s="841"/>
      <c r="AH165" s="855"/>
    </row>
    <row r="166" ht="28.5" customHeight="1">
      <c r="A166" s="58">
        <f t="shared" si="6"/>
        <v>162</v>
      </c>
      <c r="B166" s="783" t="s">
        <v>802</v>
      </c>
      <c r="C166" s="255">
        <v>45918.0</v>
      </c>
      <c r="D166" s="129" t="s">
        <v>240</v>
      </c>
      <c r="E166" s="68" t="b">
        <v>0</v>
      </c>
      <c r="F166" s="129"/>
      <c r="G166" s="73">
        <f t="shared" si="8"/>
        <v>1</v>
      </c>
      <c r="H166" s="75">
        <v>4.0</v>
      </c>
      <c r="I166" s="78">
        <v>45734.0</v>
      </c>
      <c r="J166" s="68" t="b">
        <v>1</v>
      </c>
      <c r="K166" s="78">
        <v>45918.0</v>
      </c>
      <c r="L166" s="79" t="b">
        <v>0</v>
      </c>
      <c r="M166" s="231">
        <v>46100.0</v>
      </c>
      <c r="N166" s="422" t="b">
        <v>0</v>
      </c>
      <c r="O166" s="236">
        <v>46282.0</v>
      </c>
      <c r="P166" s="137" t="b">
        <v>0</v>
      </c>
      <c r="Q166" s="878"/>
      <c r="R166" s="879"/>
      <c r="S166" s="878"/>
      <c r="T166" s="879"/>
      <c r="U166" s="878"/>
      <c r="V166" s="879"/>
      <c r="W166" s="878"/>
      <c r="X166" s="879"/>
      <c r="Y166" s="879"/>
      <c r="Z166" s="879"/>
      <c r="AA166" s="879"/>
      <c r="AB166" s="879"/>
      <c r="AC166" s="189"/>
      <c r="AD166" s="189"/>
      <c r="AE166" s="189"/>
      <c r="AF166" s="189"/>
      <c r="AG166" s="882"/>
      <c r="AH166" s="855"/>
    </row>
    <row r="167" ht="28.5" customHeight="1">
      <c r="A167" s="58">
        <f t="shared" si="6"/>
        <v>163</v>
      </c>
      <c r="B167" s="831" t="s">
        <v>619</v>
      </c>
      <c r="C167" s="255">
        <v>45793.0</v>
      </c>
      <c r="D167" s="129" t="s">
        <v>198</v>
      </c>
      <c r="E167" s="68" t="b">
        <v>0</v>
      </c>
      <c r="F167" s="756" t="s">
        <v>353</v>
      </c>
      <c r="G167" s="73">
        <f t="shared" si="8"/>
        <v>4</v>
      </c>
      <c r="H167" s="75">
        <v>4.0</v>
      </c>
      <c r="I167" s="78">
        <v>45299.0</v>
      </c>
      <c r="J167" s="68" t="b">
        <v>1</v>
      </c>
      <c r="K167" s="78">
        <v>45426.0</v>
      </c>
      <c r="L167" s="79" t="b">
        <v>1</v>
      </c>
      <c r="M167" s="231">
        <v>45608.0</v>
      </c>
      <c r="N167" s="79" t="b">
        <v>1</v>
      </c>
      <c r="O167" s="236">
        <v>45793.0</v>
      </c>
      <c r="P167" s="68" t="b">
        <v>1</v>
      </c>
      <c r="Q167" s="837"/>
      <c r="R167" s="661"/>
      <c r="S167" s="837"/>
      <c r="T167" s="661"/>
      <c r="U167" s="837"/>
      <c r="V167" s="661"/>
      <c r="W167" s="837"/>
      <c r="X167" s="661"/>
      <c r="Y167" s="827"/>
      <c r="Z167" s="827"/>
      <c r="AA167" s="827"/>
      <c r="AB167" s="827"/>
      <c r="AC167" s="68"/>
      <c r="AD167" s="68"/>
      <c r="AE167" s="68"/>
      <c r="AF167" s="68"/>
      <c r="AG167" s="841"/>
      <c r="AH167" s="855"/>
    </row>
    <row r="168" ht="33.0" customHeight="1">
      <c r="A168" s="58">
        <f t="shared" si="6"/>
        <v>164</v>
      </c>
      <c r="B168" s="831" t="s">
        <v>623</v>
      </c>
      <c r="C168" s="255">
        <v>45917.0</v>
      </c>
      <c r="D168" s="129" t="s">
        <v>60</v>
      </c>
      <c r="E168" s="68" t="b">
        <v>0</v>
      </c>
      <c r="F168" s="129"/>
      <c r="G168" s="73">
        <f t="shared" si="8"/>
        <v>2</v>
      </c>
      <c r="H168" s="75">
        <v>4.0</v>
      </c>
      <c r="I168" s="78">
        <v>45308.0</v>
      </c>
      <c r="J168" s="68" t="b">
        <v>1</v>
      </c>
      <c r="K168" s="78">
        <v>45490.0</v>
      </c>
      <c r="L168" s="79" t="b">
        <v>1</v>
      </c>
      <c r="M168" s="231">
        <v>45674.0</v>
      </c>
      <c r="N168" s="422" t="b">
        <v>0</v>
      </c>
      <c r="O168" s="236">
        <v>45855.0</v>
      </c>
      <c r="P168" s="68" t="b">
        <v>0</v>
      </c>
      <c r="Q168" s="837"/>
      <c r="R168" s="661"/>
      <c r="S168" s="837"/>
      <c r="T168" s="661"/>
      <c r="U168" s="837"/>
      <c r="V168" s="661"/>
      <c r="W168" s="837"/>
      <c r="X168" s="661"/>
      <c r="Y168" s="827"/>
      <c r="Z168" s="827"/>
      <c r="AA168" s="827"/>
      <c r="AB168" s="827"/>
      <c r="AC168" s="68"/>
      <c r="AD168" s="68"/>
      <c r="AE168" s="68"/>
      <c r="AF168" s="68"/>
      <c r="AG168" s="841"/>
      <c r="AH168" s="855"/>
    </row>
    <row r="169" ht="27.75" customHeight="1">
      <c r="A169" s="345">
        <f t="shared" si="6"/>
        <v>165</v>
      </c>
      <c r="B169" s="452" t="s">
        <v>806</v>
      </c>
      <c r="C169" s="133">
        <v>45638.0</v>
      </c>
      <c r="D169" s="129" t="s">
        <v>198</v>
      </c>
      <c r="E169" s="68" t="b">
        <v>1</v>
      </c>
      <c r="F169" s="129" t="s">
        <v>807</v>
      </c>
      <c r="G169" s="73">
        <f t="shared" si="8"/>
        <v>4</v>
      </c>
      <c r="H169" s="75">
        <v>4.0</v>
      </c>
      <c r="I169" s="78">
        <v>44922.0</v>
      </c>
      <c r="J169" s="68" t="b">
        <v>1</v>
      </c>
      <c r="K169" s="78">
        <v>45246.0</v>
      </c>
      <c r="L169" s="79" t="b">
        <v>1</v>
      </c>
      <c r="M169" s="231">
        <v>45422.0</v>
      </c>
      <c r="N169" s="79" t="b">
        <v>1</v>
      </c>
      <c r="O169" s="236">
        <v>45608.0</v>
      </c>
      <c r="P169" s="68" t="b">
        <v>1</v>
      </c>
      <c r="Q169" s="236"/>
      <c r="R169" s="79"/>
      <c r="S169" s="236"/>
      <c r="T169" s="79"/>
      <c r="U169" s="236"/>
      <c r="V169" s="79"/>
      <c r="W169" s="236"/>
      <c r="X169" s="79"/>
      <c r="Y169" s="422"/>
      <c r="Z169" s="422"/>
      <c r="AA169" s="422"/>
      <c r="AB169" s="422"/>
      <c r="AC169" s="79"/>
      <c r="AD169" s="79"/>
      <c r="AE169" s="79"/>
      <c r="AF169" s="79"/>
      <c r="AG169" s="891"/>
      <c r="AH169" s="792"/>
    </row>
    <row r="170" ht="27.75" customHeight="1">
      <c r="A170" s="58">
        <f t="shared" si="6"/>
        <v>166</v>
      </c>
      <c r="B170" s="62" t="s">
        <v>808</v>
      </c>
      <c r="C170" s="129"/>
      <c r="D170" s="129"/>
      <c r="E170" s="68" t="b">
        <v>0</v>
      </c>
      <c r="F170" s="129"/>
      <c r="G170" s="73">
        <f t="shared" si="8"/>
        <v>1</v>
      </c>
      <c r="H170" s="75">
        <v>4.0</v>
      </c>
      <c r="I170" s="78">
        <v>45362.0</v>
      </c>
      <c r="J170" s="68" t="b">
        <v>1</v>
      </c>
      <c r="K170" s="78">
        <v>45708.0</v>
      </c>
      <c r="L170" s="79" t="b">
        <v>0</v>
      </c>
      <c r="M170" s="231">
        <v>45726.0</v>
      </c>
      <c r="N170" s="422" t="b">
        <v>0</v>
      </c>
      <c r="O170" s="236">
        <v>45910.0</v>
      </c>
      <c r="P170" s="68" t="b">
        <v>0</v>
      </c>
      <c r="Q170" s="231"/>
      <c r="R170" s="422"/>
      <c r="S170" s="231"/>
      <c r="T170" s="422"/>
      <c r="U170" s="231"/>
      <c r="V170" s="422"/>
      <c r="W170" s="231"/>
      <c r="X170" s="422"/>
      <c r="Y170" s="422"/>
      <c r="Z170" s="422"/>
      <c r="AA170" s="422"/>
      <c r="AB170" s="422"/>
      <c r="AC170" s="79"/>
      <c r="AD170" s="79"/>
      <c r="AE170" s="79"/>
      <c r="AF170" s="79"/>
      <c r="AG170" s="62"/>
      <c r="AH170" s="792"/>
    </row>
    <row r="171" ht="27.75" customHeight="1">
      <c r="A171" s="58">
        <f t="shared" si="6"/>
        <v>167</v>
      </c>
      <c r="B171" s="62" t="s">
        <v>809</v>
      </c>
      <c r="C171" s="129"/>
      <c r="D171" s="129"/>
      <c r="E171" s="68" t="b">
        <v>0</v>
      </c>
      <c r="F171" s="129"/>
      <c r="G171" s="73">
        <f t="shared" si="8"/>
        <v>4</v>
      </c>
      <c r="H171" s="75">
        <v>6.0</v>
      </c>
      <c r="I171" s="78">
        <v>44832.0</v>
      </c>
      <c r="J171" s="68" t="b">
        <v>1</v>
      </c>
      <c r="K171" s="78">
        <v>45014.0</v>
      </c>
      <c r="L171" s="79" t="b">
        <v>1</v>
      </c>
      <c r="M171" s="231">
        <v>45328.0</v>
      </c>
      <c r="N171" s="79" t="b">
        <v>1</v>
      </c>
      <c r="O171" s="236">
        <v>45493.0</v>
      </c>
      <c r="P171" s="137" t="b">
        <v>1</v>
      </c>
      <c r="Q171" s="236">
        <v>45708.0</v>
      </c>
      <c r="R171" s="79" t="b">
        <v>0</v>
      </c>
      <c r="S171" s="236">
        <v>45875.0</v>
      </c>
      <c r="T171" s="471" t="b">
        <v>0</v>
      </c>
      <c r="U171" s="236"/>
      <c r="V171" s="79"/>
      <c r="W171" s="236"/>
      <c r="X171" s="79"/>
      <c r="Y171" s="422"/>
      <c r="Z171" s="422"/>
      <c r="AA171" s="422"/>
      <c r="AB171" s="422"/>
      <c r="AC171" s="79"/>
      <c r="AD171" s="79"/>
      <c r="AE171" s="79"/>
      <c r="AF171" s="79"/>
      <c r="AG171" s="891"/>
      <c r="AH171" s="792"/>
    </row>
    <row r="172" ht="27.75" customHeight="1">
      <c r="A172" s="58">
        <f t="shared" si="6"/>
        <v>168</v>
      </c>
      <c r="B172" s="62" t="s">
        <v>810</v>
      </c>
      <c r="C172" s="255">
        <v>45863.0</v>
      </c>
      <c r="D172" s="129" t="s">
        <v>240</v>
      </c>
      <c r="E172" s="68" t="b">
        <v>0</v>
      </c>
      <c r="F172" s="129"/>
      <c r="G172" s="73">
        <f t="shared" si="8"/>
        <v>2</v>
      </c>
      <c r="H172" s="75">
        <v>4.0</v>
      </c>
      <c r="I172" s="78">
        <v>45526.0</v>
      </c>
      <c r="J172" s="68" t="b">
        <v>1</v>
      </c>
      <c r="K172" s="78">
        <v>45751.0</v>
      </c>
      <c r="L172" s="79" t="b">
        <v>1</v>
      </c>
      <c r="M172" s="236">
        <v>45863.0</v>
      </c>
      <c r="N172" s="422" t="b">
        <v>0</v>
      </c>
      <c r="O172" s="236">
        <v>46045.0</v>
      </c>
      <c r="P172" s="143" t="b">
        <v>0</v>
      </c>
      <c r="Q172" s="231"/>
      <c r="R172" s="422"/>
      <c r="S172" s="231"/>
      <c r="T172" s="422"/>
      <c r="U172" s="231"/>
      <c r="V172" s="422"/>
      <c r="W172" s="231"/>
      <c r="X172" s="422"/>
      <c r="Y172" s="422"/>
      <c r="Z172" s="422"/>
      <c r="AA172" s="422"/>
      <c r="AB172" s="422"/>
      <c r="AC172" s="79"/>
      <c r="AD172" s="79"/>
      <c r="AE172" s="79"/>
      <c r="AF172" s="79"/>
      <c r="AG172" s="62"/>
      <c r="AH172" s="792"/>
    </row>
    <row r="173" ht="27.75" customHeight="1">
      <c r="A173" s="58">
        <f t="shared" si="6"/>
        <v>169</v>
      </c>
      <c r="B173" s="62" t="s">
        <v>811</v>
      </c>
      <c r="C173" s="255">
        <v>45797.0</v>
      </c>
      <c r="D173" s="129" t="s">
        <v>240</v>
      </c>
      <c r="E173" s="68" t="b">
        <v>0</v>
      </c>
      <c r="F173" s="129"/>
      <c r="G173" s="73">
        <f t="shared" si="8"/>
        <v>1</v>
      </c>
      <c r="H173" s="75">
        <v>4.0</v>
      </c>
      <c r="I173" s="78">
        <v>45617.0</v>
      </c>
      <c r="J173" s="68" t="b">
        <v>1</v>
      </c>
      <c r="K173" s="78">
        <v>45797.0</v>
      </c>
      <c r="L173" s="79" t="b">
        <v>0</v>
      </c>
      <c r="M173" s="231">
        <v>45982.0</v>
      </c>
      <c r="N173" s="422" t="b">
        <v>0</v>
      </c>
      <c r="O173" s="231">
        <v>46163.0</v>
      </c>
      <c r="P173" s="137" t="b">
        <v>0</v>
      </c>
      <c r="Q173" s="231"/>
      <c r="R173" s="422"/>
      <c r="S173" s="231"/>
      <c r="T173" s="422"/>
      <c r="U173" s="231"/>
      <c r="V173" s="422"/>
      <c r="W173" s="231"/>
      <c r="X173" s="422"/>
      <c r="Y173" s="422"/>
      <c r="Z173" s="422"/>
      <c r="AA173" s="422"/>
      <c r="AB173" s="422"/>
      <c r="AC173" s="79"/>
      <c r="AD173" s="79"/>
      <c r="AE173" s="79"/>
      <c r="AF173" s="79"/>
      <c r="AG173" s="62"/>
      <c r="AH173" s="792"/>
    </row>
    <row r="174" ht="27.75" customHeight="1">
      <c r="A174" s="58">
        <f t="shared" si="6"/>
        <v>170</v>
      </c>
      <c r="B174" s="465" t="s">
        <v>812</v>
      </c>
      <c r="C174" s="129"/>
      <c r="D174" s="129"/>
      <c r="E174" s="68" t="b">
        <v>0</v>
      </c>
      <c r="F174" s="129"/>
      <c r="G174" s="73">
        <v>1.0</v>
      </c>
      <c r="H174" s="75">
        <v>2.0</v>
      </c>
      <c r="I174" s="78">
        <v>45247.0</v>
      </c>
      <c r="J174" s="68" t="b">
        <v>1</v>
      </c>
      <c r="K174" s="78">
        <v>45499.0</v>
      </c>
      <c r="L174" s="79" t="b">
        <v>1</v>
      </c>
      <c r="M174" s="231"/>
      <c r="N174" s="422" t="b">
        <v>0</v>
      </c>
      <c r="O174" s="231"/>
      <c r="P174" s="137" t="b">
        <v>0</v>
      </c>
      <c r="Q174" s="231"/>
      <c r="R174" s="422"/>
      <c r="S174" s="231"/>
      <c r="T174" s="422"/>
      <c r="U174" s="231"/>
      <c r="V174" s="422"/>
      <c r="W174" s="231"/>
      <c r="X174" s="422"/>
      <c r="Y174" s="422"/>
      <c r="Z174" s="422"/>
      <c r="AA174" s="422"/>
      <c r="AB174" s="422"/>
      <c r="AC174" s="79"/>
      <c r="AD174" s="79"/>
      <c r="AE174" s="79"/>
      <c r="AF174" s="79"/>
      <c r="AG174" s="62"/>
      <c r="AH174" s="792"/>
    </row>
    <row r="175" ht="27.75" customHeight="1">
      <c r="A175" s="58">
        <f t="shared" si="6"/>
        <v>171</v>
      </c>
      <c r="B175" s="465" t="s">
        <v>813</v>
      </c>
      <c r="C175" s="129"/>
      <c r="D175" s="129"/>
      <c r="E175" s="68" t="b">
        <v>0</v>
      </c>
      <c r="F175" s="129"/>
      <c r="G175" s="73">
        <v>1.0</v>
      </c>
      <c r="H175" s="75">
        <v>2.0</v>
      </c>
      <c r="I175" s="231">
        <v>45247.0</v>
      </c>
      <c r="J175" s="259" t="b">
        <v>1</v>
      </c>
      <c r="K175" s="231">
        <v>45499.0</v>
      </c>
      <c r="L175" s="259" t="b">
        <v>1</v>
      </c>
      <c r="M175" s="231"/>
      <c r="N175" s="567" t="b">
        <v>0</v>
      </c>
      <c r="O175" s="236"/>
      <c r="P175" s="137" t="b">
        <v>0</v>
      </c>
      <c r="Q175" s="231"/>
      <c r="R175" s="422"/>
      <c r="S175" s="231"/>
      <c r="T175" s="422"/>
      <c r="U175" s="231"/>
      <c r="V175" s="422"/>
      <c r="W175" s="231"/>
      <c r="X175" s="422"/>
      <c r="Y175" s="422"/>
      <c r="Z175" s="422"/>
      <c r="AA175" s="422"/>
      <c r="AB175" s="422"/>
      <c r="AC175" s="79"/>
      <c r="AD175" s="79"/>
      <c r="AE175" s="79"/>
      <c r="AF175" s="79"/>
      <c r="AG175" s="62"/>
      <c r="AH175" s="792"/>
    </row>
    <row r="176" ht="27.75" customHeight="1">
      <c r="A176" s="58">
        <f t="shared" si="6"/>
        <v>172</v>
      </c>
      <c r="B176" s="465" t="s">
        <v>815</v>
      </c>
      <c r="C176" s="129"/>
      <c r="D176" s="129"/>
      <c r="E176" s="68" t="b">
        <v>0</v>
      </c>
      <c r="F176" s="129"/>
      <c r="G176" s="73">
        <v>1.0</v>
      </c>
      <c r="H176" s="75">
        <v>1.0</v>
      </c>
      <c r="I176" s="231">
        <v>45247.0</v>
      </c>
      <c r="J176" s="259" t="b">
        <v>1</v>
      </c>
      <c r="K176" s="231">
        <v>45499.0</v>
      </c>
      <c r="L176" s="259" t="b">
        <v>1</v>
      </c>
      <c r="M176" s="231"/>
      <c r="N176" s="567" t="b">
        <v>0</v>
      </c>
      <c r="O176" s="236"/>
      <c r="P176" s="137" t="b">
        <v>0</v>
      </c>
      <c r="Q176" s="231"/>
      <c r="R176" s="422"/>
      <c r="S176" s="231"/>
      <c r="T176" s="422"/>
      <c r="U176" s="231"/>
      <c r="V176" s="422"/>
      <c r="W176" s="231"/>
      <c r="X176" s="422"/>
      <c r="Y176" s="422"/>
      <c r="Z176" s="422"/>
      <c r="AA176" s="422"/>
      <c r="AB176" s="422"/>
      <c r="AC176" s="79"/>
      <c r="AD176" s="79"/>
      <c r="AE176" s="79"/>
      <c r="AF176" s="79"/>
      <c r="AG176" s="62"/>
      <c r="AH176" s="792"/>
    </row>
    <row r="177" ht="27.75" customHeight="1">
      <c r="A177" s="58">
        <f t="shared" si="6"/>
        <v>173</v>
      </c>
      <c r="B177" s="202" t="s">
        <v>816</v>
      </c>
      <c r="C177" s="255">
        <v>45809.0</v>
      </c>
      <c r="D177" s="129" t="s">
        <v>240</v>
      </c>
      <c r="E177" s="68" t="b">
        <v>0</v>
      </c>
      <c r="F177" s="129"/>
      <c r="G177" s="73">
        <f t="shared" ref="G177:G196" si="9">COUNTIFS(I177:AG177,"True")</f>
        <v>1</v>
      </c>
      <c r="H177" s="75">
        <v>4.0</v>
      </c>
      <c r="I177" s="231">
        <v>45637.0</v>
      </c>
      <c r="J177" s="259" t="b">
        <v>1</v>
      </c>
      <c r="K177" s="231">
        <v>45809.0</v>
      </c>
      <c r="L177" s="259" t="b">
        <v>0</v>
      </c>
      <c r="M177" s="231">
        <v>45992.0</v>
      </c>
      <c r="N177" s="567" t="b">
        <v>0</v>
      </c>
      <c r="O177" s="236">
        <v>46174.0</v>
      </c>
      <c r="P177" s="915" t="b">
        <v>0</v>
      </c>
      <c r="Q177" s="731"/>
      <c r="R177" s="732"/>
      <c r="S177" s="731"/>
      <c r="T177" s="732"/>
      <c r="U177" s="731"/>
      <c r="V177" s="732"/>
      <c r="W177" s="731"/>
      <c r="X177" s="732"/>
      <c r="Y177" s="732"/>
      <c r="Z177" s="732"/>
      <c r="AA177" s="732"/>
      <c r="AB177" s="732"/>
      <c r="AC177" s="79"/>
      <c r="AD177" s="79"/>
      <c r="AE177" s="79"/>
      <c r="AF177" s="79"/>
      <c r="AG177" s="356"/>
      <c r="AH177" s="792"/>
    </row>
    <row r="178" ht="27.75" customHeight="1">
      <c r="A178" s="58">
        <f t="shared" si="6"/>
        <v>174</v>
      </c>
      <c r="B178" s="202" t="s">
        <v>821</v>
      </c>
      <c r="C178" s="255">
        <v>45809.0</v>
      </c>
      <c r="D178" s="129" t="s">
        <v>240</v>
      </c>
      <c r="E178" s="68" t="b">
        <v>0</v>
      </c>
      <c r="F178" s="129"/>
      <c r="G178" s="73">
        <f t="shared" si="9"/>
        <v>1</v>
      </c>
      <c r="H178" s="75">
        <v>4.0</v>
      </c>
      <c r="I178" s="231">
        <v>45637.0</v>
      </c>
      <c r="J178" s="259" t="b">
        <v>1</v>
      </c>
      <c r="K178" s="231">
        <v>45809.0</v>
      </c>
      <c r="L178" s="259" t="b">
        <v>0</v>
      </c>
      <c r="M178" s="231">
        <v>45992.0</v>
      </c>
      <c r="N178" s="567" t="b">
        <v>0</v>
      </c>
      <c r="O178" s="236">
        <v>46174.0</v>
      </c>
      <c r="P178" s="915" t="b">
        <v>0</v>
      </c>
      <c r="Q178" s="731"/>
      <c r="R178" s="732"/>
      <c r="S178" s="731"/>
      <c r="T178" s="732"/>
      <c r="U178" s="731"/>
      <c r="V178" s="732"/>
      <c r="W178" s="731"/>
      <c r="X178" s="732"/>
      <c r="Y178" s="732"/>
      <c r="Z178" s="732"/>
      <c r="AA178" s="732"/>
      <c r="AB178" s="732"/>
      <c r="AC178" s="79"/>
      <c r="AD178" s="79"/>
      <c r="AE178" s="79"/>
      <c r="AF178" s="79"/>
      <c r="AG178" s="356"/>
      <c r="AH178" s="792"/>
    </row>
    <row r="179" ht="27.75" customHeight="1">
      <c r="A179" s="58">
        <f t="shared" si="6"/>
        <v>175</v>
      </c>
      <c r="B179" s="62" t="s">
        <v>822</v>
      </c>
      <c r="C179" s="133">
        <v>45940.0</v>
      </c>
      <c r="D179" s="129" t="s">
        <v>60</v>
      </c>
      <c r="E179" s="68" t="b">
        <v>0</v>
      </c>
      <c r="F179" s="129"/>
      <c r="G179" s="73">
        <f t="shared" si="9"/>
        <v>3</v>
      </c>
      <c r="H179" s="75">
        <v>4.0</v>
      </c>
      <c r="I179" s="231">
        <v>45394.0</v>
      </c>
      <c r="J179" s="259" t="b">
        <v>1</v>
      </c>
      <c r="K179" s="231">
        <v>45601.0</v>
      </c>
      <c r="L179" s="259" t="b">
        <v>1</v>
      </c>
      <c r="M179" s="231">
        <v>45751.0</v>
      </c>
      <c r="N179" s="259" t="b">
        <v>1</v>
      </c>
      <c r="O179" s="236">
        <v>45940.0</v>
      </c>
      <c r="P179" s="915" t="b">
        <v>0</v>
      </c>
      <c r="Q179" s="236"/>
      <c r="R179" s="79"/>
      <c r="S179" s="236"/>
      <c r="T179" s="79"/>
      <c r="U179" s="236"/>
      <c r="V179" s="79"/>
      <c r="W179" s="236"/>
      <c r="X179" s="79"/>
      <c r="Y179" s="422"/>
      <c r="Z179" s="422"/>
      <c r="AA179" s="422"/>
      <c r="AB179" s="422"/>
      <c r="AC179" s="79"/>
      <c r="AD179" s="79"/>
      <c r="AE179" s="79"/>
      <c r="AF179" s="79"/>
      <c r="AG179" s="62"/>
      <c r="AH179" s="792"/>
    </row>
    <row r="180" ht="27.75" customHeight="1">
      <c r="A180" s="345">
        <f t="shared" si="6"/>
        <v>176</v>
      </c>
      <c r="B180" s="452" t="s">
        <v>824</v>
      </c>
      <c r="C180" s="255">
        <v>45817.0</v>
      </c>
      <c r="D180" s="129" t="s">
        <v>82</v>
      </c>
      <c r="E180" s="68" t="b">
        <v>0</v>
      </c>
      <c r="F180" s="129"/>
      <c r="G180" s="73">
        <f t="shared" si="9"/>
        <v>2</v>
      </c>
      <c r="H180" s="75">
        <v>4.0</v>
      </c>
      <c r="I180" s="231">
        <v>45391.0</v>
      </c>
      <c r="J180" s="79" t="b">
        <v>1</v>
      </c>
      <c r="K180" s="231">
        <v>45575.0</v>
      </c>
      <c r="L180" s="79" t="b">
        <v>1</v>
      </c>
      <c r="M180" s="231">
        <v>45817.0</v>
      </c>
      <c r="N180" s="422" t="b">
        <v>0</v>
      </c>
      <c r="O180" s="236">
        <v>46000.0</v>
      </c>
      <c r="P180" s="471" t="b">
        <v>0</v>
      </c>
      <c r="Q180" s="236"/>
      <c r="R180" s="79"/>
      <c r="S180" s="236"/>
      <c r="T180" s="79"/>
      <c r="U180" s="236"/>
      <c r="V180" s="79"/>
      <c r="W180" s="236"/>
      <c r="X180" s="79"/>
      <c r="Y180" s="422"/>
      <c r="Z180" s="422"/>
      <c r="AA180" s="422"/>
      <c r="AB180" s="422"/>
      <c r="AC180" s="79"/>
      <c r="AD180" s="79"/>
      <c r="AE180" s="79"/>
      <c r="AF180" s="79"/>
      <c r="AG180" s="62" t="s">
        <v>826</v>
      </c>
      <c r="AH180" s="792"/>
    </row>
    <row r="181" ht="27.75" customHeight="1">
      <c r="A181" s="58">
        <f t="shared" si="6"/>
        <v>177</v>
      </c>
      <c r="B181" s="62" t="s">
        <v>625</v>
      </c>
      <c r="C181" s="255">
        <v>45853.0</v>
      </c>
      <c r="D181" s="129" t="s">
        <v>827</v>
      </c>
      <c r="E181" s="68" t="b">
        <v>0</v>
      </c>
      <c r="F181" s="129"/>
      <c r="G181" s="73">
        <f t="shared" si="9"/>
        <v>6</v>
      </c>
      <c r="H181" s="258">
        <v>8.0</v>
      </c>
      <c r="I181" s="236">
        <v>44576.0</v>
      </c>
      <c r="J181" s="618" t="b">
        <v>1</v>
      </c>
      <c r="K181" s="236">
        <v>44744.0</v>
      </c>
      <c r="L181" s="618" t="b">
        <v>1</v>
      </c>
      <c r="M181" s="236">
        <v>45051.0</v>
      </c>
      <c r="N181" s="618" t="b">
        <v>1</v>
      </c>
      <c r="O181" s="236">
        <v>45110.0</v>
      </c>
      <c r="P181" s="915" t="b">
        <v>1</v>
      </c>
      <c r="Q181" s="236">
        <v>45407.0</v>
      </c>
      <c r="R181" s="79" t="b">
        <v>1</v>
      </c>
      <c r="S181" s="236">
        <v>45744.0</v>
      </c>
      <c r="T181" s="471" t="b">
        <v>1</v>
      </c>
      <c r="U181" s="236">
        <v>45915.0</v>
      </c>
      <c r="V181" s="79" t="b">
        <v>0</v>
      </c>
      <c r="W181" s="236">
        <v>46097.0</v>
      </c>
      <c r="X181" s="471" t="b">
        <v>0</v>
      </c>
      <c r="Y181" s="471"/>
      <c r="Z181" s="471" t="b">
        <v>0</v>
      </c>
      <c r="AA181" s="471"/>
      <c r="AB181" s="471" t="b">
        <v>0</v>
      </c>
      <c r="AC181" s="79"/>
      <c r="AD181" s="79"/>
      <c r="AE181" s="79"/>
      <c r="AF181" s="79"/>
      <c r="AG181" s="944" t="s">
        <v>830</v>
      </c>
      <c r="AH181" s="792"/>
    </row>
    <row r="182" ht="27.75" customHeight="1">
      <c r="A182" s="58">
        <f t="shared" si="6"/>
        <v>178</v>
      </c>
      <c r="B182" s="177" t="s">
        <v>832</v>
      </c>
      <c r="C182" s="129"/>
      <c r="D182" s="129"/>
      <c r="E182" s="68" t="b">
        <v>0</v>
      </c>
      <c r="F182" s="129"/>
      <c r="G182" s="73">
        <f t="shared" si="9"/>
        <v>0</v>
      </c>
      <c r="H182" s="75">
        <v>4.0</v>
      </c>
      <c r="I182" s="231"/>
      <c r="J182" s="259" t="b">
        <v>0</v>
      </c>
      <c r="K182" s="231"/>
      <c r="L182" s="259" t="b">
        <v>0</v>
      </c>
      <c r="M182" s="231"/>
      <c r="N182" s="567" t="b">
        <v>0</v>
      </c>
      <c r="O182" s="236"/>
      <c r="P182" s="915" t="b">
        <v>0</v>
      </c>
      <c r="Q182" s="199"/>
      <c r="R182" s="741"/>
      <c r="S182" s="199"/>
      <c r="T182" s="741"/>
      <c r="U182" s="199"/>
      <c r="V182" s="741"/>
      <c r="W182" s="199"/>
      <c r="X182" s="741"/>
      <c r="Y182" s="741"/>
      <c r="Z182" s="741"/>
      <c r="AA182" s="741"/>
      <c r="AB182" s="741"/>
      <c r="AC182" s="741"/>
      <c r="AD182" s="741"/>
      <c r="AE182" s="741"/>
      <c r="AF182" s="741"/>
      <c r="AG182" s="391"/>
      <c r="AH182" s="792"/>
    </row>
    <row r="183" ht="27.75" customHeight="1">
      <c r="A183" s="304">
        <f t="shared" si="6"/>
        <v>179</v>
      </c>
      <c r="B183" s="113" t="s">
        <v>837</v>
      </c>
      <c r="C183" s="133">
        <v>45940.0</v>
      </c>
      <c r="D183" s="129" t="s">
        <v>838</v>
      </c>
      <c r="E183" s="68" t="b">
        <v>0</v>
      </c>
      <c r="F183" s="129"/>
      <c r="G183" s="73">
        <f t="shared" si="9"/>
        <v>7</v>
      </c>
      <c r="H183" s="75">
        <v>10.0</v>
      </c>
      <c r="I183" s="231">
        <v>44562.0</v>
      </c>
      <c r="J183" s="618" t="b">
        <v>1</v>
      </c>
      <c r="K183" s="231">
        <v>44562.0</v>
      </c>
      <c r="L183" s="259" t="b">
        <v>1</v>
      </c>
      <c r="M183" s="231">
        <v>45026.0</v>
      </c>
      <c r="N183" s="259" t="b">
        <v>1</v>
      </c>
      <c r="O183" s="236">
        <v>45254.0</v>
      </c>
      <c r="P183" s="693" t="b">
        <v>1</v>
      </c>
      <c r="Q183" s="236">
        <v>45394.0</v>
      </c>
      <c r="R183" s="79" t="b">
        <v>1</v>
      </c>
      <c r="S183" s="236">
        <v>45619.0</v>
      </c>
      <c r="T183" s="79" t="b">
        <v>1</v>
      </c>
      <c r="U183" s="236">
        <v>45752.0</v>
      </c>
      <c r="V183" s="471" t="b">
        <v>1</v>
      </c>
      <c r="W183" s="236">
        <v>45940.0</v>
      </c>
      <c r="X183" s="471" t="b">
        <v>0</v>
      </c>
      <c r="Y183" s="952">
        <v>46122.0</v>
      </c>
      <c r="Z183" s="471" t="b">
        <v>0</v>
      </c>
      <c r="AA183" s="952">
        <v>46304.0</v>
      </c>
      <c r="AB183" s="471" t="b">
        <v>0</v>
      </c>
      <c r="AC183" s="79"/>
      <c r="AD183" s="79"/>
      <c r="AE183" s="79"/>
      <c r="AF183" s="79"/>
      <c r="AG183" s="62"/>
      <c r="AH183" s="792"/>
    </row>
    <row r="184" ht="27.75" customHeight="1">
      <c r="A184" s="58">
        <f t="shared" si="6"/>
        <v>180</v>
      </c>
      <c r="B184" s="202" t="s">
        <v>841</v>
      </c>
      <c r="C184" s="255">
        <v>45933.0</v>
      </c>
      <c r="D184" s="129" t="s">
        <v>240</v>
      </c>
      <c r="E184" s="68" t="b">
        <v>0</v>
      </c>
      <c r="F184" s="129"/>
      <c r="G184" s="73">
        <f t="shared" si="9"/>
        <v>1</v>
      </c>
      <c r="H184" s="75">
        <v>4.0</v>
      </c>
      <c r="I184" s="955">
        <v>45754.0</v>
      </c>
      <c r="J184" s="79" t="b">
        <v>1</v>
      </c>
      <c r="K184" s="78">
        <v>45933.0</v>
      </c>
      <c r="L184" s="79" t="b">
        <v>0</v>
      </c>
      <c r="M184" s="231">
        <v>46115.0</v>
      </c>
      <c r="N184" s="422" t="b">
        <v>0</v>
      </c>
      <c r="O184" s="236">
        <v>46297.0</v>
      </c>
      <c r="P184" s="137" t="b">
        <v>0</v>
      </c>
      <c r="Q184" s="731"/>
      <c r="R184" s="732"/>
      <c r="S184" s="731"/>
      <c r="T184" s="732"/>
      <c r="U184" s="731"/>
      <c r="V184" s="732"/>
      <c r="W184" s="731"/>
      <c r="X184" s="732"/>
      <c r="Y184" s="732"/>
      <c r="Z184" s="732"/>
      <c r="AA184" s="732"/>
      <c r="AB184" s="732"/>
      <c r="AC184" s="732"/>
      <c r="AD184" s="732"/>
      <c r="AE184" s="732"/>
      <c r="AF184" s="732"/>
      <c r="AG184" s="356"/>
      <c r="AH184" s="855"/>
    </row>
    <row r="185" ht="27.75" customHeight="1">
      <c r="A185" s="58">
        <f t="shared" si="6"/>
        <v>181</v>
      </c>
      <c r="B185" s="177" t="s">
        <v>847</v>
      </c>
      <c r="C185" s="255">
        <v>45856.0</v>
      </c>
      <c r="D185" s="129" t="s">
        <v>240</v>
      </c>
      <c r="E185" s="68" t="b">
        <v>0</v>
      </c>
      <c r="F185" s="129"/>
      <c r="G185" s="73">
        <f t="shared" si="9"/>
        <v>1</v>
      </c>
      <c r="H185" s="75">
        <v>4.0</v>
      </c>
      <c r="I185" s="231">
        <v>45692.0</v>
      </c>
      <c r="J185" s="79" t="b">
        <v>1</v>
      </c>
      <c r="K185" s="236">
        <v>45856.0</v>
      </c>
      <c r="L185" s="68" t="b">
        <v>0</v>
      </c>
      <c r="M185" s="231">
        <v>46038.0</v>
      </c>
      <c r="N185" s="567" t="b">
        <v>0</v>
      </c>
      <c r="O185" s="236">
        <v>46220.0</v>
      </c>
      <c r="P185" s="915" t="b">
        <v>0</v>
      </c>
      <c r="Q185" s="199"/>
      <c r="R185" s="741"/>
      <c r="S185" s="199"/>
      <c r="T185" s="741"/>
      <c r="U185" s="199"/>
      <c r="V185" s="741"/>
      <c r="W185" s="199"/>
      <c r="X185" s="741"/>
      <c r="Y185" s="741"/>
      <c r="Z185" s="741"/>
      <c r="AA185" s="741"/>
      <c r="AB185" s="741"/>
      <c r="AC185" s="741"/>
      <c r="AD185" s="741"/>
      <c r="AE185" s="741"/>
      <c r="AF185" s="741"/>
      <c r="AG185" s="391"/>
      <c r="AH185" s="792"/>
    </row>
    <row r="186" ht="27.75" customHeight="1">
      <c r="A186" s="58">
        <f t="shared" si="6"/>
        <v>182</v>
      </c>
      <c r="B186" s="113" t="s">
        <v>849</v>
      </c>
      <c r="C186" s="129"/>
      <c r="D186" s="129" t="s">
        <v>198</v>
      </c>
      <c r="E186" s="68" t="b">
        <v>1</v>
      </c>
      <c r="F186" s="129" t="s">
        <v>202</v>
      </c>
      <c r="G186" s="73">
        <f t="shared" si="9"/>
        <v>3</v>
      </c>
      <c r="H186" s="75">
        <v>4.0</v>
      </c>
      <c r="I186" s="231">
        <v>45315.0</v>
      </c>
      <c r="J186" s="618" t="b">
        <v>1</v>
      </c>
      <c r="K186" s="231">
        <v>45535.0</v>
      </c>
      <c r="L186" s="259" t="b">
        <v>1</v>
      </c>
      <c r="M186" s="231">
        <v>45708.0</v>
      </c>
      <c r="N186" s="259" t="b">
        <v>1</v>
      </c>
      <c r="O186" s="236">
        <v>45891.0</v>
      </c>
      <c r="P186" s="693" t="b">
        <v>0</v>
      </c>
      <c r="Q186" s="236"/>
      <c r="R186" s="79"/>
      <c r="S186" s="236"/>
      <c r="T186" s="79"/>
      <c r="U186" s="236"/>
      <c r="V186" s="79"/>
      <c r="W186" s="236"/>
      <c r="X186" s="79"/>
      <c r="Y186" s="79"/>
      <c r="Z186" s="79"/>
      <c r="AA186" s="79"/>
      <c r="AB186" s="79"/>
      <c r="AC186" s="79"/>
      <c r="AD186" s="79"/>
      <c r="AE186" s="79"/>
      <c r="AF186" s="79"/>
      <c r="AG186" s="62"/>
      <c r="AH186" s="792"/>
    </row>
    <row r="187" ht="27.75" customHeight="1">
      <c r="A187" s="247">
        <f t="shared" si="6"/>
        <v>183</v>
      </c>
      <c r="B187" s="170" t="s">
        <v>854</v>
      </c>
      <c r="C187" s="133">
        <v>45611.0</v>
      </c>
      <c r="D187" s="129" t="s">
        <v>201</v>
      </c>
      <c r="E187" s="68" t="b">
        <v>1</v>
      </c>
      <c r="F187" s="255">
        <v>45786.0</v>
      </c>
      <c r="G187" s="73">
        <f t="shared" si="9"/>
        <v>6</v>
      </c>
      <c r="H187" s="75">
        <v>6.0</v>
      </c>
      <c r="I187" s="231">
        <v>44676.0</v>
      </c>
      <c r="J187" s="79" t="b">
        <v>1</v>
      </c>
      <c r="K187" s="231">
        <v>44879.0</v>
      </c>
      <c r="L187" s="79" t="b">
        <v>1</v>
      </c>
      <c r="M187" s="231">
        <v>45068.0</v>
      </c>
      <c r="N187" s="79" t="b">
        <v>1</v>
      </c>
      <c r="O187" s="236">
        <v>45296.0</v>
      </c>
      <c r="P187" s="79" t="b">
        <v>1</v>
      </c>
      <c r="Q187" s="236">
        <v>45470.0</v>
      </c>
      <c r="R187" s="79" t="b">
        <v>1</v>
      </c>
      <c r="S187" s="236">
        <v>45611.0</v>
      </c>
      <c r="T187" s="471" t="b">
        <v>1</v>
      </c>
      <c r="U187" s="236"/>
      <c r="V187" s="79"/>
      <c r="W187" s="236"/>
      <c r="X187" s="79"/>
      <c r="Y187" s="79"/>
      <c r="Z187" s="79"/>
      <c r="AA187" s="79"/>
      <c r="AB187" s="79"/>
      <c r="AC187" s="79"/>
      <c r="AD187" s="79"/>
      <c r="AE187" s="79"/>
      <c r="AF187" s="79"/>
      <c r="AG187" s="62"/>
      <c r="AH187" s="792"/>
    </row>
    <row r="188" ht="27.75" customHeight="1">
      <c r="A188" s="58">
        <f t="shared" si="6"/>
        <v>184</v>
      </c>
      <c r="B188" s="968" t="s">
        <v>857</v>
      </c>
      <c r="C188" s="255">
        <v>45881.0</v>
      </c>
      <c r="D188" s="129" t="s">
        <v>82</v>
      </c>
      <c r="E188" s="68" t="b">
        <v>0</v>
      </c>
      <c r="F188" s="129"/>
      <c r="G188" s="73">
        <f t="shared" si="9"/>
        <v>2</v>
      </c>
      <c r="H188" s="75">
        <v>4.0</v>
      </c>
      <c r="I188" s="231">
        <v>45545.0</v>
      </c>
      <c r="J188" s="79" t="b">
        <v>1</v>
      </c>
      <c r="K188" s="236">
        <v>45706.0</v>
      </c>
      <c r="L188" s="79" t="b">
        <v>1</v>
      </c>
      <c r="M188" s="231">
        <v>45881.0</v>
      </c>
      <c r="N188" s="422" t="b">
        <v>0</v>
      </c>
      <c r="O188" s="231">
        <v>46063.0</v>
      </c>
      <c r="P188" s="471" t="b">
        <v>0</v>
      </c>
      <c r="Q188" s="199"/>
      <c r="R188" s="741"/>
      <c r="S188" s="199"/>
      <c r="T188" s="741"/>
      <c r="U188" s="199"/>
      <c r="V188" s="741"/>
      <c r="W188" s="199"/>
      <c r="X188" s="741"/>
      <c r="Y188" s="741"/>
      <c r="Z188" s="741"/>
      <c r="AA188" s="741"/>
      <c r="AB188" s="741"/>
      <c r="AC188" s="79"/>
      <c r="AD188" s="79"/>
      <c r="AE188" s="79"/>
      <c r="AF188" s="79"/>
      <c r="AG188" s="391"/>
      <c r="AH188" s="792"/>
    </row>
    <row r="189" ht="27.75" customHeight="1">
      <c r="A189" s="58">
        <f t="shared" si="6"/>
        <v>185</v>
      </c>
      <c r="B189" s="293" t="s">
        <v>179</v>
      </c>
      <c r="C189" s="255">
        <v>45901.0</v>
      </c>
      <c r="D189" s="129" t="s">
        <v>60</v>
      </c>
      <c r="E189" s="68" t="b">
        <v>0</v>
      </c>
      <c r="F189" s="129"/>
      <c r="G189" s="73">
        <f t="shared" si="9"/>
        <v>3</v>
      </c>
      <c r="H189" s="75">
        <v>4.0</v>
      </c>
      <c r="I189" s="231">
        <v>45352.0</v>
      </c>
      <c r="J189" s="79" t="b">
        <v>1</v>
      </c>
      <c r="K189" s="231">
        <v>45560.0</v>
      </c>
      <c r="L189" s="79" t="b">
        <v>1</v>
      </c>
      <c r="M189" s="231">
        <v>45704.0</v>
      </c>
      <c r="N189" s="79" t="b">
        <v>1</v>
      </c>
      <c r="O189" s="236">
        <v>45901.0</v>
      </c>
      <c r="P189" s="79" t="b">
        <v>0</v>
      </c>
      <c r="Q189" s="236"/>
      <c r="R189" s="79"/>
      <c r="S189" s="236"/>
      <c r="T189" s="79"/>
      <c r="U189" s="236"/>
      <c r="V189" s="79"/>
      <c r="W189" s="236"/>
      <c r="X189" s="79"/>
      <c r="Y189" s="79"/>
      <c r="Z189" s="79"/>
      <c r="AA189" s="79"/>
      <c r="AB189" s="79"/>
      <c r="AC189" s="79"/>
      <c r="AD189" s="79"/>
      <c r="AE189" s="79"/>
      <c r="AF189" s="79"/>
      <c r="AG189" s="194"/>
      <c r="AH189" s="792"/>
    </row>
    <row r="190" ht="27.75" customHeight="1">
      <c r="A190" s="345">
        <f t="shared" si="6"/>
        <v>186</v>
      </c>
      <c r="B190" s="452" t="s">
        <v>656</v>
      </c>
      <c r="C190" s="255">
        <v>45794.0</v>
      </c>
      <c r="D190" s="129" t="s">
        <v>864</v>
      </c>
      <c r="E190" s="68" t="b">
        <v>0</v>
      </c>
      <c r="F190" s="129"/>
      <c r="G190" s="73">
        <f t="shared" si="9"/>
        <v>4</v>
      </c>
      <c r="H190" s="75">
        <v>8.0</v>
      </c>
      <c r="I190" s="231">
        <v>45009.0</v>
      </c>
      <c r="J190" s="79" t="b">
        <v>1</v>
      </c>
      <c r="K190" s="231">
        <v>45189.0</v>
      </c>
      <c r="L190" s="79" t="b">
        <v>1</v>
      </c>
      <c r="M190" s="231">
        <v>45393.0</v>
      </c>
      <c r="N190" s="79" t="b">
        <v>1</v>
      </c>
      <c r="O190" s="236">
        <v>45583.0</v>
      </c>
      <c r="P190" s="471" t="b">
        <v>1</v>
      </c>
      <c r="Q190" s="975">
        <v>45794.0</v>
      </c>
      <c r="R190" s="471" t="b">
        <v>0</v>
      </c>
      <c r="S190" s="236">
        <v>45948.0</v>
      </c>
      <c r="T190" s="471" t="b">
        <v>0</v>
      </c>
      <c r="U190" s="236">
        <v>46130.0</v>
      </c>
      <c r="V190" s="471" t="b">
        <v>0</v>
      </c>
      <c r="W190" s="236">
        <v>46312.0</v>
      </c>
      <c r="X190" s="471" t="b">
        <v>0</v>
      </c>
      <c r="Y190" s="79"/>
      <c r="Z190" s="79"/>
      <c r="AA190" s="79"/>
      <c r="AB190" s="79"/>
      <c r="AC190" s="79"/>
      <c r="AD190" s="79"/>
      <c r="AE190" s="79"/>
      <c r="AF190" s="79"/>
      <c r="AG190" s="891"/>
      <c r="AH190" s="792"/>
    </row>
    <row r="191" ht="27.75" customHeight="1">
      <c r="A191" s="58">
        <f>SUBTOTAL(3,$B$4:B190)</f>
        <v>186</v>
      </c>
      <c r="B191" s="293" t="s">
        <v>662</v>
      </c>
      <c r="C191" s="129" t="s">
        <v>867</v>
      </c>
      <c r="D191" s="129" t="s">
        <v>60</v>
      </c>
      <c r="E191" s="68" t="b">
        <v>0</v>
      </c>
      <c r="F191" s="129"/>
      <c r="G191" s="73">
        <f t="shared" si="9"/>
        <v>3</v>
      </c>
      <c r="H191" s="75">
        <v>4.0</v>
      </c>
      <c r="I191" s="231">
        <v>45009.0</v>
      </c>
      <c r="J191" s="79" t="b">
        <v>1</v>
      </c>
      <c r="K191" s="231">
        <v>45142.0</v>
      </c>
      <c r="L191" s="79" t="b">
        <v>1</v>
      </c>
      <c r="M191" s="231">
        <v>45369.0</v>
      </c>
      <c r="N191" s="79" t="b">
        <v>1</v>
      </c>
      <c r="O191" s="236">
        <v>45560.0</v>
      </c>
      <c r="P191" s="471" t="b">
        <v>0</v>
      </c>
      <c r="Q191" s="236"/>
      <c r="R191" s="79"/>
      <c r="S191" s="236"/>
      <c r="T191" s="79"/>
      <c r="U191" s="236"/>
      <c r="V191" s="79"/>
      <c r="W191" s="236"/>
      <c r="X191" s="79"/>
      <c r="Y191" s="79"/>
      <c r="Z191" s="79"/>
      <c r="AA191" s="79"/>
      <c r="AB191" s="79"/>
      <c r="AC191" s="79"/>
      <c r="AD191" s="79"/>
      <c r="AE191" s="79"/>
      <c r="AF191" s="79"/>
      <c r="AG191" s="891"/>
      <c r="AH191" s="792"/>
    </row>
    <row r="192" ht="27.75" customHeight="1">
      <c r="A192" s="345">
        <f t="shared" ref="A192:A220" si="10">SUBTOTAL(3,$B$4:B192)</f>
        <v>188</v>
      </c>
      <c r="B192" s="72" t="s">
        <v>665</v>
      </c>
      <c r="C192" s="133">
        <v>45957.0</v>
      </c>
      <c r="D192" s="129" t="s">
        <v>229</v>
      </c>
      <c r="E192" s="68" t="b">
        <v>0</v>
      </c>
      <c r="F192" s="129"/>
      <c r="G192" s="73">
        <f t="shared" si="9"/>
        <v>5</v>
      </c>
      <c r="H192" s="75">
        <v>8.0</v>
      </c>
      <c r="I192" s="231">
        <v>45037.0</v>
      </c>
      <c r="J192" s="79" t="b">
        <v>1</v>
      </c>
      <c r="K192" s="231">
        <v>45229.0</v>
      </c>
      <c r="L192" s="79" t="b">
        <v>1</v>
      </c>
      <c r="M192" s="231">
        <v>45411.0</v>
      </c>
      <c r="N192" s="79" t="b">
        <v>1</v>
      </c>
      <c r="O192" s="236">
        <v>45607.0</v>
      </c>
      <c r="P192" s="471" t="b">
        <v>1</v>
      </c>
      <c r="Q192" s="236">
        <v>45775.0</v>
      </c>
      <c r="R192" s="471" t="b">
        <v>1</v>
      </c>
      <c r="S192" s="236">
        <v>45957.0</v>
      </c>
      <c r="T192" s="471" t="b">
        <v>0</v>
      </c>
      <c r="U192" s="236">
        <v>46139.0</v>
      </c>
      <c r="V192" s="471" t="b">
        <v>0</v>
      </c>
      <c r="W192" s="236">
        <v>46321.0</v>
      </c>
      <c r="X192" s="471" t="b">
        <v>0</v>
      </c>
      <c r="Y192" s="79"/>
      <c r="Z192" s="79"/>
      <c r="AA192" s="79"/>
      <c r="AB192" s="79"/>
      <c r="AC192" s="79"/>
      <c r="AD192" s="79"/>
      <c r="AE192" s="79"/>
      <c r="AF192" s="79"/>
      <c r="AG192" s="891"/>
      <c r="AH192" s="792"/>
    </row>
    <row r="193" ht="27.75" customHeight="1">
      <c r="A193" s="58">
        <f t="shared" si="10"/>
        <v>189</v>
      </c>
      <c r="B193" s="62" t="s">
        <v>871</v>
      </c>
      <c r="C193" s="255">
        <v>45835.0</v>
      </c>
      <c r="D193" s="129" t="s">
        <v>82</v>
      </c>
      <c r="E193" s="68" t="b">
        <v>0</v>
      </c>
      <c r="F193" s="129"/>
      <c r="G193" s="73">
        <f t="shared" si="9"/>
        <v>2</v>
      </c>
      <c r="H193" s="75">
        <v>4.0</v>
      </c>
      <c r="I193" s="231">
        <v>45463.0</v>
      </c>
      <c r="J193" s="79" t="b">
        <v>1</v>
      </c>
      <c r="K193" s="231">
        <v>45726.0</v>
      </c>
      <c r="L193" s="79" t="b">
        <v>1</v>
      </c>
      <c r="M193" s="231">
        <v>45835.0</v>
      </c>
      <c r="N193" s="422" t="b">
        <v>0</v>
      </c>
      <c r="O193" s="236">
        <v>46017.0</v>
      </c>
      <c r="P193" s="471" t="b">
        <v>0</v>
      </c>
      <c r="Q193" s="236"/>
      <c r="R193" s="79"/>
      <c r="S193" s="236"/>
      <c r="T193" s="79"/>
      <c r="U193" s="236"/>
      <c r="V193" s="79"/>
      <c r="W193" s="236"/>
      <c r="X193" s="79"/>
      <c r="Y193" s="79"/>
      <c r="Z193" s="79"/>
      <c r="AA193" s="79"/>
      <c r="AB193" s="79"/>
      <c r="AC193" s="79"/>
      <c r="AD193" s="79"/>
      <c r="AE193" s="79"/>
      <c r="AF193" s="79"/>
      <c r="AG193" s="62"/>
      <c r="AH193" s="792"/>
    </row>
    <row r="194" ht="27.75" customHeight="1">
      <c r="A194" s="58">
        <f t="shared" si="10"/>
        <v>190</v>
      </c>
      <c r="B194" s="62" t="s">
        <v>873</v>
      </c>
      <c r="C194" s="255">
        <v>45798.0</v>
      </c>
      <c r="D194" s="129" t="s">
        <v>240</v>
      </c>
      <c r="E194" s="68" t="b">
        <v>0</v>
      </c>
      <c r="F194" s="129"/>
      <c r="G194" s="73">
        <f t="shared" si="9"/>
        <v>1</v>
      </c>
      <c r="H194" s="75">
        <v>4.0</v>
      </c>
      <c r="I194" s="231">
        <v>45483.0</v>
      </c>
      <c r="J194" s="79" t="b">
        <v>1</v>
      </c>
      <c r="K194" s="231">
        <v>45798.0</v>
      </c>
      <c r="L194" s="79" t="b">
        <v>0</v>
      </c>
      <c r="M194" s="231">
        <v>45911.0</v>
      </c>
      <c r="N194" s="422" t="b">
        <v>0</v>
      </c>
      <c r="O194" s="236">
        <v>46092.0</v>
      </c>
      <c r="P194" s="471" t="b">
        <v>0</v>
      </c>
      <c r="Q194" s="236"/>
      <c r="R194" s="79"/>
      <c r="S194" s="236"/>
      <c r="T194" s="79"/>
      <c r="U194" s="236"/>
      <c r="V194" s="79"/>
      <c r="W194" s="236"/>
      <c r="X194" s="79"/>
      <c r="Y194" s="79"/>
      <c r="Z194" s="79"/>
      <c r="AA194" s="79"/>
      <c r="AB194" s="79"/>
      <c r="AC194" s="79"/>
      <c r="AD194" s="79"/>
      <c r="AE194" s="79"/>
      <c r="AF194" s="79"/>
      <c r="AG194" s="62"/>
      <c r="AH194" s="792"/>
    </row>
    <row r="195" ht="27.75" customHeight="1">
      <c r="A195" s="58">
        <f t="shared" si="10"/>
        <v>191</v>
      </c>
      <c r="B195" s="177" t="s">
        <v>874</v>
      </c>
      <c r="C195" s="255">
        <v>45798.0</v>
      </c>
      <c r="D195" s="129" t="s">
        <v>463</v>
      </c>
      <c r="E195" s="68" t="b">
        <v>0</v>
      </c>
      <c r="F195" s="129"/>
      <c r="G195" s="73">
        <f t="shared" si="9"/>
        <v>0</v>
      </c>
      <c r="H195" s="75">
        <v>4.0</v>
      </c>
      <c r="I195" s="231">
        <v>45798.0</v>
      </c>
      <c r="J195" s="79" t="b">
        <v>0</v>
      </c>
      <c r="K195" s="231">
        <v>45911.0</v>
      </c>
      <c r="L195" s="422" t="b">
        <v>0</v>
      </c>
      <c r="M195" s="236">
        <v>46092.0</v>
      </c>
      <c r="N195" s="744" t="b">
        <v>0</v>
      </c>
      <c r="O195" s="745">
        <v>46274.0</v>
      </c>
      <c r="P195" s="747" t="b">
        <v>0</v>
      </c>
      <c r="Q195" s="199"/>
      <c r="R195" s="741"/>
      <c r="S195" s="199"/>
      <c r="T195" s="741"/>
      <c r="U195" s="199"/>
      <c r="V195" s="741"/>
      <c r="W195" s="199"/>
      <c r="X195" s="741"/>
      <c r="Y195" s="741"/>
      <c r="Z195" s="741"/>
      <c r="AA195" s="741"/>
      <c r="AB195" s="741"/>
      <c r="AC195" s="741"/>
      <c r="AD195" s="741"/>
      <c r="AE195" s="741"/>
      <c r="AF195" s="741"/>
      <c r="AG195" s="391"/>
      <c r="AH195" s="792"/>
    </row>
    <row r="196" ht="27.75" customHeight="1">
      <c r="A196" s="58">
        <f t="shared" si="10"/>
        <v>192</v>
      </c>
      <c r="B196" s="177" t="s">
        <v>875</v>
      </c>
      <c r="C196" s="255">
        <v>45798.0</v>
      </c>
      <c r="D196" s="129" t="s">
        <v>463</v>
      </c>
      <c r="E196" s="68" t="b">
        <v>0</v>
      </c>
      <c r="F196" s="129"/>
      <c r="G196" s="73">
        <f t="shared" si="9"/>
        <v>0</v>
      </c>
      <c r="H196" s="75">
        <v>4.0</v>
      </c>
      <c r="I196" s="231">
        <v>45798.0</v>
      </c>
      <c r="J196" s="79" t="b">
        <v>0</v>
      </c>
      <c r="K196" s="231">
        <v>45911.0</v>
      </c>
      <c r="L196" s="422" t="b">
        <v>0</v>
      </c>
      <c r="M196" s="236">
        <v>46092.0</v>
      </c>
      <c r="N196" s="744" t="b">
        <v>0</v>
      </c>
      <c r="O196" s="745">
        <v>46274.0</v>
      </c>
      <c r="P196" s="747" t="b">
        <v>0</v>
      </c>
      <c r="Q196" s="199"/>
      <c r="R196" s="741"/>
      <c r="S196" s="199"/>
      <c r="T196" s="741"/>
      <c r="U196" s="199"/>
      <c r="V196" s="741"/>
      <c r="W196" s="199"/>
      <c r="X196" s="741"/>
      <c r="Y196" s="741"/>
      <c r="Z196" s="741"/>
      <c r="AA196" s="741"/>
      <c r="AB196" s="741"/>
      <c r="AC196" s="741"/>
      <c r="AD196" s="741"/>
      <c r="AE196" s="741"/>
      <c r="AF196" s="741"/>
      <c r="AG196" s="391"/>
      <c r="AH196" s="792"/>
    </row>
    <row r="197" ht="27.75" customHeight="1">
      <c r="A197" s="58">
        <f t="shared" si="10"/>
        <v>193</v>
      </c>
      <c r="B197" s="177" t="s">
        <v>878</v>
      </c>
      <c r="C197" s="129"/>
      <c r="D197" s="129"/>
      <c r="E197" s="68" t="b">
        <v>0</v>
      </c>
      <c r="F197" s="129"/>
      <c r="G197" s="1016"/>
      <c r="H197" s="1017"/>
      <c r="I197" s="199"/>
      <c r="J197" s="1019" t="b">
        <v>0</v>
      </c>
      <c r="K197" s="199"/>
      <c r="L197" s="1019" t="b">
        <v>0</v>
      </c>
      <c r="M197" s="199"/>
      <c r="N197" s="744" t="b">
        <v>0</v>
      </c>
      <c r="O197" s="542"/>
      <c r="P197" s="747" t="b">
        <v>0</v>
      </c>
      <c r="Q197" s="199"/>
      <c r="R197" s="741"/>
      <c r="S197" s="199"/>
      <c r="T197" s="741"/>
      <c r="U197" s="199"/>
      <c r="V197" s="741"/>
      <c r="W197" s="199"/>
      <c r="X197" s="741"/>
      <c r="Y197" s="741"/>
      <c r="Z197" s="741"/>
      <c r="AA197" s="741"/>
      <c r="AB197" s="741"/>
      <c r="AC197" s="741"/>
      <c r="AD197" s="741"/>
      <c r="AE197" s="741"/>
      <c r="AF197" s="741"/>
      <c r="AG197" s="391"/>
      <c r="AH197" s="792"/>
    </row>
    <row r="198" ht="27.75" customHeight="1">
      <c r="A198" s="58">
        <f t="shared" si="10"/>
        <v>194</v>
      </c>
      <c r="B198" s="177" t="s">
        <v>884</v>
      </c>
      <c r="C198" s="129"/>
      <c r="D198" s="129"/>
      <c r="E198" s="68" t="b">
        <v>0</v>
      </c>
      <c r="F198" s="129"/>
      <c r="G198" s="1016"/>
      <c r="H198" s="1017"/>
      <c r="I198" s="199"/>
      <c r="J198" s="1019" t="b">
        <v>0</v>
      </c>
      <c r="K198" s="199"/>
      <c r="L198" s="1019" t="b">
        <v>0</v>
      </c>
      <c r="M198" s="199"/>
      <c r="N198" s="744" t="b">
        <v>0</v>
      </c>
      <c r="O198" s="542"/>
      <c r="P198" s="747" t="b">
        <v>0</v>
      </c>
      <c r="Q198" s="199"/>
      <c r="R198" s="741"/>
      <c r="S198" s="199"/>
      <c r="T198" s="741"/>
      <c r="U198" s="199"/>
      <c r="V198" s="741"/>
      <c r="W198" s="199"/>
      <c r="X198" s="741"/>
      <c r="Y198" s="741"/>
      <c r="Z198" s="741"/>
      <c r="AA198" s="741"/>
      <c r="AB198" s="741"/>
      <c r="AC198" s="741"/>
      <c r="AD198" s="741"/>
      <c r="AE198" s="741"/>
      <c r="AF198" s="741"/>
      <c r="AG198" s="391"/>
      <c r="AH198" s="792"/>
    </row>
    <row r="199" ht="27.75" customHeight="1">
      <c r="A199" s="58">
        <f t="shared" si="10"/>
        <v>195</v>
      </c>
      <c r="B199" s="177" t="s">
        <v>599</v>
      </c>
      <c r="C199" s="255">
        <v>45803.0</v>
      </c>
      <c r="D199" s="255">
        <v>45803.0</v>
      </c>
      <c r="E199" s="68" t="b">
        <v>0</v>
      </c>
      <c r="F199" s="129"/>
      <c r="G199" s="73">
        <f>COUNTIFS(I199:AG199,"True")</f>
        <v>0</v>
      </c>
      <c r="H199" s="75">
        <v>4.0</v>
      </c>
      <c r="I199" s="87">
        <v>45803.0</v>
      </c>
      <c r="J199" s="68" t="b">
        <v>0</v>
      </c>
      <c r="K199" s="87">
        <v>45957.0</v>
      </c>
      <c r="L199" s="143" t="b">
        <v>0</v>
      </c>
      <c r="M199" s="93">
        <v>46139.0</v>
      </c>
      <c r="N199" s="137" t="b">
        <v>0</v>
      </c>
      <c r="O199" s="745">
        <v>46321.0</v>
      </c>
      <c r="P199" s="747" t="b">
        <v>0</v>
      </c>
      <c r="Q199" s="199"/>
      <c r="R199" s="741"/>
      <c r="S199" s="199"/>
      <c r="T199" s="741"/>
      <c r="U199" s="199"/>
      <c r="V199" s="741"/>
      <c r="W199" s="199"/>
      <c r="X199" s="741"/>
      <c r="Y199" s="741"/>
      <c r="Z199" s="741"/>
      <c r="AA199" s="741"/>
      <c r="AB199" s="741"/>
      <c r="AC199" s="741"/>
      <c r="AD199" s="741"/>
      <c r="AE199" s="741"/>
      <c r="AF199" s="741"/>
      <c r="AG199" s="391"/>
      <c r="AH199" s="792"/>
    </row>
    <row r="200" ht="27.75" customHeight="1">
      <c r="A200" s="58">
        <f t="shared" si="10"/>
        <v>196</v>
      </c>
      <c r="B200" s="177" t="s">
        <v>889</v>
      </c>
      <c r="C200" s="129"/>
      <c r="D200" s="129"/>
      <c r="E200" s="68" t="b">
        <v>0</v>
      </c>
      <c r="F200" s="129"/>
      <c r="G200" s="1016"/>
      <c r="H200" s="1017"/>
      <c r="I200" s="199"/>
      <c r="J200" s="1019" t="b">
        <v>0</v>
      </c>
      <c r="K200" s="199"/>
      <c r="L200" s="1019" t="b">
        <v>0</v>
      </c>
      <c r="M200" s="199"/>
      <c r="N200" s="744" t="b">
        <v>0</v>
      </c>
      <c r="O200" s="542"/>
      <c r="P200" s="747" t="b">
        <v>0</v>
      </c>
      <c r="Q200" s="199"/>
      <c r="R200" s="741"/>
      <c r="S200" s="199"/>
      <c r="T200" s="741"/>
      <c r="U200" s="199"/>
      <c r="V200" s="741"/>
      <c r="W200" s="199"/>
      <c r="X200" s="741"/>
      <c r="Y200" s="741"/>
      <c r="Z200" s="741"/>
      <c r="AA200" s="741"/>
      <c r="AB200" s="741"/>
      <c r="AC200" s="741"/>
      <c r="AD200" s="741"/>
      <c r="AE200" s="741"/>
      <c r="AF200" s="741"/>
      <c r="AG200" s="391"/>
      <c r="AH200" s="792"/>
    </row>
    <row r="201" ht="27.75" customHeight="1">
      <c r="A201" s="79">
        <f t="shared" si="10"/>
        <v>197</v>
      </c>
      <c r="B201" s="177" t="s">
        <v>895</v>
      </c>
      <c r="C201" s="129"/>
      <c r="D201" s="129"/>
      <c r="E201" s="68" t="b">
        <v>0</v>
      </c>
      <c r="F201" s="129"/>
      <c r="G201" s="1016"/>
      <c r="H201" s="1017"/>
      <c r="I201" s="199"/>
      <c r="J201" s="1019" t="b">
        <v>0</v>
      </c>
      <c r="K201" s="199"/>
      <c r="L201" s="1019" t="b">
        <v>0</v>
      </c>
      <c r="M201" s="199"/>
      <c r="N201" s="744" t="b">
        <v>0</v>
      </c>
      <c r="O201" s="542"/>
      <c r="P201" s="747" t="b">
        <v>0</v>
      </c>
      <c r="Q201" s="199"/>
      <c r="R201" s="741"/>
      <c r="S201" s="199"/>
      <c r="T201" s="741"/>
      <c r="U201" s="199"/>
      <c r="V201" s="741"/>
      <c r="W201" s="199"/>
      <c r="X201" s="741"/>
      <c r="Y201" s="741"/>
      <c r="Z201" s="741"/>
      <c r="AA201" s="741"/>
      <c r="AB201" s="741"/>
      <c r="AC201" s="741"/>
      <c r="AD201" s="741"/>
      <c r="AE201" s="741"/>
      <c r="AF201" s="741"/>
      <c r="AG201" s="391"/>
      <c r="AH201" s="792"/>
    </row>
    <row r="202" ht="27.75" customHeight="1">
      <c r="A202" s="79">
        <f t="shared" si="10"/>
        <v>198</v>
      </c>
      <c r="B202" s="177" t="s">
        <v>584</v>
      </c>
      <c r="C202" s="255">
        <v>45856.0</v>
      </c>
      <c r="D202" s="129" t="s">
        <v>463</v>
      </c>
      <c r="E202" s="68" t="b">
        <v>0</v>
      </c>
      <c r="F202" s="129"/>
      <c r="G202" s="73">
        <f>COUNTIFS(I202:AG202,"True")</f>
        <v>0</v>
      </c>
      <c r="H202" s="75">
        <v>4.0</v>
      </c>
      <c r="I202" s="236">
        <v>45856.0</v>
      </c>
      <c r="J202" s="68" t="b">
        <v>0</v>
      </c>
      <c r="K202" s="231">
        <v>46038.0</v>
      </c>
      <c r="L202" s="567" t="b">
        <v>0</v>
      </c>
      <c r="M202" s="236">
        <v>46220.0</v>
      </c>
      <c r="N202" s="915" t="b">
        <v>0</v>
      </c>
      <c r="O202" s="236">
        <v>46402.0</v>
      </c>
      <c r="P202" s="747" t="b">
        <v>0</v>
      </c>
      <c r="Q202" s="199"/>
      <c r="R202" s="741"/>
      <c r="S202" s="199"/>
      <c r="T202" s="741"/>
      <c r="U202" s="199"/>
      <c r="V202" s="741"/>
      <c r="W202" s="199"/>
      <c r="X202" s="741"/>
      <c r="Y202" s="741"/>
      <c r="Z202" s="741"/>
      <c r="AA202" s="741"/>
      <c r="AB202" s="741"/>
      <c r="AC202" s="741"/>
      <c r="AD202" s="741"/>
      <c r="AE202" s="741"/>
      <c r="AF202" s="741"/>
      <c r="AG202" s="391"/>
      <c r="AH202" s="792"/>
    </row>
    <row r="203" ht="27.75" customHeight="1">
      <c r="A203" s="79">
        <f t="shared" si="10"/>
        <v>199</v>
      </c>
      <c r="B203" s="62" t="s">
        <v>693</v>
      </c>
      <c r="C203" s="129"/>
      <c r="D203" s="129"/>
      <c r="E203" s="68" t="b">
        <v>0</v>
      </c>
      <c r="F203" s="129"/>
      <c r="G203" s="1016"/>
      <c r="H203" s="1017"/>
      <c r="I203" s="199"/>
      <c r="J203" s="1019" t="b">
        <v>0</v>
      </c>
      <c r="K203" s="199"/>
      <c r="L203" s="1019" t="b">
        <v>0</v>
      </c>
      <c r="M203" s="199"/>
      <c r="N203" s="744" t="b">
        <v>0</v>
      </c>
      <c r="O203" s="542"/>
      <c r="P203" s="747" t="b">
        <v>0</v>
      </c>
      <c r="Q203" s="199"/>
      <c r="R203" s="741"/>
      <c r="S203" s="199"/>
      <c r="T203" s="741"/>
      <c r="U203" s="199"/>
      <c r="V203" s="741"/>
      <c r="W203" s="199"/>
      <c r="X203" s="741"/>
      <c r="Y203" s="741"/>
      <c r="Z203" s="741"/>
      <c r="AA203" s="741"/>
      <c r="AB203" s="741"/>
      <c r="AC203" s="741"/>
      <c r="AD203" s="741"/>
      <c r="AE203" s="741"/>
      <c r="AF203" s="741"/>
      <c r="AG203" s="391"/>
      <c r="AH203" s="792"/>
    </row>
    <row r="204" ht="27.75" customHeight="1">
      <c r="A204" s="79">
        <f t="shared" si="10"/>
        <v>200</v>
      </c>
      <c r="B204" s="177" t="s">
        <v>896</v>
      </c>
      <c r="C204" s="129"/>
      <c r="D204" s="129"/>
      <c r="E204" s="68" t="b">
        <v>0</v>
      </c>
      <c r="F204" s="129"/>
      <c r="G204" s="1016"/>
      <c r="H204" s="1017"/>
      <c r="I204" s="199"/>
      <c r="J204" s="1019" t="b">
        <v>0</v>
      </c>
      <c r="K204" s="199"/>
      <c r="L204" s="1019" t="b">
        <v>0</v>
      </c>
      <c r="M204" s="199"/>
      <c r="N204" s="744" t="b">
        <v>0</v>
      </c>
      <c r="O204" s="542"/>
      <c r="P204" s="747" t="b">
        <v>0</v>
      </c>
      <c r="Q204" s="199"/>
      <c r="R204" s="741"/>
      <c r="S204" s="199"/>
      <c r="T204" s="741"/>
      <c r="U204" s="199"/>
      <c r="V204" s="741"/>
      <c r="W204" s="199"/>
      <c r="X204" s="741"/>
      <c r="Y204" s="741"/>
      <c r="Z204" s="741"/>
      <c r="AA204" s="741"/>
      <c r="AB204" s="741"/>
      <c r="AC204" s="741"/>
      <c r="AD204" s="741"/>
      <c r="AE204" s="741"/>
      <c r="AF204" s="741"/>
      <c r="AG204" s="391"/>
      <c r="AH204" s="792"/>
    </row>
    <row r="205" ht="27.75" customHeight="1">
      <c r="A205" s="79">
        <f t="shared" si="10"/>
        <v>201</v>
      </c>
      <c r="B205" s="62" t="s">
        <v>901</v>
      </c>
      <c r="C205" s="255">
        <v>45875.0</v>
      </c>
      <c r="D205" s="129" t="s">
        <v>463</v>
      </c>
      <c r="E205" s="68" t="b">
        <v>0</v>
      </c>
      <c r="F205" s="129"/>
      <c r="G205" s="1016">
        <f>COUNTIFS(I205:AG205,"True")</f>
        <v>0</v>
      </c>
      <c r="H205" s="1017">
        <v>4.0</v>
      </c>
      <c r="I205" s="236">
        <v>45875.0</v>
      </c>
      <c r="J205" s="79" t="b">
        <v>0</v>
      </c>
      <c r="K205" s="231">
        <v>46059.0</v>
      </c>
      <c r="L205" s="79" t="b">
        <v>0</v>
      </c>
      <c r="M205" s="231">
        <v>45875.0</v>
      </c>
      <c r="N205" s="79" t="b">
        <v>0</v>
      </c>
      <c r="O205" s="236">
        <v>46059.0</v>
      </c>
      <c r="P205" s="79" t="b">
        <v>0</v>
      </c>
      <c r="Q205" s="236">
        <v>46240.0</v>
      </c>
      <c r="R205" s="79" t="b">
        <v>0</v>
      </c>
      <c r="S205" s="236">
        <v>46424.0</v>
      </c>
      <c r="T205" s="471" t="b">
        <v>0</v>
      </c>
      <c r="U205" s="236"/>
      <c r="V205" s="79"/>
      <c r="W205" s="236"/>
      <c r="X205" s="79"/>
      <c r="Y205" s="422"/>
      <c r="Z205" s="422"/>
      <c r="AA205" s="422"/>
      <c r="AB205" s="422"/>
      <c r="AC205" s="79"/>
      <c r="AD205" s="79"/>
      <c r="AE205" s="79"/>
      <c r="AF205" s="79"/>
      <c r="AG205" s="891"/>
      <c r="AH205" s="110"/>
    </row>
    <row r="206" ht="27.75" customHeight="1">
      <c r="A206" s="79">
        <f t="shared" si="10"/>
        <v>202</v>
      </c>
      <c r="B206" s="177" t="s">
        <v>471</v>
      </c>
      <c r="C206" s="129"/>
      <c r="D206" s="129"/>
      <c r="E206" s="68" t="b">
        <v>0</v>
      </c>
      <c r="F206" s="129"/>
      <c r="G206" s="1016"/>
      <c r="H206" s="1017"/>
      <c r="I206" s="199"/>
      <c r="J206" s="1019" t="b">
        <v>0</v>
      </c>
      <c r="K206" s="199"/>
      <c r="L206" s="1019" t="b">
        <v>0</v>
      </c>
      <c r="M206" s="199"/>
      <c r="N206" s="744" t="b">
        <v>0</v>
      </c>
      <c r="O206" s="542"/>
      <c r="P206" s="747" t="b">
        <v>0</v>
      </c>
      <c r="Q206" s="199"/>
      <c r="R206" s="741"/>
      <c r="S206" s="199"/>
      <c r="T206" s="741"/>
      <c r="U206" s="199"/>
      <c r="V206" s="741"/>
      <c r="W206" s="199"/>
      <c r="X206" s="741"/>
      <c r="Y206" s="741"/>
      <c r="Z206" s="741"/>
      <c r="AA206" s="741"/>
      <c r="AB206" s="741"/>
      <c r="AC206" s="741"/>
      <c r="AD206" s="741"/>
      <c r="AE206" s="741"/>
      <c r="AF206" s="741"/>
      <c r="AG206" s="391"/>
      <c r="AH206" s="792"/>
    </row>
    <row r="207" ht="27.75" customHeight="1">
      <c r="A207" s="79">
        <f t="shared" si="10"/>
        <v>203</v>
      </c>
      <c r="B207" s="177" t="s">
        <v>905</v>
      </c>
      <c r="C207" s="133">
        <v>46009.0</v>
      </c>
      <c r="D207" s="129" t="s">
        <v>463</v>
      </c>
      <c r="E207" s="68" t="b">
        <v>0</v>
      </c>
      <c r="F207" s="129"/>
      <c r="G207" s="1016">
        <f>COUNTIFS(I207:AG207,"True")</f>
        <v>0</v>
      </c>
      <c r="H207" s="1017">
        <v>4.0</v>
      </c>
      <c r="I207" s="231">
        <v>46009.0</v>
      </c>
      <c r="J207" s="422" t="b">
        <v>0</v>
      </c>
      <c r="K207" s="236">
        <v>46191.0</v>
      </c>
      <c r="L207" s="471" t="b">
        <v>0</v>
      </c>
      <c r="M207" s="231">
        <v>46373.0</v>
      </c>
      <c r="N207" s="422" t="b">
        <v>0</v>
      </c>
      <c r="O207" s="236">
        <v>46555.0</v>
      </c>
      <c r="P207" s="471" t="b">
        <v>0</v>
      </c>
      <c r="Q207" s="199"/>
      <c r="R207" s="741"/>
      <c r="S207" s="199"/>
      <c r="T207" s="741"/>
      <c r="U207" s="199"/>
      <c r="V207" s="741"/>
      <c r="W207" s="199"/>
      <c r="X207" s="741"/>
      <c r="Y207" s="741"/>
      <c r="Z207" s="741"/>
      <c r="AA207" s="741"/>
      <c r="AB207" s="741"/>
      <c r="AC207" s="741"/>
      <c r="AD207" s="741"/>
      <c r="AE207" s="741"/>
      <c r="AF207" s="741"/>
      <c r="AG207" s="391"/>
      <c r="AH207" s="110"/>
    </row>
    <row r="208" ht="27.75" customHeight="1">
      <c r="A208" s="79">
        <f t="shared" si="10"/>
        <v>204</v>
      </c>
      <c r="B208" s="177" t="s">
        <v>907</v>
      </c>
      <c r="C208" s="129"/>
      <c r="D208" s="129"/>
      <c r="E208" s="68" t="b">
        <v>0</v>
      </c>
      <c r="F208" s="129"/>
      <c r="G208" s="1016"/>
      <c r="H208" s="1017"/>
      <c r="I208" s="199"/>
      <c r="J208" s="1019" t="b">
        <v>0</v>
      </c>
      <c r="K208" s="199"/>
      <c r="L208" s="1019" t="b">
        <v>0</v>
      </c>
      <c r="M208" s="199"/>
      <c r="N208" s="744" t="b">
        <v>0</v>
      </c>
      <c r="O208" s="542"/>
      <c r="P208" s="747" t="b">
        <v>0</v>
      </c>
      <c r="Q208" s="199"/>
      <c r="R208" s="741"/>
      <c r="S208" s="199"/>
      <c r="T208" s="741"/>
      <c r="U208" s="199"/>
      <c r="V208" s="741"/>
      <c r="W208" s="199"/>
      <c r="X208" s="741"/>
      <c r="Y208" s="741"/>
      <c r="Z208" s="741"/>
      <c r="AA208" s="741"/>
      <c r="AB208" s="741"/>
      <c r="AC208" s="741"/>
      <c r="AD208" s="741"/>
      <c r="AE208" s="741"/>
      <c r="AF208" s="741"/>
      <c r="AG208" s="391"/>
      <c r="AH208" s="792"/>
    </row>
    <row r="209" ht="27.75" customHeight="1">
      <c r="A209" s="58">
        <f t="shared" si="10"/>
        <v>205</v>
      </c>
      <c r="B209" s="177" t="s">
        <v>908</v>
      </c>
      <c r="C209" s="255">
        <v>45798.0</v>
      </c>
      <c r="D209" s="129" t="s">
        <v>463</v>
      </c>
      <c r="E209" s="68" t="b">
        <v>0</v>
      </c>
      <c r="F209" s="129"/>
      <c r="G209" s="73">
        <f t="shared" ref="G209:G210" si="11">COUNTIFS(I209:AG209,"True")</f>
        <v>0</v>
      </c>
      <c r="H209" s="75">
        <v>4.0</v>
      </c>
      <c r="I209" s="231">
        <v>45798.0</v>
      </c>
      <c r="J209" s="422" t="b">
        <v>0</v>
      </c>
      <c r="K209" s="236">
        <v>45980.0</v>
      </c>
      <c r="L209" s="744" t="b">
        <v>0</v>
      </c>
      <c r="M209" s="745">
        <v>46162.0</v>
      </c>
      <c r="N209" s="744" t="b">
        <v>0</v>
      </c>
      <c r="O209" s="745">
        <v>46344.0</v>
      </c>
      <c r="P209" s="747" t="b">
        <v>0</v>
      </c>
      <c r="Q209" s="199"/>
      <c r="R209" s="741"/>
      <c r="S209" s="199"/>
      <c r="T209" s="741"/>
      <c r="U209" s="199"/>
      <c r="V209" s="741"/>
      <c r="W209" s="199"/>
      <c r="X209" s="741"/>
      <c r="Y209" s="741"/>
      <c r="Z209" s="741"/>
      <c r="AA209" s="741"/>
      <c r="AB209" s="741"/>
      <c r="AC209" s="741"/>
      <c r="AD209" s="741"/>
      <c r="AE209" s="741"/>
      <c r="AF209" s="741"/>
      <c r="AG209" s="391"/>
      <c r="AH209" s="792"/>
    </row>
    <row r="210" ht="27.75" customHeight="1">
      <c r="A210" s="58">
        <f t="shared" si="10"/>
        <v>206</v>
      </c>
      <c r="B210" s="177" t="s">
        <v>909</v>
      </c>
      <c r="C210" s="255">
        <v>45798.0</v>
      </c>
      <c r="D210" s="129" t="s">
        <v>463</v>
      </c>
      <c r="E210" s="68" t="b">
        <v>0</v>
      </c>
      <c r="F210" s="129"/>
      <c r="G210" s="73">
        <f t="shared" si="11"/>
        <v>0</v>
      </c>
      <c r="H210" s="75">
        <v>4.0</v>
      </c>
      <c r="I210" s="231">
        <v>45798.0</v>
      </c>
      <c r="J210" s="422" t="b">
        <v>0</v>
      </c>
      <c r="K210" s="236">
        <v>45980.0</v>
      </c>
      <c r="L210" s="744" t="b">
        <v>0</v>
      </c>
      <c r="M210" s="745">
        <v>46162.0</v>
      </c>
      <c r="N210" s="744" t="b">
        <v>0</v>
      </c>
      <c r="O210" s="745">
        <v>46344.0</v>
      </c>
      <c r="P210" s="747" t="b">
        <v>0</v>
      </c>
      <c r="Q210" s="199"/>
      <c r="R210" s="741"/>
      <c r="S210" s="199"/>
      <c r="T210" s="741"/>
      <c r="U210" s="199"/>
      <c r="V210" s="741"/>
      <c r="W210" s="199"/>
      <c r="X210" s="741"/>
      <c r="Y210" s="741"/>
      <c r="Z210" s="741"/>
      <c r="AA210" s="741"/>
      <c r="AB210" s="741"/>
      <c r="AC210" s="741"/>
      <c r="AD210" s="741"/>
      <c r="AE210" s="741"/>
      <c r="AF210" s="741"/>
      <c r="AG210" s="391"/>
      <c r="AH210" s="792"/>
    </row>
    <row r="211" ht="27.75" customHeight="1">
      <c r="A211" s="58">
        <f t="shared" si="10"/>
        <v>207</v>
      </c>
      <c r="B211" s="177" t="s">
        <v>910</v>
      </c>
      <c r="C211" s="129"/>
      <c r="D211" s="129"/>
      <c r="E211" s="68" t="b">
        <v>0</v>
      </c>
      <c r="F211" s="129"/>
      <c r="G211" s="1016"/>
      <c r="H211" s="1017"/>
      <c r="I211" s="231"/>
      <c r="J211" s="422" t="b">
        <v>0</v>
      </c>
      <c r="K211" s="236"/>
      <c r="L211" s="744" t="b">
        <v>0</v>
      </c>
      <c r="M211" s="745"/>
      <c r="N211" s="744" t="b">
        <v>0</v>
      </c>
      <c r="O211" s="745"/>
      <c r="P211" s="747" t="b">
        <v>0</v>
      </c>
      <c r="Q211" s="199"/>
      <c r="R211" s="741"/>
      <c r="S211" s="199"/>
      <c r="T211" s="741"/>
      <c r="U211" s="199"/>
      <c r="V211" s="741"/>
      <c r="W211" s="199"/>
      <c r="X211" s="741"/>
      <c r="Y211" s="741"/>
      <c r="Z211" s="741"/>
      <c r="AA211" s="741"/>
      <c r="AB211" s="741"/>
      <c r="AC211" s="741"/>
      <c r="AD211" s="741"/>
      <c r="AE211" s="741"/>
      <c r="AF211" s="741"/>
      <c r="AG211" s="391"/>
      <c r="AH211" s="792"/>
    </row>
    <row r="212" ht="27.75" customHeight="1">
      <c r="A212" s="79">
        <f t="shared" si="10"/>
        <v>207</v>
      </c>
      <c r="B212" s="177"/>
      <c r="C212" s="129"/>
      <c r="D212" s="129"/>
      <c r="E212" s="68" t="b">
        <v>0</v>
      </c>
      <c r="F212" s="129"/>
      <c r="G212" s="1016"/>
      <c r="H212" s="1017"/>
      <c r="I212" s="231"/>
      <c r="J212" s="422" t="b">
        <v>0</v>
      </c>
      <c r="K212" s="236"/>
      <c r="L212" s="744" t="b">
        <v>0</v>
      </c>
      <c r="M212" s="745"/>
      <c r="N212" s="744" t="b">
        <v>0</v>
      </c>
      <c r="O212" s="745"/>
      <c r="P212" s="747" t="b">
        <v>0</v>
      </c>
      <c r="Q212" s="199"/>
      <c r="R212" s="741"/>
      <c r="S212" s="199"/>
      <c r="T212" s="741"/>
      <c r="U212" s="199"/>
      <c r="V212" s="741"/>
      <c r="W212" s="199"/>
      <c r="X212" s="741"/>
      <c r="Y212" s="741"/>
      <c r="Z212" s="741"/>
      <c r="AA212" s="741"/>
      <c r="AB212" s="741"/>
      <c r="AC212" s="741"/>
      <c r="AD212" s="741"/>
      <c r="AE212" s="741"/>
      <c r="AF212" s="741"/>
      <c r="AG212" s="391"/>
      <c r="AH212" s="792"/>
    </row>
    <row r="213" ht="27.75" customHeight="1">
      <c r="A213" s="79">
        <f t="shared" si="10"/>
        <v>207</v>
      </c>
      <c r="B213" s="177"/>
      <c r="C213" s="129"/>
      <c r="D213" s="129"/>
      <c r="E213" s="68" t="b">
        <v>0</v>
      </c>
      <c r="F213" s="129"/>
      <c r="G213" s="1016"/>
      <c r="H213" s="1017"/>
      <c r="I213" s="231"/>
      <c r="J213" s="422" t="b">
        <v>0</v>
      </c>
      <c r="K213" s="236"/>
      <c r="L213" s="744" t="b">
        <v>0</v>
      </c>
      <c r="M213" s="745"/>
      <c r="N213" s="744" t="b">
        <v>0</v>
      </c>
      <c r="O213" s="745"/>
      <c r="P213" s="747" t="b">
        <v>0</v>
      </c>
      <c r="Q213" s="199"/>
      <c r="R213" s="741"/>
      <c r="S213" s="199"/>
      <c r="T213" s="741"/>
      <c r="U213" s="199"/>
      <c r="V213" s="741"/>
      <c r="W213" s="199"/>
      <c r="X213" s="741"/>
      <c r="Y213" s="741"/>
      <c r="Z213" s="741"/>
      <c r="AA213" s="741"/>
      <c r="AB213" s="741"/>
      <c r="AC213" s="741"/>
      <c r="AD213" s="741"/>
      <c r="AE213" s="741"/>
      <c r="AF213" s="741"/>
      <c r="AG213" s="391"/>
      <c r="AH213" s="792"/>
    </row>
    <row r="214" ht="27.75" customHeight="1">
      <c r="A214" s="79">
        <f t="shared" si="10"/>
        <v>207</v>
      </c>
      <c r="B214" s="177"/>
      <c r="C214" s="129"/>
      <c r="D214" s="129"/>
      <c r="E214" s="68" t="b">
        <v>0</v>
      </c>
      <c r="F214" s="129"/>
      <c r="G214" s="1016"/>
      <c r="H214" s="1017"/>
      <c r="I214" s="231"/>
      <c r="J214" s="422" t="b">
        <v>0</v>
      </c>
      <c r="K214" s="236"/>
      <c r="L214" s="744" t="b">
        <v>0</v>
      </c>
      <c r="M214" s="745"/>
      <c r="N214" s="744" t="b">
        <v>0</v>
      </c>
      <c r="O214" s="745"/>
      <c r="P214" s="747" t="b">
        <v>0</v>
      </c>
      <c r="Q214" s="199"/>
      <c r="R214" s="741"/>
      <c r="S214" s="199"/>
      <c r="T214" s="741"/>
      <c r="U214" s="199"/>
      <c r="V214" s="741"/>
      <c r="W214" s="199"/>
      <c r="X214" s="741"/>
      <c r="Y214" s="741"/>
      <c r="Z214" s="741"/>
      <c r="AA214" s="741"/>
      <c r="AB214" s="741"/>
      <c r="AC214" s="741"/>
      <c r="AD214" s="741"/>
      <c r="AE214" s="741"/>
      <c r="AF214" s="741"/>
      <c r="AG214" s="391"/>
      <c r="AH214" s="792"/>
    </row>
    <row r="215" ht="27.75" customHeight="1">
      <c r="A215" s="79">
        <f t="shared" si="10"/>
        <v>207</v>
      </c>
      <c r="B215" s="177"/>
      <c r="C215" s="129"/>
      <c r="D215" s="129"/>
      <c r="E215" s="68" t="b">
        <v>0</v>
      </c>
      <c r="F215" s="129"/>
      <c r="G215" s="1016"/>
      <c r="H215" s="1017"/>
      <c r="I215" s="231"/>
      <c r="J215" s="422" t="b">
        <v>0</v>
      </c>
      <c r="K215" s="236"/>
      <c r="L215" s="744" t="b">
        <v>0</v>
      </c>
      <c r="M215" s="745"/>
      <c r="N215" s="744" t="b">
        <v>0</v>
      </c>
      <c r="O215" s="745"/>
      <c r="P215" s="747" t="b">
        <v>0</v>
      </c>
      <c r="Q215" s="199"/>
      <c r="R215" s="741"/>
      <c r="S215" s="199"/>
      <c r="T215" s="741"/>
      <c r="U215" s="199"/>
      <c r="V215" s="741"/>
      <c r="W215" s="199"/>
      <c r="X215" s="741"/>
      <c r="Y215" s="741"/>
      <c r="Z215" s="741"/>
      <c r="AA215" s="741"/>
      <c r="AB215" s="741"/>
      <c r="AC215" s="741"/>
      <c r="AD215" s="741"/>
      <c r="AE215" s="741"/>
      <c r="AF215" s="741"/>
      <c r="AG215" s="391"/>
      <c r="AH215" s="792"/>
    </row>
    <row r="216" ht="27.75" customHeight="1">
      <c r="A216" s="79">
        <f t="shared" si="10"/>
        <v>207</v>
      </c>
      <c r="B216" s="177"/>
      <c r="C216" s="129"/>
      <c r="D216" s="129"/>
      <c r="E216" s="68" t="b">
        <v>0</v>
      </c>
      <c r="F216" s="129"/>
      <c r="G216" s="1016"/>
      <c r="H216" s="1017"/>
      <c r="I216" s="231"/>
      <c r="J216" s="422" t="b">
        <v>0</v>
      </c>
      <c r="K216" s="236"/>
      <c r="L216" s="744" t="b">
        <v>0</v>
      </c>
      <c r="M216" s="745"/>
      <c r="N216" s="744" t="b">
        <v>0</v>
      </c>
      <c r="O216" s="745"/>
      <c r="P216" s="747" t="b">
        <v>0</v>
      </c>
      <c r="Q216" s="199"/>
      <c r="R216" s="741"/>
      <c r="S216" s="199"/>
      <c r="T216" s="741"/>
      <c r="U216" s="199"/>
      <c r="V216" s="741"/>
      <c r="W216" s="199"/>
      <c r="X216" s="741"/>
      <c r="Y216" s="741"/>
      <c r="Z216" s="741"/>
      <c r="AA216" s="741"/>
      <c r="AB216" s="741"/>
      <c r="AC216" s="741"/>
      <c r="AD216" s="741"/>
      <c r="AE216" s="741"/>
      <c r="AF216" s="741"/>
      <c r="AG216" s="391"/>
      <c r="AH216" s="792"/>
    </row>
    <row r="217" ht="27.75" customHeight="1">
      <c r="A217" s="79">
        <f t="shared" si="10"/>
        <v>207</v>
      </c>
      <c r="B217" s="177"/>
      <c r="C217" s="129"/>
      <c r="D217" s="129"/>
      <c r="E217" s="68" t="b">
        <v>0</v>
      </c>
      <c r="F217" s="129"/>
      <c r="G217" s="1016"/>
      <c r="H217" s="1017"/>
      <c r="I217" s="231"/>
      <c r="J217" s="422" t="b">
        <v>0</v>
      </c>
      <c r="K217" s="236"/>
      <c r="L217" s="744" t="b">
        <v>0</v>
      </c>
      <c r="M217" s="745"/>
      <c r="N217" s="744" t="b">
        <v>0</v>
      </c>
      <c r="O217" s="745"/>
      <c r="P217" s="747" t="b">
        <v>0</v>
      </c>
      <c r="Q217" s="199"/>
      <c r="R217" s="741"/>
      <c r="S217" s="199"/>
      <c r="T217" s="741"/>
      <c r="U217" s="199"/>
      <c r="V217" s="741"/>
      <c r="W217" s="199"/>
      <c r="X217" s="741"/>
      <c r="Y217" s="741"/>
      <c r="Z217" s="741"/>
      <c r="AA217" s="741"/>
      <c r="AB217" s="741"/>
      <c r="AC217" s="741"/>
      <c r="AD217" s="741"/>
      <c r="AE217" s="741"/>
      <c r="AF217" s="741"/>
      <c r="AG217" s="391"/>
      <c r="AH217" s="792"/>
    </row>
    <row r="218" ht="27.75" customHeight="1">
      <c r="A218" s="79">
        <f t="shared" si="10"/>
        <v>207</v>
      </c>
      <c r="B218" s="177"/>
      <c r="C218" s="129"/>
      <c r="D218" s="129"/>
      <c r="E218" s="68" t="b">
        <v>0</v>
      </c>
      <c r="F218" s="129"/>
      <c r="G218" s="1016"/>
      <c r="H218" s="1017"/>
      <c r="I218" s="231"/>
      <c r="J218" s="422" t="b">
        <v>0</v>
      </c>
      <c r="K218" s="236"/>
      <c r="L218" s="744" t="b">
        <v>0</v>
      </c>
      <c r="M218" s="745"/>
      <c r="N218" s="744" t="b">
        <v>0</v>
      </c>
      <c r="O218" s="745"/>
      <c r="P218" s="747" t="b">
        <v>0</v>
      </c>
      <c r="Q218" s="199"/>
      <c r="R218" s="741"/>
      <c r="S218" s="199"/>
      <c r="T218" s="741"/>
      <c r="U218" s="199"/>
      <c r="V218" s="741"/>
      <c r="W218" s="199"/>
      <c r="X218" s="741"/>
      <c r="Y218" s="741"/>
      <c r="Z218" s="741"/>
      <c r="AA218" s="741"/>
      <c r="AB218" s="741"/>
      <c r="AC218" s="741"/>
      <c r="AD218" s="741"/>
      <c r="AE218" s="741"/>
      <c r="AF218" s="741"/>
      <c r="AG218" s="391"/>
      <c r="AH218" s="792"/>
    </row>
    <row r="219" ht="27.75" customHeight="1">
      <c r="A219" s="79">
        <f t="shared" si="10"/>
        <v>207</v>
      </c>
      <c r="B219" s="177"/>
      <c r="C219" s="129"/>
      <c r="D219" s="129"/>
      <c r="E219" s="68" t="b">
        <v>0</v>
      </c>
      <c r="F219" s="129"/>
      <c r="G219" s="1016"/>
      <c r="H219" s="1017"/>
      <c r="I219" s="231"/>
      <c r="J219" s="422" t="b">
        <v>0</v>
      </c>
      <c r="K219" s="236"/>
      <c r="L219" s="744" t="b">
        <v>0</v>
      </c>
      <c r="M219" s="745"/>
      <c r="N219" s="744" t="b">
        <v>0</v>
      </c>
      <c r="O219" s="745"/>
      <c r="P219" s="747" t="b">
        <v>0</v>
      </c>
      <c r="Q219" s="199"/>
      <c r="R219" s="741"/>
      <c r="S219" s="199"/>
      <c r="T219" s="741"/>
      <c r="U219" s="199"/>
      <c r="V219" s="741"/>
      <c r="W219" s="199"/>
      <c r="X219" s="741"/>
      <c r="Y219" s="741"/>
      <c r="Z219" s="741"/>
      <c r="AA219" s="741"/>
      <c r="AB219" s="741"/>
      <c r="AC219" s="741"/>
      <c r="AD219" s="741"/>
      <c r="AE219" s="741"/>
      <c r="AF219" s="741"/>
      <c r="AG219" s="391"/>
      <c r="AH219" s="792"/>
    </row>
    <row r="220" ht="27.75" customHeight="1">
      <c r="A220" s="79">
        <f t="shared" si="10"/>
        <v>207</v>
      </c>
      <c r="B220" s="177"/>
      <c r="C220" s="385"/>
      <c r="D220" s="385"/>
      <c r="E220" s="68" t="b">
        <v>0</v>
      </c>
      <c r="F220" s="385"/>
      <c r="G220" s="1016"/>
      <c r="H220" s="1017"/>
      <c r="I220" s="231"/>
      <c r="J220" s="422" t="b">
        <v>0</v>
      </c>
      <c r="K220" s="236"/>
      <c r="L220" s="744" t="b">
        <v>0</v>
      </c>
      <c r="M220" s="745"/>
      <c r="N220" s="744" t="b">
        <v>0</v>
      </c>
      <c r="O220" s="745"/>
      <c r="P220" s="747" t="b">
        <v>0</v>
      </c>
      <c r="Q220" s="199"/>
      <c r="R220" s="741"/>
      <c r="S220" s="199"/>
      <c r="T220" s="741"/>
      <c r="U220" s="199"/>
      <c r="V220" s="741"/>
      <c r="W220" s="199"/>
      <c r="X220" s="741"/>
      <c r="Y220" s="741"/>
      <c r="Z220" s="741"/>
      <c r="AA220" s="741"/>
      <c r="AB220" s="741"/>
      <c r="AC220" s="741"/>
      <c r="AD220" s="741"/>
      <c r="AE220" s="741"/>
      <c r="AF220" s="741"/>
      <c r="AG220" s="391"/>
      <c r="AH220" s="792"/>
    </row>
  </sheetData>
  <customSheetViews>
    <customSheetView guid="{5DF2DC61-0997-469A-9C3E-DACAAA62DD4B}" filter="1" showAutoFilter="1">
      <autoFilter ref="$A$3:$AG$146">
        <sortState ref="A3:AG146">
          <sortCondition ref="A3:A146"/>
          <sortCondition ref="B3:B146"/>
        </sortState>
      </autoFilter>
    </customSheetView>
    <customSheetView guid="{53F73B74-79FC-4033-B99B-EE0ADA954C95}" filter="1" showAutoFilter="1">
      <autoFilter ref="$A$3:$AG$132">
        <sortState ref="A3:AG132">
          <sortCondition ref="A3:A132"/>
        </sortState>
      </autoFilter>
    </customSheetView>
  </customSheetViews>
  <mergeCells count="10">
    <mergeCell ref="S3:T3"/>
    <mergeCell ref="U3:V3"/>
    <mergeCell ref="G1:AG1"/>
    <mergeCell ref="G3:H3"/>
    <mergeCell ref="I3:J3"/>
    <mergeCell ref="K3:L3"/>
    <mergeCell ref="M3:N3"/>
    <mergeCell ref="O3:P3"/>
    <mergeCell ref="Q3:R3"/>
    <mergeCell ref="W3:X3"/>
  </mergeCells>
  <conditionalFormatting sqref="E4:E220 I4:AG220 AH100">
    <cfRule type="cellIs" dxfId="0" priority="1" operator="equal">
      <formula>"TRUE"</formula>
    </cfRule>
  </conditionalFormatting>
  <conditionalFormatting sqref="E4:E220 I4:AG220 AH100">
    <cfRule type="expression" dxfId="1" priority="2">
      <formula>AND(ISNUMBER(E4),TRUNC(E4)&lt;TODAY())</formula>
    </cfRule>
  </conditionalFormatting>
  <conditionalFormatting sqref="E4:E220 I4:AG220 AH100">
    <cfRule type="expression" dxfId="2" priority="3">
      <formula>AND(ISNUMBER(E4),TRUNC(E4)&gt;TODAY())</formula>
    </cfRule>
  </conditionalFormatting>
  <printOptions horizontalCentered="1"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29"/>
    <col customWidth="1" min="2" max="2" width="43.0"/>
    <col customWidth="1" hidden="1" min="3" max="3" width="16.0"/>
    <col customWidth="1" hidden="1" min="4" max="4" width="10.43"/>
    <col customWidth="1" hidden="1" min="5" max="5" width="14.43"/>
    <col customWidth="1" hidden="1" min="6" max="6" width="9.43"/>
    <col customWidth="1" hidden="1" min="7" max="7" width="20.43"/>
    <col customWidth="1" min="8" max="8" width="7.29"/>
    <col customWidth="1" min="9" max="9" width="10.86"/>
    <col customWidth="1" min="10" max="10" width="11.29"/>
    <col customWidth="1" min="11" max="11" width="7.29"/>
    <col customWidth="1" min="12" max="12" width="14.71"/>
    <col customWidth="1" min="13" max="13" width="11.29"/>
    <col customWidth="1" min="14" max="14" width="7.29"/>
    <col customWidth="1" min="15" max="15" width="14.71"/>
    <col customWidth="1" min="16" max="16" width="11.29"/>
    <col customWidth="1" min="17" max="17" width="7.29"/>
    <col customWidth="1" min="18" max="18" width="15.29"/>
    <col customWidth="1" min="19" max="19" width="11.29"/>
    <col customWidth="1" min="20" max="20" width="7.29"/>
    <col customWidth="1" min="21" max="21" width="14.86"/>
    <col customWidth="1" min="22" max="22" width="11.29"/>
    <col customWidth="1" min="23" max="23" width="7.29"/>
    <col customWidth="1" min="24" max="24" width="17.71"/>
    <col customWidth="1" min="25" max="25" width="11.29"/>
    <col customWidth="1" min="26" max="26" width="7.29"/>
    <col customWidth="1" min="27" max="27" width="17.71"/>
    <col customWidth="1" min="28" max="28" width="13.0"/>
    <col customWidth="1" min="29" max="29" width="7.29"/>
    <col customWidth="1" min="30" max="30" width="13.0"/>
    <col customWidth="1" min="31" max="31" width="7.29"/>
    <col customWidth="1" min="32" max="32" width="43.0"/>
    <col customWidth="1" hidden="1" min="33" max="33" width="69.57"/>
  </cols>
  <sheetData>
    <row r="1" ht="52.5" customHeight="1">
      <c r="A1" s="2"/>
      <c r="B1" s="4" t="s">
        <v>1</v>
      </c>
      <c r="C1" s="5"/>
      <c r="D1" s="5"/>
      <c r="E1" s="5" t="s">
        <v>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9"/>
      <c r="S1" s="5"/>
      <c r="T1" s="5"/>
      <c r="U1" s="9"/>
      <c r="V1" s="5"/>
      <c r="W1" s="5"/>
      <c r="X1" s="11"/>
      <c r="Y1" s="5"/>
      <c r="Z1" s="5"/>
      <c r="AA1" s="11"/>
      <c r="AB1" s="5"/>
      <c r="AC1" s="5"/>
      <c r="AD1" s="5"/>
      <c r="AE1" s="5"/>
      <c r="AF1" s="14"/>
      <c r="AG1" s="14"/>
    </row>
    <row r="2" ht="7.5" customHeight="1">
      <c r="A2" s="15" t="s">
        <v>0</v>
      </c>
      <c r="B2" s="15"/>
      <c r="C2" s="1"/>
      <c r="D2" s="1"/>
      <c r="E2" s="1"/>
      <c r="F2" s="6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7"/>
      <c r="S2" s="1"/>
      <c r="T2" s="1"/>
      <c r="U2" s="17"/>
      <c r="V2" s="1"/>
      <c r="W2" s="1"/>
      <c r="X2" s="19"/>
      <c r="Y2" s="1"/>
      <c r="Z2" s="1"/>
      <c r="AA2" s="19"/>
      <c r="AB2" s="1"/>
      <c r="AC2" s="1"/>
      <c r="AD2" s="1"/>
      <c r="AE2" s="1"/>
      <c r="AF2" s="1"/>
      <c r="AG2" s="1"/>
    </row>
    <row r="3" ht="37.5" customHeight="1">
      <c r="A3" s="24" t="s">
        <v>6</v>
      </c>
      <c r="B3" s="26" t="s">
        <v>4</v>
      </c>
      <c r="C3" s="23" t="s">
        <v>5</v>
      </c>
      <c r="D3" s="23" t="s">
        <v>8</v>
      </c>
      <c r="E3" s="23" t="s">
        <v>9</v>
      </c>
      <c r="F3" s="27" t="s">
        <v>10</v>
      </c>
      <c r="G3" s="29" t="s">
        <v>11</v>
      </c>
      <c r="H3" s="35" t="s">
        <v>15</v>
      </c>
      <c r="I3" s="21"/>
      <c r="J3" s="39" t="s">
        <v>18</v>
      </c>
      <c r="K3" s="21"/>
      <c r="L3" s="41" t="s">
        <v>20</v>
      </c>
      <c r="M3" s="39" t="s">
        <v>24</v>
      </c>
      <c r="N3" s="21"/>
      <c r="O3" s="41" t="s">
        <v>20</v>
      </c>
      <c r="P3" s="39" t="s">
        <v>26</v>
      </c>
      <c r="Q3" s="21"/>
      <c r="R3" s="41" t="s">
        <v>20</v>
      </c>
      <c r="S3" s="39" t="s">
        <v>27</v>
      </c>
      <c r="T3" s="21"/>
      <c r="U3" s="41" t="s">
        <v>20</v>
      </c>
      <c r="V3" s="39" t="s">
        <v>30</v>
      </c>
      <c r="W3" s="21"/>
      <c r="X3" s="41" t="s">
        <v>20</v>
      </c>
      <c r="Y3" s="39" t="s">
        <v>32</v>
      </c>
      <c r="Z3" s="21"/>
      <c r="AA3" s="41" t="s">
        <v>20</v>
      </c>
      <c r="AB3" s="39" t="s">
        <v>33</v>
      </c>
      <c r="AC3" s="21"/>
      <c r="AD3" s="39" t="s">
        <v>35</v>
      </c>
      <c r="AE3" s="21"/>
      <c r="AF3" s="41" t="s">
        <v>39</v>
      </c>
      <c r="AG3" s="29" t="s">
        <v>12</v>
      </c>
    </row>
    <row r="4" ht="22.5" customHeight="1">
      <c r="A4" s="59">
        <f>SUBTOTAL(3,$B$4:B4)</f>
        <v>1</v>
      </c>
      <c r="B4" s="61" t="s">
        <v>46</v>
      </c>
      <c r="C4" s="64" t="s">
        <v>47</v>
      </c>
      <c r="D4" s="76" t="s">
        <v>49</v>
      </c>
      <c r="E4" s="64" t="s">
        <v>51</v>
      </c>
      <c r="F4" s="70"/>
      <c r="G4" s="71"/>
      <c r="H4" s="88">
        <v>2.0</v>
      </c>
      <c r="I4" s="90">
        <v>4.0</v>
      </c>
      <c r="J4" s="92">
        <v>45184.0</v>
      </c>
      <c r="K4" s="99" t="b">
        <v>0</v>
      </c>
      <c r="L4" s="103" t="s">
        <v>57</v>
      </c>
      <c r="M4" s="101">
        <v>45366.0</v>
      </c>
      <c r="N4" s="99" t="b">
        <v>0</v>
      </c>
      <c r="O4" s="103" t="s">
        <v>57</v>
      </c>
      <c r="P4" s="101">
        <v>45550.0</v>
      </c>
      <c r="Q4" s="99" t="b">
        <v>0</v>
      </c>
      <c r="R4" s="111" t="s">
        <v>57</v>
      </c>
      <c r="S4" s="107">
        <v>45731.0</v>
      </c>
      <c r="T4" s="106" t="b">
        <v>0</v>
      </c>
      <c r="U4" s="111" t="s">
        <v>57</v>
      </c>
      <c r="V4" s="107"/>
      <c r="W4" s="106"/>
      <c r="X4" s="117" t="s">
        <v>57</v>
      </c>
      <c r="Y4" s="107"/>
      <c r="Z4" s="106"/>
      <c r="AA4" s="117" t="s">
        <v>57</v>
      </c>
      <c r="AB4" s="107"/>
      <c r="AC4" s="106"/>
      <c r="AD4" s="107"/>
      <c r="AE4" s="106"/>
      <c r="AF4" s="116"/>
      <c r="AG4" s="123" t="s">
        <v>62</v>
      </c>
    </row>
    <row r="5" ht="22.5" customHeight="1">
      <c r="A5" s="59">
        <f t="shared" ref="A5:A29" si="1">A4+1</f>
        <v>2</v>
      </c>
      <c r="B5" s="125" t="s">
        <v>63</v>
      </c>
      <c r="C5" s="64" t="s">
        <v>65</v>
      </c>
      <c r="D5" s="132" t="s">
        <v>66</v>
      </c>
      <c r="E5" s="64" t="s">
        <v>51</v>
      </c>
      <c r="F5" s="70"/>
      <c r="G5" s="71" t="s">
        <v>73</v>
      </c>
      <c r="H5" s="88">
        <f>COUNTIFS(J5:AF5,"True")</f>
        <v>0</v>
      </c>
      <c r="I5" s="90">
        <v>4.0</v>
      </c>
      <c r="J5" s="92">
        <v>45227.0</v>
      </c>
      <c r="K5" s="99" t="b">
        <v>0</v>
      </c>
      <c r="L5" s="103"/>
      <c r="M5" s="101">
        <v>45332.0</v>
      </c>
      <c r="N5" s="99" t="b">
        <v>0</v>
      </c>
      <c r="O5" s="103"/>
      <c r="P5" s="101">
        <v>45514.0</v>
      </c>
      <c r="Q5" s="99" t="b">
        <v>0</v>
      </c>
      <c r="R5" s="141"/>
      <c r="S5" s="107">
        <v>45698.0</v>
      </c>
      <c r="T5" s="106" t="b">
        <v>0</v>
      </c>
      <c r="U5" s="141"/>
      <c r="V5" s="107"/>
      <c r="W5" s="106"/>
      <c r="X5" s="144"/>
      <c r="Y5" s="107"/>
      <c r="Z5" s="106"/>
      <c r="AA5" s="144"/>
      <c r="AB5" s="107"/>
      <c r="AC5" s="106"/>
      <c r="AD5" s="107"/>
      <c r="AE5" s="106"/>
      <c r="AF5" s="116"/>
      <c r="AG5" s="146" t="s">
        <v>88</v>
      </c>
    </row>
    <row r="6" ht="22.5" customHeight="1">
      <c r="A6" s="59">
        <f t="shared" si="1"/>
        <v>3</v>
      </c>
      <c r="B6" s="125" t="s">
        <v>92</v>
      </c>
      <c r="C6" s="64" t="s">
        <v>93</v>
      </c>
      <c r="D6" s="132" t="s">
        <v>94</v>
      </c>
      <c r="E6" s="64" t="s">
        <v>51</v>
      </c>
      <c r="F6" s="70"/>
      <c r="G6" s="71"/>
      <c r="H6" s="88">
        <v>2.0</v>
      </c>
      <c r="I6" s="90">
        <v>4.0</v>
      </c>
      <c r="J6" s="92">
        <v>45226.0</v>
      </c>
      <c r="K6" s="99" t="b">
        <v>0</v>
      </c>
      <c r="L6" s="103"/>
      <c r="M6" s="101">
        <v>45303.0</v>
      </c>
      <c r="N6" s="99" t="b">
        <v>0</v>
      </c>
      <c r="O6" s="103"/>
      <c r="P6" s="101">
        <v>45425.0</v>
      </c>
      <c r="Q6" s="99" t="b">
        <v>0</v>
      </c>
      <c r="R6" s="141"/>
      <c r="S6" s="107">
        <v>45547.0</v>
      </c>
      <c r="T6" s="106" t="b">
        <v>0</v>
      </c>
      <c r="U6" s="141"/>
      <c r="V6" s="107"/>
      <c r="W6" s="106"/>
      <c r="X6" s="144"/>
      <c r="Y6" s="107"/>
      <c r="Z6" s="106"/>
      <c r="AA6" s="144"/>
      <c r="AB6" s="107"/>
      <c r="AC6" s="106"/>
      <c r="AD6" s="107"/>
      <c r="AE6" s="106"/>
      <c r="AF6" s="116"/>
      <c r="AG6" s="146" t="s">
        <v>106</v>
      </c>
    </row>
    <row r="7" ht="22.5" customHeight="1">
      <c r="A7" s="59">
        <f t="shared" si="1"/>
        <v>4</v>
      </c>
      <c r="B7" s="125" t="s">
        <v>108</v>
      </c>
      <c r="C7" s="64" t="s">
        <v>109</v>
      </c>
      <c r="D7" s="132" t="s">
        <v>110</v>
      </c>
      <c r="E7" s="64" t="s">
        <v>51</v>
      </c>
      <c r="F7" s="70" t="s">
        <v>117</v>
      </c>
      <c r="G7" s="71" t="s">
        <v>118</v>
      </c>
      <c r="H7" s="88">
        <v>2.0</v>
      </c>
      <c r="I7" s="90">
        <v>4.0</v>
      </c>
      <c r="J7" s="92">
        <v>45154.0</v>
      </c>
      <c r="K7" s="106" t="b">
        <v>0</v>
      </c>
      <c r="L7" s="103"/>
      <c r="M7" s="101">
        <v>45338.0</v>
      </c>
      <c r="N7" s="99" t="b">
        <v>0</v>
      </c>
      <c r="O7" s="103"/>
      <c r="P7" s="101">
        <v>45520.0</v>
      </c>
      <c r="Q7" s="99" t="b">
        <v>0</v>
      </c>
      <c r="R7" s="141"/>
      <c r="S7" s="107">
        <v>45698.0</v>
      </c>
      <c r="T7" s="106" t="b">
        <v>0</v>
      </c>
      <c r="U7" s="141"/>
      <c r="V7" s="107"/>
      <c r="W7" s="106"/>
      <c r="X7" s="144"/>
      <c r="Y7" s="107"/>
      <c r="Z7" s="106"/>
      <c r="AA7" s="144"/>
      <c r="AB7" s="107"/>
      <c r="AC7" s="106"/>
      <c r="AD7" s="107"/>
      <c r="AE7" s="106"/>
      <c r="AF7" s="116"/>
      <c r="AG7" s="123" t="s">
        <v>120</v>
      </c>
    </row>
    <row r="8" ht="22.5" customHeight="1">
      <c r="A8" s="59">
        <f t="shared" si="1"/>
        <v>5</v>
      </c>
      <c r="B8" s="125" t="s">
        <v>121</v>
      </c>
      <c r="C8" s="64" t="s">
        <v>122</v>
      </c>
      <c r="D8" s="132" t="s">
        <v>123</v>
      </c>
      <c r="E8" s="64" t="s">
        <v>51</v>
      </c>
      <c r="F8" s="70"/>
      <c r="G8" s="71"/>
      <c r="H8" s="88">
        <v>2.0</v>
      </c>
      <c r="I8" s="90">
        <v>4.0</v>
      </c>
      <c r="J8" s="92">
        <v>45226.0</v>
      </c>
      <c r="K8" s="99" t="b">
        <v>0</v>
      </c>
      <c r="L8" s="103"/>
      <c r="M8" s="101">
        <v>45337.0</v>
      </c>
      <c r="N8" s="99" t="b">
        <v>0</v>
      </c>
      <c r="O8" s="103"/>
      <c r="P8" s="101">
        <v>45519.0</v>
      </c>
      <c r="Q8" s="99" t="b">
        <v>0</v>
      </c>
      <c r="R8" s="141"/>
      <c r="S8" s="107">
        <v>45699.0</v>
      </c>
      <c r="T8" s="106" t="b">
        <v>0</v>
      </c>
      <c r="U8" s="141"/>
      <c r="V8" s="107"/>
      <c r="W8" s="106"/>
      <c r="X8" s="144"/>
      <c r="Y8" s="107"/>
      <c r="Z8" s="106"/>
      <c r="AA8" s="144"/>
      <c r="AB8" s="107"/>
      <c r="AC8" s="106"/>
      <c r="AD8" s="107"/>
      <c r="AE8" s="106"/>
      <c r="AF8" s="116"/>
      <c r="AG8" s="146" t="s">
        <v>127</v>
      </c>
    </row>
    <row r="9" ht="22.5" customHeight="1">
      <c r="A9" s="59">
        <f t="shared" si="1"/>
        <v>6</v>
      </c>
      <c r="B9" s="125" t="s">
        <v>128</v>
      </c>
      <c r="C9" s="64"/>
      <c r="D9" s="64"/>
      <c r="E9" s="64" t="s">
        <v>51</v>
      </c>
      <c r="F9" s="70"/>
      <c r="G9" s="71"/>
      <c r="H9" s="88">
        <v>2.0</v>
      </c>
      <c r="I9" s="90">
        <v>4.0</v>
      </c>
      <c r="J9" s="92">
        <v>45227.0</v>
      </c>
      <c r="K9" s="106" t="b">
        <v>0</v>
      </c>
      <c r="L9" s="103"/>
      <c r="M9" s="101">
        <v>45313.0</v>
      </c>
      <c r="N9" s="106" t="b">
        <v>0</v>
      </c>
      <c r="O9" s="103"/>
      <c r="P9" s="101">
        <v>45433.0</v>
      </c>
      <c r="Q9" s="99" t="b">
        <v>0</v>
      </c>
      <c r="R9" s="141"/>
      <c r="S9" s="107">
        <v>45922.0</v>
      </c>
      <c r="T9" s="106" t="b">
        <v>0</v>
      </c>
      <c r="U9" s="141"/>
      <c r="V9" s="107"/>
      <c r="W9" s="106"/>
      <c r="X9" s="144"/>
      <c r="Y9" s="107"/>
      <c r="Z9" s="106"/>
      <c r="AA9" s="144"/>
      <c r="AB9" s="107"/>
      <c r="AC9" s="106"/>
      <c r="AD9" s="107"/>
      <c r="AE9" s="106"/>
      <c r="AF9" s="116"/>
      <c r="AG9" s="205" t="s">
        <v>133</v>
      </c>
    </row>
    <row r="10" ht="22.5" customHeight="1">
      <c r="A10" s="59">
        <f t="shared" si="1"/>
        <v>7</v>
      </c>
      <c r="B10" s="208" t="s">
        <v>136</v>
      </c>
      <c r="C10" s="64" t="s">
        <v>137</v>
      </c>
      <c r="D10" s="132" t="s">
        <v>138</v>
      </c>
      <c r="E10" s="64" t="s">
        <v>51</v>
      </c>
      <c r="F10" s="70"/>
      <c r="G10" s="71" t="s">
        <v>143</v>
      </c>
      <c r="H10" s="88">
        <v>3.0</v>
      </c>
      <c r="I10" s="90">
        <v>6.0</v>
      </c>
      <c r="J10" s="211">
        <v>45226.0</v>
      </c>
      <c r="K10" s="106" t="b">
        <v>0</v>
      </c>
      <c r="L10" s="103"/>
      <c r="M10" s="171">
        <v>45327.0</v>
      </c>
      <c r="N10" s="99" t="b">
        <v>0</v>
      </c>
      <c r="O10" s="103"/>
      <c r="P10" s="101">
        <v>45509.0</v>
      </c>
      <c r="Q10" s="99" t="b">
        <v>0</v>
      </c>
      <c r="R10" s="141"/>
      <c r="S10" s="107">
        <v>45693.0</v>
      </c>
      <c r="T10" s="106" t="b">
        <v>0</v>
      </c>
      <c r="U10" s="141"/>
      <c r="V10" s="107">
        <v>45874.0</v>
      </c>
      <c r="W10" s="106" t="b">
        <v>0</v>
      </c>
      <c r="X10" s="144"/>
      <c r="Y10" s="107">
        <v>46058.0</v>
      </c>
      <c r="Z10" s="106" t="b">
        <v>0</v>
      </c>
      <c r="AA10" s="144"/>
      <c r="AB10" s="107"/>
      <c r="AC10" s="106"/>
      <c r="AD10" s="107"/>
      <c r="AE10" s="106"/>
      <c r="AF10" s="116"/>
      <c r="AG10" s="220" t="s">
        <v>148</v>
      </c>
    </row>
    <row r="11" ht="22.5" customHeight="1">
      <c r="A11" s="59">
        <f t="shared" si="1"/>
        <v>8</v>
      </c>
      <c r="B11" s="61" t="s">
        <v>149</v>
      </c>
      <c r="C11" s="228" t="s">
        <v>111</v>
      </c>
      <c r="D11" s="232" t="s">
        <v>150</v>
      </c>
      <c r="E11" s="228" t="s">
        <v>51</v>
      </c>
      <c r="F11" s="61"/>
      <c r="G11" s="233"/>
      <c r="H11" s="88">
        <v>2.0</v>
      </c>
      <c r="I11" s="234">
        <v>4.0</v>
      </c>
      <c r="J11" s="235">
        <v>45128.0</v>
      </c>
      <c r="K11" s="237" t="b">
        <v>0</v>
      </c>
      <c r="L11" s="103"/>
      <c r="M11" s="238">
        <v>45312.0</v>
      </c>
      <c r="N11" s="240" t="b">
        <v>0</v>
      </c>
      <c r="O11" s="103"/>
      <c r="P11" s="238">
        <v>45494.0</v>
      </c>
      <c r="Q11" s="240" t="b">
        <v>0</v>
      </c>
      <c r="R11" s="141"/>
      <c r="S11" s="242">
        <v>45646.0</v>
      </c>
      <c r="T11" s="237" t="b">
        <v>0</v>
      </c>
      <c r="U11" s="141"/>
      <c r="V11" s="242"/>
      <c r="W11" s="237"/>
      <c r="X11" s="144"/>
      <c r="Y11" s="242"/>
      <c r="Z11" s="237"/>
      <c r="AA11" s="144"/>
      <c r="AB11" s="242"/>
      <c r="AC11" s="237"/>
      <c r="AD11" s="242"/>
      <c r="AE11" s="237"/>
      <c r="AF11" s="244"/>
      <c r="AG11" s="146" t="s">
        <v>164</v>
      </c>
    </row>
    <row r="12" ht="22.5" customHeight="1">
      <c r="A12" s="59">
        <f t="shared" si="1"/>
        <v>9</v>
      </c>
      <c r="B12" s="125" t="s">
        <v>166</v>
      </c>
      <c r="C12" s="64" t="s">
        <v>47</v>
      </c>
      <c r="D12" s="64"/>
      <c r="E12" s="64" t="s">
        <v>51</v>
      </c>
      <c r="F12" s="70" t="s">
        <v>168</v>
      </c>
      <c r="G12" s="71" t="s">
        <v>169</v>
      </c>
      <c r="H12" s="88">
        <v>1.0</v>
      </c>
      <c r="I12" s="90">
        <v>2.0</v>
      </c>
      <c r="J12" s="211">
        <v>45227.0</v>
      </c>
      <c r="K12" s="99" t="b">
        <v>0</v>
      </c>
      <c r="L12" s="103"/>
      <c r="M12" s="171">
        <v>45324.0</v>
      </c>
      <c r="N12" s="99" t="b">
        <v>0</v>
      </c>
      <c r="O12" s="103"/>
      <c r="P12" s="101"/>
      <c r="Q12" s="99"/>
      <c r="R12" s="141"/>
      <c r="S12" s="107"/>
      <c r="T12" s="106" t="b">
        <v>0</v>
      </c>
      <c r="U12" s="141"/>
      <c r="V12" s="107"/>
      <c r="W12" s="106"/>
      <c r="X12" s="144"/>
      <c r="Y12" s="107"/>
      <c r="Z12" s="106"/>
      <c r="AA12" s="144"/>
      <c r="AB12" s="107"/>
      <c r="AC12" s="106"/>
      <c r="AD12" s="107"/>
      <c r="AE12" s="106"/>
      <c r="AF12" s="116"/>
      <c r="AG12" s="123" t="s">
        <v>172</v>
      </c>
    </row>
    <row r="13" ht="22.5" customHeight="1">
      <c r="A13" s="59">
        <f t="shared" si="1"/>
        <v>10</v>
      </c>
      <c r="B13" s="125" t="s">
        <v>173</v>
      </c>
      <c r="C13" s="64"/>
      <c r="D13" s="64"/>
      <c r="E13" s="64" t="s">
        <v>51</v>
      </c>
      <c r="F13" s="70"/>
      <c r="G13" s="71"/>
      <c r="H13" s="88">
        <v>2.0</v>
      </c>
      <c r="I13" s="90">
        <v>4.0</v>
      </c>
      <c r="J13" s="211">
        <v>45222.0</v>
      </c>
      <c r="K13" s="99" t="b">
        <v>0</v>
      </c>
      <c r="L13" s="103"/>
      <c r="M13" s="171">
        <v>45345.0</v>
      </c>
      <c r="N13" s="106" t="b">
        <v>1</v>
      </c>
      <c r="O13" s="103" t="s">
        <v>57</v>
      </c>
      <c r="P13" s="171">
        <v>45586.0</v>
      </c>
      <c r="Q13" s="99" t="b">
        <v>0</v>
      </c>
      <c r="R13" s="141"/>
      <c r="S13" s="107">
        <v>45768.0</v>
      </c>
      <c r="T13" s="106" t="b">
        <v>0</v>
      </c>
      <c r="U13" s="141"/>
      <c r="V13" s="107"/>
      <c r="W13" s="106"/>
      <c r="X13" s="144"/>
      <c r="Y13" s="107"/>
      <c r="Z13" s="106"/>
      <c r="AA13" s="144"/>
      <c r="AB13" s="107"/>
      <c r="AC13" s="106"/>
      <c r="AD13" s="107"/>
      <c r="AE13" s="106"/>
      <c r="AF13" s="116"/>
      <c r="AG13" s="123" t="s">
        <v>178</v>
      </c>
    </row>
    <row r="14" ht="22.5" customHeight="1">
      <c r="A14" s="59">
        <f t="shared" si="1"/>
        <v>11</v>
      </c>
      <c r="B14" s="125" t="s">
        <v>179</v>
      </c>
      <c r="C14" s="64"/>
      <c r="D14" s="64"/>
      <c r="E14" s="64" t="s">
        <v>51</v>
      </c>
      <c r="F14" s="70" t="s">
        <v>181</v>
      </c>
      <c r="G14" s="71"/>
      <c r="H14" s="88">
        <v>2.0</v>
      </c>
      <c r="I14" s="90">
        <v>4.0</v>
      </c>
      <c r="J14" s="211">
        <v>45061.0</v>
      </c>
      <c r="K14" s="99" t="b">
        <v>0</v>
      </c>
      <c r="L14" s="103"/>
      <c r="M14" s="171">
        <v>45245.0</v>
      </c>
      <c r="N14" s="99" t="b">
        <v>0</v>
      </c>
      <c r="O14" s="103"/>
      <c r="P14" s="101">
        <v>45427.0</v>
      </c>
      <c r="Q14" s="99" t="b">
        <v>0</v>
      </c>
      <c r="R14" s="141"/>
      <c r="S14" s="107">
        <v>45611.0</v>
      </c>
      <c r="T14" s="106" t="b">
        <v>0</v>
      </c>
      <c r="U14" s="141"/>
      <c r="V14" s="107"/>
      <c r="W14" s="106"/>
      <c r="X14" s="144"/>
      <c r="Y14" s="107"/>
      <c r="Z14" s="106"/>
      <c r="AA14" s="144"/>
      <c r="AB14" s="107"/>
      <c r="AC14" s="106"/>
      <c r="AD14" s="107"/>
      <c r="AE14" s="106"/>
      <c r="AF14" s="262"/>
      <c r="AG14" s="146" t="s">
        <v>107</v>
      </c>
    </row>
    <row r="15" ht="22.5" customHeight="1">
      <c r="A15" s="59">
        <f t="shared" si="1"/>
        <v>12</v>
      </c>
      <c r="B15" s="125" t="s">
        <v>187</v>
      </c>
      <c r="C15" s="265"/>
      <c r="D15" s="265"/>
      <c r="E15" s="265" t="s">
        <v>51</v>
      </c>
      <c r="F15" s="125" t="s">
        <v>189</v>
      </c>
      <c r="G15" s="266" t="s">
        <v>190</v>
      </c>
      <c r="H15" s="268">
        <f t="shared" ref="H15:H25" si="2">COUNTIFS(J15:AF15,"True")</f>
        <v>1</v>
      </c>
      <c r="I15" s="269">
        <v>4.0</v>
      </c>
      <c r="J15" s="272">
        <v>44942.0</v>
      </c>
      <c r="K15" s="164" t="b">
        <v>1</v>
      </c>
      <c r="L15" s="103"/>
      <c r="M15" s="274">
        <v>45226.0</v>
      </c>
      <c r="N15" s="164" t="b">
        <v>0</v>
      </c>
      <c r="O15" s="103"/>
      <c r="P15" s="274">
        <v>45320.0</v>
      </c>
      <c r="Q15" s="164" t="b">
        <v>0</v>
      </c>
      <c r="R15" s="278"/>
      <c r="S15" s="107">
        <v>45502.0</v>
      </c>
      <c r="T15" s="164" t="b">
        <v>0</v>
      </c>
      <c r="U15" s="278"/>
      <c r="V15" s="107"/>
      <c r="W15" s="164"/>
      <c r="X15" s="282"/>
      <c r="Y15" s="107"/>
      <c r="Z15" s="164"/>
      <c r="AA15" s="282"/>
      <c r="AB15" s="107"/>
      <c r="AC15" s="164"/>
      <c r="AD15" s="107"/>
      <c r="AE15" s="164"/>
      <c r="AF15" s="283"/>
      <c r="AG15" s="220" t="s">
        <v>204</v>
      </c>
    </row>
    <row r="16" ht="22.5" customHeight="1">
      <c r="A16" s="59">
        <f t="shared" si="1"/>
        <v>13</v>
      </c>
      <c r="B16" s="125" t="s">
        <v>205</v>
      </c>
      <c r="C16" s="64"/>
      <c r="D16" s="64"/>
      <c r="E16" s="64" t="s">
        <v>51</v>
      </c>
      <c r="F16" s="70"/>
      <c r="G16" s="71" t="s">
        <v>208</v>
      </c>
      <c r="H16" s="88">
        <f t="shared" si="2"/>
        <v>1</v>
      </c>
      <c r="I16" s="90">
        <v>4.0</v>
      </c>
      <c r="J16" s="211">
        <v>44942.0</v>
      </c>
      <c r="K16" s="106" t="b">
        <v>1</v>
      </c>
      <c r="L16" s="103"/>
      <c r="M16" s="171">
        <v>45126.0</v>
      </c>
      <c r="N16" s="106" t="b">
        <v>0</v>
      </c>
      <c r="O16" s="103"/>
      <c r="P16" s="171">
        <v>45300.0</v>
      </c>
      <c r="Q16" s="106" t="b">
        <v>0</v>
      </c>
      <c r="R16" s="278"/>
      <c r="S16" s="107">
        <v>45482.0</v>
      </c>
      <c r="T16" s="106" t="b">
        <v>0</v>
      </c>
      <c r="U16" s="278"/>
      <c r="V16" s="107"/>
      <c r="W16" s="106"/>
      <c r="X16" s="282"/>
      <c r="Y16" s="107"/>
      <c r="Z16" s="106"/>
      <c r="AA16" s="282"/>
      <c r="AB16" s="107"/>
      <c r="AC16" s="106"/>
      <c r="AD16" s="107"/>
      <c r="AE16" s="106"/>
      <c r="AF16" s="288"/>
      <c r="AG16" s="220" t="s">
        <v>211</v>
      </c>
    </row>
    <row r="17" ht="22.5" customHeight="1">
      <c r="A17" s="59">
        <f t="shared" si="1"/>
        <v>14</v>
      </c>
      <c r="B17" s="125" t="s">
        <v>214</v>
      </c>
      <c r="C17" s="64"/>
      <c r="D17" s="64"/>
      <c r="E17" s="64" t="s">
        <v>51</v>
      </c>
      <c r="F17" s="70" t="s">
        <v>215</v>
      </c>
      <c r="G17" s="71" t="s">
        <v>216</v>
      </c>
      <c r="H17" s="88">
        <f t="shared" si="2"/>
        <v>2</v>
      </c>
      <c r="I17" s="90">
        <v>2.0</v>
      </c>
      <c r="J17" s="211">
        <v>44562.0</v>
      </c>
      <c r="K17" s="106" t="b">
        <v>1</v>
      </c>
      <c r="L17" s="103"/>
      <c r="M17" s="171">
        <v>45008.0</v>
      </c>
      <c r="N17" s="106" t="b">
        <v>1</v>
      </c>
      <c r="O17" s="103"/>
      <c r="P17" s="171">
        <v>45194.0</v>
      </c>
      <c r="Q17" s="106" t="b">
        <v>0</v>
      </c>
      <c r="R17" s="278"/>
      <c r="S17" s="107">
        <v>45376.0</v>
      </c>
      <c r="T17" s="106" t="b">
        <v>0</v>
      </c>
      <c r="U17" s="278"/>
      <c r="V17" s="107">
        <v>45560.0</v>
      </c>
      <c r="W17" s="106" t="b">
        <v>0</v>
      </c>
      <c r="X17" s="282"/>
      <c r="Y17" s="107">
        <v>45741.0</v>
      </c>
      <c r="Z17" s="106" t="b">
        <v>0</v>
      </c>
      <c r="AA17" s="282"/>
      <c r="AB17" s="107"/>
      <c r="AC17" s="106"/>
      <c r="AD17" s="107"/>
      <c r="AE17" s="106"/>
      <c r="AF17" s="297" t="s">
        <v>224</v>
      </c>
      <c r="AG17" s="123" t="s">
        <v>225</v>
      </c>
    </row>
    <row r="18" ht="22.5" customHeight="1">
      <c r="A18" s="59">
        <f t="shared" si="1"/>
        <v>15</v>
      </c>
      <c r="B18" s="125" t="s">
        <v>226</v>
      </c>
      <c r="C18" s="301"/>
      <c r="D18" s="301"/>
      <c r="E18" s="301" t="s">
        <v>51</v>
      </c>
      <c r="F18" s="305"/>
      <c r="G18" s="307"/>
      <c r="H18" s="88">
        <f t="shared" si="2"/>
        <v>2</v>
      </c>
      <c r="I18" s="90">
        <v>4.0</v>
      </c>
      <c r="J18" s="211">
        <v>44562.0</v>
      </c>
      <c r="K18" s="106" t="b">
        <v>1</v>
      </c>
      <c r="L18" s="103"/>
      <c r="M18" s="171">
        <v>44623.0</v>
      </c>
      <c r="N18" s="106" t="b">
        <v>1</v>
      </c>
      <c r="O18" s="103"/>
      <c r="P18" s="171">
        <v>45173.0</v>
      </c>
      <c r="Q18" s="106" t="b">
        <v>0</v>
      </c>
      <c r="R18" s="278"/>
      <c r="S18" s="107">
        <v>45385.0</v>
      </c>
      <c r="T18" s="106" t="b">
        <v>0</v>
      </c>
      <c r="U18" s="278"/>
      <c r="V18" s="107"/>
      <c r="W18" s="106" t="b">
        <v>0</v>
      </c>
      <c r="X18" s="282"/>
      <c r="Y18" s="107"/>
      <c r="Z18" s="106" t="b">
        <v>0</v>
      </c>
      <c r="AA18" s="282"/>
      <c r="AB18" s="107"/>
      <c r="AC18" s="106"/>
      <c r="AD18" s="107"/>
      <c r="AE18" s="106"/>
      <c r="AF18" s="116"/>
      <c r="AG18" s="313"/>
    </row>
    <row r="19" ht="22.5" customHeight="1">
      <c r="A19" s="59">
        <f t="shared" si="1"/>
        <v>16</v>
      </c>
      <c r="B19" s="125" t="s">
        <v>232</v>
      </c>
      <c r="C19" s="64"/>
      <c r="D19" s="64"/>
      <c r="E19" s="64" t="s">
        <v>51</v>
      </c>
      <c r="F19" s="70"/>
      <c r="G19" s="71" t="s">
        <v>234</v>
      </c>
      <c r="H19" s="88">
        <f t="shared" si="2"/>
        <v>1</v>
      </c>
      <c r="I19" s="90">
        <v>4.0</v>
      </c>
      <c r="J19" s="211">
        <v>44952.0</v>
      </c>
      <c r="K19" s="106" t="b">
        <v>1</v>
      </c>
      <c r="L19" s="103"/>
      <c r="M19" s="171">
        <v>45117.0</v>
      </c>
      <c r="N19" s="106" t="b">
        <v>0</v>
      </c>
      <c r="O19" s="103"/>
      <c r="P19" s="171">
        <v>45301.0</v>
      </c>
      <c r="Q19" s="106" t="b">
        <v>0</v>
      </c>
      <c r="R19" s="278"/>
      <c r="S19" s="107">
        <v>45483.0</v>
      </c>
      <c r="T19" s="106" t="b">
        <v>0</v>
      </c>
      <c r="U19" s="278"/>
      <c r="V19" s="107"/>
      <c r="W19" s="106"/>
      <c r="X19" s="282"/>
      <c r="Y19" s="107"/>
      <c r="Z19" s="106"/>
      <c r="AA19" s="282"/>
      <c r="AB19" s="107"/>
      <c r="AC19" s="106"/>
      <c r="AD19" s="107"/>
      <c r="AE19" s="106"/>
      <c r="AF19" s="288"/>
      <c r="AG19" s="220" t="s">
        <v>241</v>
      </c>
    </row>
    <row r="20" ht="22.5" customHeight="1">
      <c r="A20" s="59">
        <f t="shared" si="1"/>
        <v>17</v>
      </c>
      <c r="B20" s="125" t="s">
        <v>242</v>
      </c>
      <c r="C20" s="324"/>
      <c r="D20" s="324"/>
      <c r="E20" s="324" t="s">
        <v>51</v>
      </c>
      <c r="F20" s="325"/>
      <c r="G20" s="326"/>
      <c r="H20" s="268">
        <f t="shared" si="2"/>
        <v>1</v>
      </c>
      <c r="I20" s="269">
        <v>2.0</v>
      </c>
      <c r="J20" s="272">
        <v>44562.0</v>
      </c>
      <c r="K20" s="164" t="b">
        <v>1</v>
      </c>
      <c r="L20" s="103"/>
      <c r="M20" s="274">
        <v>45227.0</v>
      </c>
      <c r="N20" s="164" t="b">
        <v>0</v>
      </c>
      <c r="O20" s="103"/>
      <c r="P20" s="274"/>
      <c r="Q20" s="164"/>
      <c r="R20" s="278"/>
      <c r="S20" s="107"/>
      <c r="T20" s="164"/>
      <c r="U20" s="278"/>
      <c r="V20" s="107"/>
      <c r="W20" s="164"/>
      <c r="X20" s="282"/>
      <c r="Y20" s="107"/>
      <c r="Z20" s="164"/>
      <c r="AA20" s="282"/>
      <c r="AB20" s="107"/>
      <c r="AC20" s="164"/>
      <c r="AD20" s="107"/>
      <c r="AE20" s="164"/>
      <c r="AF20" s="283"/>
      <c r="AG20" s="220" t="s">
        <v>99</v>
      </c>
    </row>
    <row r="21" ht="22.5" customHeight="1">
      <c r="A21" s="59">
        <f t="shared" si="1"/>
        <v>18</v>
      </c>
      <c r="B21" s="125" t="s">
        <v>252</v>
      </c>
      <c r="C21" s="265"/>
      <c r="D21" s="265"/>
      <c r="E21" s="265" t="s">
        <v>51</v>
      </c>
      <c r="F21" s="125" t="s">
        <v>253</v>
      </c>
      <c r="G21" s="266" t="s">
        <v>255</v>
      </c>
      <c r="H21" s="268">
        <f t="shared" si="2"/>
        <v>2</v>
      </c>
      <c r="I21" s="269">
        <v>4.0</v>
      </c>
      <c r="J21" s="272">
        <v>44774.0</v>
      </c>
      <c r="K21" s="164" t="b">
        <v>1</v>
      </c>
      <c r="L21" s="103"/>
      <c r="M21" s="274">
        <v>44959.0</v>
      </c>
      <c r="N21" s="164" t="b">
        <v>1</v>
      </c>
      <c r="O21" s="103"/>
      <c r="P21" s="274">
        <v>45166.0</v>
      </c>
      <c r="Q21" s="164" t="b">
        <v>0</v>
      </c>
      <c r="R21" s="278"/>
      <c r="S21" s="107">
        <v>45348.0</v>
      </c>
      <c r="T21" s="164" t="b">
        <v>0</v>
      </c>
      <c r="U21" s="278"/>
      <c r="V21" s="107"/>
      <c r="W21" s="106" t="b">
        <v>0</v>
      </c>
      <c r="X21" s="282"/>
      <c r="Y21" s="107"/>
      <c r="Z21" s="106" t="b">
        <v>0</v>
      </c>
      <c r="AA21" s="282"/>
      <c r="AB21" s="107"/>
      <c r="AC21" s="164"/>
      <c r="AD21" s="107"/>
      <c r="AE21" s="164"/>
      <c r="AF21" s="283"/>
      <c r="AG21" s="146" t="s">
        <v>261</v>
      </c>
    </row>
    <row r="22" ht="22.5" customHeight="1">
      <c r="A22" s="59">
        <f t="shared" si="1"/>
        <v>19</v>
      </c>
      <c r="B22" s="125" t="s">
        <v>262</v>
      </c>
      <c r="C22" s="301"/>
      <c r="D22" s="301"/>
      <c r="E22" s="301" t="s">
        <v>51</v>
      </c>
      <c r="F22" s="70" t="s">
        <v>263</v>
      </c>
      <c r="G22" s="71" t="s">
        <v>264</v>
      </c>
      <c r="H22" s="88">
        <f t="shared" si="2"/>
        <v>2</v>
      </c>
      <c r="I22" s="90">
        <v>6.0</v>
      </c>
      <c r="J22" s="211">
        <v>44562.0</v>
      </c>
      <c r="K22" s="106" t="b">
        <v>1</v>
      </c>
      <c r="L22" s="103"/>
      <c r="M22" s="171">
        <v>44562.0</v>
      </c>
      <c r="N22" s="106" t="b">
        <v>1</v>
      </c>
      <c r="O22" s="103"/>
      <c r="P22" s="171">
        <v>45194.0</v>
      </c>
      <c r="Q22" s="106" t="b">
        <v>0</v>
      </c>
      <c r="R22" s="278"/>
      <c r="S22" s="107">
        <v>45362.0</v>
      </c>
      <c r="T22" s="106" t="b">
        <v>0</v>
      </c>
      <c r="U22" s="278"/>
      <c r="V22" s="107">
        <v>45547.0</v>
      </c>
      <c r="W22" s="106" t="b">
        <v>0</v>
      </c>
      <c r="X22" s="282"/>
      <c r="Y22" s="107">
        <v>45727.0</v>
      </c>
      <c r="Z22" s="106" t="b">
        <v>0</v>
      </c>
      <c r="AA22" s="282"/>
      <c r="AB22" s="107"/>
      <c r="AC22" s="106"/>
      <c r="AD22" s="107"/>
      <c r="AE22" s="106"/>
      <c r="AF22" s="116"/>
      <c r="AG22" s="335" t="s">
        <v>196</v>
      </c>
    </row>
    <row r="23" ht="22.5" customHeight="1">
      <c r="A23" s="59">
        <f t="shared" si="1"/>
        <v>20</v>
      </c>
      <c r="B23" s="61" t="s">
        <v>273</v>
      </c>
      <c r="C23" s="337"/>
      <c r="D23" s="337"/>
      <c r="E23" s="337" t="s">
        <v>51</v>
      </c>
      <c r="F23" s="332"/>
      <c r="G23" s="340" t="s">
        <v>274</v>
      </c>
      <c r="H23" s="88">
        <f t="shared" si="2"/>
        <v>2</v>
      </c>
      <c r="I23" s="90">
        <v>4.0</v>
      </c>
      <c r="J23" s="342">
        <v>44881.0</v>
      </c>
      <c r="K23" s="106" t="b">
        <v>1</v>
      </c>
      <c r="L23" s="103"/>
      <c r="M23" s="171">
        <v>45037.0</v>
      </c>
      <c r="N23" s="106" t="b">
        <v>1</v>
      </c>
      <c r="O23" s="103"/>
      <c r="P23" s="171">
        <v>45209.0</v>
      </c>
      <c r="Q23" s="106" t="b">
        <v>0</v>
      </c>
      <c r="R23" s="278"/>
      <c r="S23" s="107">
        <v>45392.0</v>
      </c>
      <c r="T23" s="106" t="b">
        <v>0</v>
      </c>
      <c r="U23" s="278"/>
      <c r="V23" s="107"/>
      <c r="W23" s="106"/>
      <c r="X23" s="282"/>
      <c r="Y23" s="107"/>
      <c r="Z23" s="106"/>
      <c r="AA23" s="282"/>
      <c r="AB23" s="107"/>
      <c r="AC23" s="106"/>
      <c r="AD23" s="107"/>
      <c r="AE23" s="106"/>
      <c r="AF23" s="116"/>
      <c r="AG23" s="346" t="s">
        <v>281</v>
      </c>
    </row>
    <row r="24" ht="22.5" customHeight="1">
      <c r="A24" s="59">
        <f t="shared" si="1"/>
        <v>21</v>
      </c>
      <c r="B24" s="125" t="s">
        <v>283</v>
      </c>
      <c r="C24" s="301"/>
      <c r="D24" s="301"/>
      <c r="E24" s="301" t="s">
        <v>51</v>
      </c>
      <c r="F24" s="305"/>
      <c r="G24" s="307"/>
      <c r="H24" s="88">
        <f t="shared" si="2"/>
        <v>2</v>
      </c>
      <c r="I24" s="90">
        <v>6.0</v>
      </c>
      <c r="J24" s="211">
        <v>44883.0</v>
      </c>
      <c r="K24" s="106" t="b">
        <v>1</v>
      </c>
      <c r="L24" s="103"/>
      <c r="M24" s="171">
        <v>44655.0</v>
      </c>
      <c r="N24" s="106" t="b">
        <v>1</v>
      </c>
      <c r="O24" s="103"/>
      <c r="P24" s="171">
        <v>45201.0</v>
      </c>
      <c r="Q24" s="106" t="b">
        <v>0</v>
      </c>
      <c r="R24" s="278"/>
      <c r="S24" s="107">
        <v>45383.0</v>
      </c>
      <c r="T24" s="106" t="b">
        <v>0</v>
      </c>
      <c r="U24" s="278"/>
      <c r="V24" s="107">
        <v>45567.0</v>
      </c>
      <c r="W24" s="106" t="b">
        <v>0</v>
      </c>
      <c r="X24" s="282"/>
      <c r="Y24" s="107">
        <v>45748.0</v>
      </c>
      <c r="Z24" s="106" t="b">
        <v>0</v>
      </c>
      <c r="AA24" s="282"/>
      <c r="AB24" s="107"/>
      <c r="AC24" s="106"/>
      <c r="AD24" s="107"/>
      <c r="AE24" s="106"/>
      <c r="AF24" s="116"/>
      <c r="AG24" s="346" t="s">
        <v>290</v>
      </c>
    </row>
    <row r="25" ht="22.5" customHeight="1">
      <c r="A25" s="59">
        <f t="shared" si="1"/>
        <v>22</v>
      </c>
      <c r="B25" s="125" t="s">
        <v>291</v>
      </c>
      <c r="C25" s="64"/>
      <c r="D25" s="64"/>
      <c r="E25" s="64" t="s">
        <v>51</v>
      </c>
      <c r="F25" s="70" t="s">
        <v>293</v>
      </c>
      <c r="G25" s="71"/>
      <c r="H25" s="88">
        <f t="shared" si="2"/>
        <v>1</v>
      </c>
      <c r="I25" s="90">
        <v>2.0</v>
      </c>
      <c r="J25" s="211">
        <v>45007.0</v>
      </c>
      <c r="K25" s="106" t="b">
        <v>1</v>
      </c>
      <c r="L25" s="103"/>
      <c r="M25" s="171">
        <v>45195.0</v>
      </c>
      <c r="N25" s="106" t="b">
        <v>0</v>
      </c>
      <c r="O25" s="103"/>
      <c r="P25" s="171"/>
      <c r="Q25" s="106" t="b">
        <v>0</v>
      </c>
      <c r="R25" s="278"/>
      <c r="S25" s="107"/>
      <c r="T25" s="106" t="b">
        <v>0</v>
      </c>
      <c r="U25" s="278"/>
      <c r="V25" s="107"/>
      <c r="W25" s="106"/>
      <c r="X25" s="282"/>
      <c r="Y25" s="107"/>
      <c r="Z25" s="106"/>
      <c r="AA25" s="282"/>
      <c r="AB25" s="107"/>
      <c r="AC25" s="106"/>
      <c r="AD25" s="107"/>
      <c r="AE25" s="106"/>
      <c r="AF25" s="288"/>
      <c r="AG25" s="353" t="s">
        <v>302</v>
      </c>
    </row>
    <row r="26" ht="22.5" customHeight="1">
      <c r="A26" s="59">
        <f t="shared" si="1"/>
        <v>23</v>
      </c>
      <c r="B26" s="125" t="s">
        <v>306</v>
      </c>
      <c r="C26" s="64"/>
      <c r="D26" s="64"/>
      <c r="E26" s="64" t="s">
        <v>51</v>
      </c>
      <c r="F26" s="70"/>
      <c r="G26" s="71"/>
      <c r="H26" s="88">
        <v>2.0</v>
      </c>
      <c r="I26" s="90">
        <v>4.0</v>
      </c>
      <c r="J26" s="211">
        <v>45069.0</v>
      </c>
      <c r="K26" s="106" t="b">
        <v>1</v>
      </c>
      <c r="L26" s="103"/>
      <c r="M26" s="171">
        <v>45233.0</v>
      </c>
      <c r="N26" s="106" t="b">
        <v>0</v>
      </c>
      <c r="O26" s="103"/>
      <c r="P26" s="171">
        <v>45415.0</v>
      </c>
      <c r="Q26" s="99" t="b">
        <v>0</v>
      </c>
      <c r="R26" s="141"/>
      <c r="S26" s="107">
        <v>45600.0</v>
      </c>
      <c r="T26" s="106" t="b">
        <v>0</v>
      </c>
      <c r="U26" s="141"/>
      <c r="V26" s="107"/>
      <c r="W26" s="106"/>
      <c r="X26" s="144"/>
      <c r="Y26" s="107"/>
      <c r="Z26" s="106"/>
      <c r="AA26" s="144"/>
      <c r="AB26" s="107"/>
      <c r="AC26" s="106"/>
      <c r="AD26" s="107"/>
      <c r="AE26" s="106"/>
      <c r="AF26" s="360"/>
      <c r="AG26" s="353" t="s">
        <v>317</v>
      </c>
    </row>
    <row r="27" ht="22.5" customHeight="1">
      <c r="A27" s="59">
        <f t="shared" si="1"/>
        <v>24</v>
      </c>
      <c r="B27" s="125" t="s">
        <v>318</v>
      </c>
      <c r="C27" s="301"/>
      <c r="D27" s="301"/>
      <c r="E27" s="301" t="s">
        <v>51</v>
      </c>
      <c r="F27" s="305"/>
      <c r="G27" s="71" t="s">
        <v>320</v>
      </c>
      <c r="H27" s="88">
        <f t="shared" ref="H27:H31" si="3">COUNTIFS(J27:AF27,"True")</f>
        <v>3</v>
      </c>
      <c r="I27" s="90">
        <v>6.0</v>
      </c>
      <c r="J27" s="211">
        <v>44562.0</v>
      </c>
      <c r="K27" s="106" t="b">
        <v>1</v>
      </c>
      <c r="L27" s="103"/>
      <c r="M27" s="171">
        <v>44562.0</v>
      </c>
      <c r="N27" s="106" t="b">
        <v>1</v>
      </c>
      <c r="O27" s="103"/>
      <c r="P27" s="171">
        <v>45037.0</v>
      </c>
      <c r="Q27" s="106" t="b">
        <v>1</v>
      </c>
      <c r="R27" s="278"/>
      <c r="S27" s="107">
        <v>45225.0</v>
      </c>
      <c r="T27" s="106" t="b">
        <v>0</v>
      </c>
      <c r="U27" s="278"/>
      <c r="V27" s="107">
        <v>45408.0</v>
      </c>
      <c r="W27" s="106" t="b">
        <v>0</v>
      </c>
      <c r="X27" s="282"/>
      <c r="Y27" s="107">
        <v>45559.0</v>
      </c>
      <c r="Z27" s="106" t="b">
        <v>0</v>
      </c>
      <c r="AA27" s="282"/>
      <c r="AB27" s="107"/>
      <c r="AC27" s="106"/>
      <c r="AD27" s="107"/>
      <c r="AE27" s="106"/>
      <c r="AF27" s="288"/>
      <c r="AG27" s="353" t="s">
        <v>325</v>
      </c>
    </row>
    <row r="28" ht="22.5" customHeight="1">
      <c r="A28" s="380">
        <f t="shared" si="1"/>
        <v>25</v>
      </c>
      <c r="B28" s="381" t="s">
        <v>326</v>
      </c>
      <c r="C28" s="382"/>
      <c r="D28" s="382"/>
      <c r="E28" s="382" t="s">
        <v>51</v>
      </c>
      <c r="F28" s="381" t="s">
        <v>329</v>
      </c>
      <c r="G28" s="383"/>
      <c r="H28" s="386">
        <f t="shared" si="3"/>
        <v>1</v>
      </c>
      <c r="I28" s="388">
        <v>2.0</v>
      </c>
      <c r="J28" s="390">
        <v>44963.0</v>
      </c>
      <c r="K28" s="392" t="b">
        <v>1</v>
      </c>
      <c r="L28" s="103"/>
      <c r="M28" s="394">
        <v>45145.0</v>
      </c>
      <c r="N28" s="392" t="b">
        <v>0</v>
      </c>
      <c r="O28" s="103"/>
      <c r="P28" s="394"/>
      <c r="Q28" s="392" t="b">
        <v>0</v>
      </c>
      <c r="R28" s="278"/>
      <c r="S28" s="399"/>
      <c r="T28" s="392" t="b">
        <v>0</v>
      </c>
      <c r="U28" s="278"/>
      <c r="V28" s="399"/>
      <c r="W28" s="392"/>
      <c r="X28" s="282"/>
      <c r="Y28" s="399"/>
      <c r="Z28" s="392"/>
      <c r="AA28" s="282"/>
      <c r="AB28" s="399"/>
      <c r="AC28" s="392"/>
      <c r="AD28" s="399"/>
      <c r="AE28" s="392"/>
      <c r="AF28" s="407"/>
      <c r="AG28" s="146" t="s">
        <v>347</v>
      </c>
    </row>
    <row r="29" ht="22.5" customHeight="1">
      <c r="A29" s="59">
        <f t="shared" si="1"/>
        <v>26</v>
      </c>
      <c r="B29" s="125" t="s">
        <v>349</v>
      </c>
      <c r="C29" s="64"/>
      <c r="D29" s="64"/>
      <c r="E29" s="64" t="s">
        <v>51</v>
      </c>
      <c r="F29" s="70" t="s">
        <v>351</v>
      </c>
      <c r="G29" s="71" t="s">
        <v>352</v>
      </c>
      <c r="H29" s="88">
        <f t="shared" si="3"/>
        <v>1</v>
      </c>
      <c r="I29" s="90">
        <v>4.0</v>
      </c>
      <c r="J29" s="211">
        <v>44922.0</v>
      </c>
      <c r="K29" s="106" t="b">
        <v>1</v>
      </c>
      <c r="L29" s="103"/>
      <c r="M29" s="171">
        <v>45126.0</v>
      </c>
      <c r="N29" s="106" t="b">
        <v>0</v>
      </c>
      <c r="O29" s="103"/>
      <c r="P29" s="171">
        <v>45299.0</v>
      </c>
      <c r="Q29" s="106" t="b">
        <v>0</v>
      </c>
      <c r="R29" s="278"/>
      <c r="S29" s="107">
        <v>45481.0</v>
      </c>
      <c r="T29" s="106" t="b">
        <v>0</v>
      </c>
      <c r="U29" s="278"/>
      <c r="V29" s="107"/>
      <c r="W29" s="106"/>
      <c r="X29" s="282"/>
      <c r="Y29" s="107"/>
      <c r="Z29" s="106"/>
      <c r="AA29" s="282"/>
      <c r="AB29" s="107"/>
      <c r="AC29" s="106"/>
      <c r="AD29" s="107"/>
      <c r="AE29" s="106"/>
      <c r="AF29" s="288"/>
      <c r="AG29" s="273" t="s">
        <v>139</v>
      </c>
    </row>
    <row r="30" ht="22.5" customHeight="1">
      <c r="A30" s="417">
        <v>2.0</v>
      </c>
      <c r="B30" s="125" t="s">
        <v>355</v>
      </c>
      <c r="C30" s="301"/>
      <c r="D30" s="301"/>
      <c r="E30" s="301" t="s">
        <v>51</v>
      </c>
      <c r="F30" s="305"/>
      <c r="G30" s="307"/>
      <c r="H30" s="88">
        <f t="shared" si="3"/>
        <v>3</v>
      </c>
      <c r="I30" s="90">
        <v>6.0</v>
      </c>
      <c r="J30" s="92">
        <v>44562.0</v>
      </c>
      <c r="K30" s="106" t="b">
        <v>1</v>
      </c>
      <c r="L30" s="103"/>
      <c r="M30" s="171">
        <v>44562.0</v>
      </c>
      <c r="N30" s="106" t="b">
        <v>1</v>
      </c>
      <c r="O30" s="103"/>
      <c r="P30" s="171">
        <v>45026.0</v>
      </c>
      <c r="Q30" s="106" t="b">
        <v>1</v>
      </c>
      <c r="R30" s="278"/>
      <c r="S30" s="107">
        <v>45208.0</v>
      </c>
      <c r="T30" s="106" t="b">
        <v>0</v>
      </c>
      <c r="U30" s="278"/>
      <c r="V30" s="107">
        <v>45390.0</v>
      </c>
      <c r="W30" s="106" t="b">
        <v>0</v>
      </c>
      <c r="X30" s="282"/>
      <c r="Y30" s="107">
        <v>45575.0</v>
      </c>
      <c r="Z30" s="106" t="b">
        <v>0</v>
      </c>
      <c r="AA30" s="282"/>
      <c r="AB30" s="107"/>
      <c r="AC30" s="106"/>
      <c r="AD30" s="107"/>
      <c r="AE30" s="106"/>
      <c r="AF30" s="116"/>
      <c r="AG30" s="123" t="s">
        <v>361</v>
      </c>
    </row>
    <row r="31" ht="22.5" customHeight="1">
      <c r="A31" s="59">
        <f t="shared" ref="A31:A90" si="4">A30+1</f>
        <v>3</v>
      </c>
      <c r="B31" s="125" t="s">
        <v>365</v>
      </c>
      <c r="C31" s="64"/>
      <c r="D31" s="64"/>
      <c r="E31" s="64" t="s">
        <v>51</v>
      </c>
      <c r="F31" s="70" t="s">
        <v>52</v>
      </c>
      <c r="G31" s="71"/>
      <c r="H31" s="88">
        <f t="shared" si="3"/>
        <v>2</v>
      </c>
      <c r="I31" s="90">
        <v>2.0</v>
      </c>
      <c r="J31" s="92">
        <v>44562.0</v>
      </c>
      <c r="K31" s="106" t="b">
        <v>1</v>
      </c>
      <c r="L31" s="103"/>
      <c r="M31" s="171">
        <v>45085.0</v>
      </c>
      <c r="N31" s="106" t="b">
        <v>1</v>
      </c>
      <c r="O31" s="103"/>
      <c r="P31" s="101"/>
      <c r="Q31" s="106"/>
      <c r="R31" s="278"/>
      <c r="S31" s="107"/>
      <c r="T31" s="106"/>
      <c r="U31" s="278"/>
      <c r="V31" s="107"/>
      <c r="W31" s="106"/>
      <c r="X31" s="282"/>
      <c r="Y31" s="107"/>
      <c r="Z31" s="106"/>
      <c r="AA31" s="282"/>
      <c r="AB31" s="107"/>
      <c r="AC31" s="106"/>
      <c r="AD31" s="107"/>
      <c r="AE31" s="106"/>
      <c r="AF31" s="116" t="s">
        <v>58</v>
      </c>
      <c r="AG31" s="146" t="s">
        <v>363</v>
      </c>
    </row>
    <row r="32" ht="22.5" customHeight="1">
      <c r="A32" s="59">
        <f t="shared" si="4"/>
        <v>4</v>
      </c>
      <c r="B32" s="125" t="s">
        <v>61</v>
      </c>
      <c r="C32" s="64"/>
      <c r="D32" s="64"/>
      <c r="E32" s="64" t="s">
        <v>51</v>
      </c>
      <c r="F32" s="70"/>
      <c r="G32" s="71"/>
      <c r="H32" s="88">
        <v>2.0</v>
      </c>
      <c r="I32" s="90">
        <v>4.0</v>
      </c>
      <c r="J32" s="92">
        <v>45211.0</v>
      </c>
      <c r="K32" s="106" t="b">
        <v>1</v>
      </c>
      <c r="L32" s="103"/>
      <c r="M32" s="101">
        <v>45439.0</v>
      </c>
      <c r="N32" s="99" t="b">
        <v>0</v>
      </c>
      <c r="O32" s="103"/>
      <c r="P32" s="101">
        <v>45623.0</v>
      </c>
      <c r="Q32" s="99" t="b">
        <v>0</v>
      </c>
      <c r="R32" s="141"/>
      <c r="S32" s="107">
        <v>45804.0</v>
      </c>
      <c r="T32" s="106" t="b">
        <v>0</v>
      </c>
      <c r="U32" s="141"/>
      <c r="V32" s="107"/>
      <c r="W32" s="106"/>
      <c r="X32" s="144"/>
      <c r="Y32" s="107"/>
      <c r="Z32" s="106"/>
      <c r="AA32" s="144"/>
      <c r="AB32" s="107"/>
      <c r="AC32" s="106"/>
      <c r="AD32" s="107"/>
      <c r="AE32" s="106"/>
      <c r="AF32" s="116"/>
      <c r="AG32" s="146" t="s">
        <v>372</v>
      </c>
    </row>
    <row r="33" ht="22.5" customHeight="1">
      <c r="A33" s="59">
        <f t="shared" si="4"/>
        <v>5</v>
      </c>
      <c r="B33" s="125" t="s">
        <v>374</v>
      </c>
      <c r="C33" s="64"/>
      <c r="D33" s="64"/>
      <c r="E33" s="64" t="s">
        <v>51</v>
      </c>
      <c r="F33" s="70"/>
      <c r="G33" s="71"/>
      <c r="H33" s="88">
        <v>2.0</v>
      </c>
      <c r="I33" s="90">
        <v>4.0</v>
      </c>
      <c r="J33" s="92">
        <v>45302.0</v>
      </c>
      <c r="K33" s="99" t="b">
        <v>0</v>
      </c>
      <c r="L33" s="103"/>
      <c r="M33" s="101">
        <v>45422.0</v>
      </c>
      <c r="N33" s="99" t="b">
        <v>0</v>
      </c>
      <c r="O33" s="103"/>
      <c r="P33" s="101">
        <v>45667.0</v>
      </c>
      <c r="Q33" s="99" t="b">
        <v>0</v>
      </c>
      <c r="R33" s="141"/>
      <c r="S33" s="107">
        <v>45789.0</v>
      </c>
      <c r="T33" s="106" t="b">
        <v>0</v>
      </c>
      <c r="U33" s="141"/>
      <c r="V33" s="107"/>
      <c r="W33" s="106"/>
      <c r="X33" s="144"/>
      <c r="Y33" s="107"/>
      <c r="Z33" s="106"/>
      <c r="AA33" s="144"/>
      <c r="AB33" s="107"/>
      <c r="AC33" s="106"/>
      <c r="AD33" s="107"/>
      <c r="AE33" s="106"/>
      <c r="AF33" s="116"/>
      <c r="AG33" s="146" t="s">
        <v>208</v>
      </c>
    </row>
    <row r="34" ht="22.5" customHeight="1">
      <c r="A34" s="59">
        <f t="shared" si="4"/>
        <v>6</v>
      </c>
      <c r="B34" s="125" t="s">
        <v>382</v>
      </c>
      <c r="C34" s="64"/>
      <c r="D34" s="64"/>
      <c r="E34" s="64" t="s">
        <v>51</v>
      </c>
      <c r="F34" s="70"/>
      <c r="G34" s="71"/>
      <c r="H34" s="88">
        <v>2.0</v>
      </c>
      <c r="I34" s="90">
        <v>4.0</v>
      </c>
      <c r="J34" s="92">
        <v>45330.0</v>
      </c>
      <c r="K34" s="99" t="b">
        <v>0</v>
      </c>
      <c r="L34" s="103"/>
      <c r="M34" s="101">
        <v>45512.0</v>
      </c>
      <c r="N34" s="99" t="b">
        <v>0</v>
      </c>
      <c r="O34" s="103"/>
      <c r="P34" s="101">
        <v>45698.0</v>
      </c>
      <c r="Q34" s="99" t="b">
        <v>0</v>
      </c>
      <c r="R34" s="141"/>
      <c r="S34" s="107">
        <v>45876.0</v>
      </c>
      <c r="T34" s="106" t="b">
        <v>0</v>
      </c>
      <c r="U34" s="141"/>
      <c r="V34" s="107"/>
      <c r="W34" s="106"/>
      <c r="X34" s="144"/>
      <c r="Y34" s="107"/>
      <c r="Z34" s="106"/>
      <c r="AA34" s="144"/>
      <c r="AB34" s="107"/>
      <c r="AC34" s="106"/>
      <c r="AD34" s="107"/>
      <c r="AE34" s="106"/>
      <c r="AF34" s="116"/>
      <c r="AG34" s="123" t="s">
        <v>87</v>
      </c>
    </row>
    <row r="35" ht="22.5" customHeight="1">
      <c r="A35" s="59">
        <f t="shared" si="4"/>
        <v>7</v>
      </c>
      <c r="B35" s="125" t="s">
        <v>174</v>
      </c>
      <c r="C35" s="64"/>
      <c r="D35" s="64"/>
      <c r="E35" s="64" t="s">
        <v>51</v>
      </c>
      <c r="F35" s="70"/>
      <c r="G35" s="71"/>
      <c r="H35" s="88">
        <v>2.0</v>
      </c>
      <c r="I35" s="90">
        <v>4.0</v>
      </c>
      <c r="J35" s="92">
        <v>45083.0</v>
      </c>
      <c r="K35" s="106" t="b">
        <v>1</v>
      </c>
      <c r="L35" s="103"/>
      <c r="M35" s="101">
        <v>45266.0</v>
      </c>
      <c r="N35" s="437" t="b">
        <v>0</v>
      </c>
      <c r="O35" s="103"/>
      <c r="P35" s="101">
        <v>45449.0</v>
      </c>
      <c r="Q35" s="437" t="b">
        <v>0</v>
      </c>
      <c r="R35" s="439"/>
      <c r="S35" s="107">
        <v>45632.0</v>
      </c>
      <c r="T35" s="106" t="b">
        <v>0</v>
      </c>
      <c r="U35" s="439"/>
      <c r="V35" s="107"/>
      <c r="W35" s="106"/>
      <c r="X35" s="442"/>
      <c r="Y35" s="107"/>
      <c r="Z35" s="106"/>
      <c r="AA35" s="442"/>
      <c r="AB35" s="107"/>
      <c r="AC35" s="106"/>
      <c r="AD35" s="107"/>
      <c r="AE35" s="106"/>
      <c r="AF35" s="262"/>
      <c r="AG35" s="146" t="s">
        <v>251</v>
      </c>
    </row>
    <row r="36" ht="22.5" customHeight="1">
      <c r="A36" s="59">
        <f t="shared" si="4"/>
        <v>8</v>
      </c>
      <c r="B36" s="125" t="s">
        <v>197</v>
      </c>
      <c r="C36" s="64"/>
      <c r="D36" s="64"/>
      <c r="E36" s="64" t="s">
        <v>51</v>
      </c>
      <c r="F36" s="70"/>
      <c r="G36" s="71" t="s">
        <v>256</v>
      </c>
      <c r="H36" s="88">
        <f t="shared" ref="H36:H37" si="5">COUNTIFS(J36:AF36,"True")</f>
        <v>1</v>
      </c>
      <c r="I36" s="90">
        <v>4.0</v>
      </c>
      <c r="J36" s="92">
        <v>45013.0</v>
      </c>
      <c r="K36" s="106" t="b">
        <v>1</v>
      </c>
      <c r="L36" s="103"/>
      <c r="M36" s="101">
        <v>45216.0</v>
      </c>
      <c r="N36" s="106" t="b">
        <v>0</v>
      </c>
      <c r="O36" s="103"/>
      <c r="P36" s="101">
        <v>45399.0</v>
      </c>
      <c r="Q36" s="106" t="b">
        <v>0</v>
      </c>
      <c r="R36" s="278"/>
      <c r="S36" s="107">
        <v>45582.0</v>
      </c>
      <c r="T36" s="106" t="b">
        <v>0</v>
      </c>
      <c r="U36" s="278"/>
      <c r="V36" s="107"/>
      <c r="W36" s="106"/>
      <c r="X36" s="282"/>
      <c r="Y36" s="107"/>
      <c r="Z36" s="106"/>
      <c r="AA36" s="282"/>
      <c r="AB36" s="107"/>
      <c r="AC36" s="106"/>
      <c r="AD36" s="107"/>
      <c r="AE36" s="106"/>
      <c r="AF36" s="288"/>
      <c r="AG36" s="123" t="s">
        <v>165</v>
      </c>
    </row>
    <row r="37" ht="22.5" customHeight="1">
      <c r="A37" s="59">
        <f t="shared" si="4"/>
        <v>9</v>
      </c>
      <c r="B37" s="325" t="s">
        <v>200</v>
      </c>
      <c r="C37" s="324"/>
      <c r="D37" s="324"/>
      <c r="E37" s="324" t="s">
        <v>51</v>
      </c>
      <c r="F37" s="125" t="s">
        <v>395</v>
      </c>
      <c r="G37" s="448" t="s">
        <v>396</v>
      </c>
      <c r="H37" s="268">
        <f t="shared" si="5"/>
        <v>3</v>
      </c>
      <c r="I37" s="269">
        <v>6.0</v>
      </c>
      <c r="J37" s="112">
        <v>44676.0</v>
      </c>
      <c r="K37" s="164" t="b">
        <v>1</v>
      </c>
      <c r="L37" s="103"/>
      <c r="M37" s="107">
        <v>44880.0</v>
      </c>
      <c r="N37" s="164" t="b">
        <v>1</v>
      </c>
      <c r="O37" s="103"/>
      <c r="P37" s="107">
        <v>45120.0</v>
      </c>
      <c r="Q37" s="164" t="b">
        <v>1</v>
      </c>
      <c r="R37" s="278"/>
      <c r="S37" s="107">
        <v>45301.0</v>
      </c>
      <c r="T37" s="164" t="b">
        <v>0</v>
      </c>
      <c r="U37" s="278"/>
      <c r="V37" s="107">
        <v>45483.0</v>
      </c>
      <c r="W37" s="164" t="b">
        <v>0</v>
      </c>
      <c r="X37" s="282"/>
      <c r="Y37" s="107">
        <v>45670.0</v>
      </c>
      <c r="Z37" s="164" t="b">
        <v>0</v>
      </c>
      <c r="AA37" s="282"/>
      <c r="AB37" s="107"/>
      <c r="AC37" s="164"/>
      <c r="AD37" s="107"/>
      <c r="AE37" s="164"/>
      <c r="AF37" s="344"/>
      <c r="AG37" s="146"/>
    </row>
    <row r="38" ht="22.5" customHeight="1">
      <c r="A38" s="59">
        <f t="shared" si="4"/>
        <v>10</v>
      </c>
      <c r="B38" s="125" t="s">
        <v>209</v>
      </c>
      <c r="C38" s="64"/>
      <c r="D38" s="64"/>
      <c r="E38" s="64" t="s">
        <v>51</v>
      </c>
      <c r="F38" s="70"/>
      <c r="G38" s="71"/>
      <c r="H38" s="88">
        <v>2.0</v>
      </c>
      <c r="I38" s="90">
        <v>4.0</v>
      </c>
      <c r="J38" s="92">
        <v>45369.0</v>
      </c>
      <c r="K38" s="106" t="b">
        <v>0</v>
      </c>
      <c r="L38" s="103"/>
      <c r="M38" s="101">
        <v>45546.0</v>
      </c>
      <c r="N38" s="106" t="b">
        <v>1</v>
      </c>
      <c r="O38" s="103" t="s">
        <v>57</v>
      </c>
      <c r="P38" s="101">
        <v>45733.0</v>
      </c>
      <c r="Q38" s="99" t="b">
        <v>0</v>
      </c>
      <c r="R38" s="141"/>
      <c r="S38" s="107">
        <v>45915.0</v>
      </c>
      <c r="T38" s="106" t="b">
        <v>0</v>
      </c>
      <c r="U38" s="141"/>
      <c r="V38" s="107"/>
      <c r="W38" s="106"/>
      <c r="X38" s="144"/>
      <c r="Y38" s="107"/>
      <c r="Z38" s="106"/>
      <c r="AA38" s="144"/>
      <c r="AB38" s="107"/>
      <c r="AC38" s="106"/>
      <c r="AD38" s="107"/>
      <c r="AE38" s="106"/>
      <c r="AF38" s="116"/>
      <c r="AG38" s="146" t="s">
        <v>325</v>
      </c>
    </row>
    <row r="39" ht="22.5" customHeight="1">
      <c r="A39" s="59">
        <f t="shared" si="4"/>
        <v>11</v>
      </c>
      <c r="B39" s="125" t="s">
        <v>210</v>
      </c>
      <c r="C39" s="64"/>
      <c r="D39" s="64"/>
      <c r="E39" s="64" t="s">
        <v>51</v>
      </c>
      <c r="F39" s="70"/>
      <c r="G39" s="71"/>
      <c r="H39" s="88">
        <v>2.0</v>
      </c>
      <c r="I39" s="90">
        <v>4.0</v>
      </c>
      <c r="J39" s="92">
        <v>45299.0</v>
      </c>
      <c r="K39" s="99" t="b">
        <v>0</v>
      </c>
      <c r="L39" s="103" t="s">
        <v>57</v>
      </c>
      <c r="M39" s="101">
        <v>45469.0</v>
      </c>
      <c r="N39" s="99" t="b">
        <v>0</v>
      </c>
      <c r="O39" s="103"/>
      <c r="P39" s="101">
        <v>45652.0</v>
      </c>
      <c r="Q39" s="99" t="b">
        <v>0</v>
      </c>
      <c r="R39" s="141"/>
      <c r="S39" s="107">
        <v>45834.0</v>
      </c>
      <c r="T39" s="106" t="b">
        <v>0</v>
      </c>
      <c r="U39" s="141"/>
      <c r="V39" s="107"/>
      <c r="W39" s="106"/>
      <c r="X39" s="144"/>
      <c r="Y39" s="107"/>
      <c r="Z39" s="106"/>
      <c r="AA39" s="144"/>
      <c r="AB39" s="107"/>
      <c r="AC39" s="106"/>
      <c r="AD39" s="107"/>
      <c r="AE39" s="106"/>
      <c r="AF39" s="116"/>
      <c r="AG39" s="401"/>
    </row>
    <row r="40" ht="22.5" customHeight="1">
      <c r="A40" s="59">
        <f t="shared" si="4"/>
        <v>12</v>
      </c>
      <c r="B40" s="125" t="s">
        <v>222</v>
      </c>
      <c r="C40" s="64"/>
      <c r="D40" s="64"/>
      <c r="E40" s="64" t="s">
        <v>51</v>
      </c>
      <c r="F40" s="70" t="s">
        <v>297</v>
      </c>
      <c r="G40" s="71" t="s">
        <v>412</v>
      </c>
      <c r="H40" s="88">
        <f>COUNTIFS(J40:AF40,"True")</f>
        <v>1</v>
      </c>
      <c r="I40" s="90">
        <v>4.0</v>
      </c>
      <c r="J40" s="92">
        <v>44987.0</v>
      </c>
      <c r="K40" s="106" t="b">
        <v>1</v>
      </c>
      <c r="L40" s="103"/>
      <c r="M40" s="101">
        <v>45184.0</v>
      </c>
      <c r="N40" s="106" t="b">
        <v>0</v>
      </c>
      <c r="O40" s="103"/>
      <c r="P40" s="101">
        <v>45366.0</v>
      </c>
      <c r="Q40" s="106" t="b">
        <v>0</v>
      </c>
      <c r="R40" s="278"/>
      <c r="S40" s="107">
        <v>45551.0</v>
      </c>
      <c r="T40" s="106" t="b">
        <v>0</v>
      </c>
      <c r="U40" s="278"/>
      <c r="V40" s="107"/>
      <c r="W40" s="106"/>
      <c r="X40" s="282"/>
      <c r="Y40" s="107"/>
      <c r="Z40" s="106"/>
      <c r="AA40" s="282"/>
      <c r="AB40" s="107"/>
      <c r="AC40" s="106"/>
      <c r="AD40" s="107"/>
      <c r="AE40" s="106"/>
      <c r="AF40" s="116"/>
      <c r="AG40" s="146" t="s">
        <v>186</v>
      </c>
    </row>
    <row r="41" ht="22.5" customHeight="1">
      <c r="A41" s="59">
        <f t="shared" si="4"/>
        <v>13</v>
      </c>
      <c r="B41" s="125" t="s">
        <v>231</v>
      </c>
      <c r="C41" s="64"/>
      <c r="D41" s="64"/>
      <c r="E41" s="64" t="s">
        <v>51</v>
      </c>
      <c r="F41" s="70"/>
      <c r="G41" s="71" t="s">
        <v>319</v>
      </c>
      <c r="H41" s="88">
        <v>1.0</v>
      </c>
      <c r="I41" s="90">
        <v>2.0</v>
      </c>
      <c r="J41" s="92">
        <v>45148.0</v>
      </c>
      <c r="K41" s="99" t="b">
        <v>0</v>
      </c>
      <c r="L41" s="103"/>
      <c r="M41" s="101">
        <v>45334.0</v>
      </c>
      <c r="N41" s="99" t="b">
        <v>0</v>
      </c>
      <c r="O41" s="103"/>
      <c r="P41" s="101"/>
      <c r="Q41" s="99"/>
      <c r="R41" s="141"/>
      <c r="S41" s="107"/>
      <c r="T41" s="106" t="b">
        <v>0</v>
      </c>
      <c r="U41" s="141"/>
      <c r="V41" s="107"/>
      <c r="W41" s="106"/>
      <c r="X41" s="144"/>
      <c r="Y41" s="107"/>
      <c r="Z41" s="106"/>
      <c r="AA41" s="144"/>
      <c r="AB41" s="107"/>
      <c r="AC41" s="106"/>
      <c r="AD41" s="107"/>
      <c r="AE41" s="106"/>
      <c r="AF41" s="116"/>
      <c r="AG41" s="146" t="s">
        <v>115</v>
      </c>
    </row>
    <row r="42" ht="22.5" customHeight="1">
      <c r="A42" s="59">
        <f t="shared" si="4"/>
        <v>14</v>
      </c>
      <c r="B42" s="125" t="s">
        <v>342</v>
      </c>
      <c r="C42" s="64"/>
      <c r="D42" s="64"/>
      <c r="E42" s="64" t="s">
        <v>51</v>
      </c>
      <c r="F42" s="70" t="s">
        <v>419</v>
      </c>
      <c r="G42" s="71"/>
      <c r="H42" s="88">
        <v>2.0</v>
      </c>
      <c r="I42" s="90">
        <v>4.0</v>
      </c>
      <c r="J42" s="92">
        <v>45208.0</v>
      </c>
      <c r="K42" s="130" t="b">
        <v>0</v>
      </c>
      <c r="L42" s="103"/>
      <c r="M42" s="101">
        <v>45334.0</v>
      </c>
      <c r="N42" s="130" t="b">
        <v>0</v>
      </c>
      <c r="O42" s="103"/>
      <c r="P42" s="101">
        <v>45453.0</v>
      </c>
      <c r="Q42" s="130" t="b">
        <v>0</v>
      </c>
      <c r="R42" s="141"/>
      <c r="S42" s="107">
        <v>45575.0</v>
      </c>
      <c r="T42" s="106" t="b">
        <v>0</v>
      </c>
      <c r="U42" s="141"/>
      <c r="V42" s="107"/>
      <c r="W42" s="106"/>
      <c r="X42" s="144"/>
      <c r="Y42" s="107"/>
      <c r="Z42" s="106"/>
      <c r="AA42" s="144"/>
      <c r="AB42" s="107"/>
      <c r="AC42" s="106"/>
      <c r="AD42" s="107"/>
      <c r="AE42" s="106"/>
      <c r="AF42" s="116"/>
      <c r="AG42" s="131"/>
    </row>
    <row r="43" ht="22.5" customHeight="1">
      <c r="A43" s="59">
        <f t="shared" si="4"/>
        <v>15</v>
      </c>
      <c r="B43" s="125" t="s">
        <v>426</v>
      </c>
      <c r="C43" s="64"/>
      <c r="D43" s="64"/>
      <c r="E43" s="64" t="s">
        <v>51</v>
      </c>
      <c r="F43" s="70"/>
      <c r="G43" s="71" t="s">
        <v>427</v>
      </c>
      <c r="H43" s="88">
        <f t="shared" ref="H43:H46" si="6">COUNTIFS(J43:AF43,"True")</f>
        <v>2</v>
      </c>
      <c r="I43" s="90">
        <v>4.0</v>
      </c>
      <c r="J43" s="92">
        <v>45019.0</v>
      </c>
      <c r="K43" s="106" t="b">
        <v>1</v>
      </c>
      <c r="L43" s="103"/>
      <c r="M43" s="101">
        <v>45201.0</v>
      </c>
      <c r="N43" s="106" t="b">
        <v>1</v>
      </c>
      <c r="O43" s="103"/>
      <c r="P43" s="101">
        <v>45386.0</v>
      </c>
      <c r="Q43" s="106" t="b">
        <v>0</v>
      </c>
      <c r="R43" s="278"/>
      <c r="S43" s="107">
        <v>45569.0</v>
      </c>
      <c r="T43" s="106" t="b">
        <v>0</v>
      </c>
      <c r="U43" s="278"/>
      <c r="V43" s="107"/>
      <c r="W43" s="106"/>
      <c r="X43" s="282"/>
      <c r="Y43" s="107"/>
      <c r="Z43" s="106"/>
      <c r="AA43" s="282"/>
      <c r="AB43" s="107"/>
      <c r="AC43" s="106"/>
      <c r="AD43" s="107"/>
      <c r="AE43" s="106"/>
      <c r="AF43" s="288"/>
      <c r="AG43" s="146" t="s">
        <v>385</v>
      </c>
    </row>
    <row r="44" ht="22.5" customHeight="1">
      <c r="A44" s="59">
        <f t="shared" si="4"/>
        <v>16</v>
      </c>
      <c r="B44" s="125" t="s">
        <v>356</v>
      </c>
      <c r="C44" s="64"/>
      <c r="D44" s="64"/>
      <c r="E44" s="64" t="s">
        <v>51</v>
      </c>
      <c r="F44" s="70" t="s">
        <v>436</v>
      </c>
      <c r="G44" s="71" t="s">
        <v>437</v>
      </c>
      <c r="H44" s="88">
        <f t="shared" si="6"/>
        <v>2</v>
      </c>
      <c r="I44" s="90">
        <v>4.0</v>
      </c>
      <c r="J44" s="92">
        <v>44932.0</v>
      </c>
      <c r="K44" s="98" t="b">
        <v>1</v>
      </c>
      <c r="L44" s="103"/>
      <c r="M44" s="101">
        <v>44675.0</v>
      </c>
      <c r="N44" s="98" t="b">
        <v>1</v>
      </c>
      <c r="O44" s="103"/>
      <c r="P44" s="101">
        <v>45223.0</v>
      </c>
      <c r="Q44" s="98" t="b">
        <v>0</v>
      </c>
      <c r="R44" s="278"/>
      <c r="S44" s="107">
        <v>45404.0</v>
      </c>
      <c r="T44" s="106" t="b">
        <v>0</v>
      </c>
      <c r="U44" s="278"/>
      <c r="V44" s="107"/>
      <c r="W44" s="106"/>
      <c r="X44" s="282"/>
      <c r="Y44" s="107"/>
      <c r="Z44" s="106"/>
      <c r="AA44" s="282"/>
      <c r="AB44" s="107"/>
      <c r="AC44" s="106"/>
      <c r="AD44" s="107"/>
      <c r="AE44" s="106"/>
      <c r="AF44" s="116"/>
      <c r="AG44" s="131"/>
    </row>
    <row r="45" ht="22.5" customHeight="1">
      <c r="A45" s="59">
        <f t="shared" si="4"/>
        <v>17</v>
      </c>
      <c r="B45" s="125" t="s">
        <v>439</v>
      </c>
      <c r="C45" s="64"/>
      <c r="D45" s="64"/>
      <c r="E45" s="64" t="s">
        <v>51</v>
      </c>
      <c r="F45" s="70" t="s">
        <v>441</v>
      </c>
      <c r="G45" s="71" t="s">
        <v>442</v>
      </c>
      <c r="H45" s="88">
        <f t="shared" si="6"/>
        <v>2</v>
      </c>
      <c r="I45" s="90">
        <v>4.0</v>
      </c>
      <c r="J45" s="92">
        <v>44562.0</v>
      </c>
      <c r="K45" s="106" t="b">
        <v>1</v>
      </c>
      <c r="L45" s="103"/>
      <c r="M45" s="101">
        <v>45091.0</v>
      </c>
      <c r="N45" s="106" t="b">
        <v>1</v>
      </c>
      <c r="O45" s="103"/>
      <c r="P45" s="101">
        <v>45271.0</v>
      </c>
      <c r="Q45" s="106" t="b">
        <v>0</v>
      </c>
      <c r="R45" s="278"/>
      <c r="S45" s="107">
        <v>45453.0</v>
      </c>
      <c r="T45" s="106" t="b">
        <v>0</v>
      </c>
      <c r="U45" s="278"/>
      <c r="V45" s="107"/>
      <c r="W45" s="106"/>
      <c r="X45" s="282"/>
      <c r="Y45" s="107"/>
      <c r="Z45" s="106"/>
      <c r="AA45" s="282"/>
      <c r="AB45" s="107"/>
      <c r="AC45" s="106"/>
      <c r="AD45" s="107"/>
      <c r="AE45" s="106"/>
      <c r="AF45" s="288"/>
      <c r="AG45" s="146" t="s">
        <v>398</v>
      </c>
    </row>
    <row r="46" ht="22.5" customHeight="1">
      <c r="A46" s="59">
        <f t="shared" si="4"/>
        <v>18</v>
      </c>
      <c r="B46" s="61" t="s">
        <v>386</v>
      </c>
      <c r="C46" s="64"/>
      <c r="D46" s="64"/>
      <c r="E46" s="64" t="s">
        <v>55</v>
      </c>
      <c r="F46" s="70" t="s">
        <v>445</v>
      </c>
      <c r="G46" s="71">
        <v>6.043294709E9</v>
      </c>
      <c r="H46" s="88">
        <f t="shared" si="6"/>
        <v>2</v>
      </c>
      <c r="I46" s="90">
        <v>2.0</v>
      </c>
      <c r="J46" s="92">
        <v>44562.0</v>
      </c>
      <c r="K46" s="106" t="b">
        <v>1</v>
      </c>
      <c r="L46" s="103"/>
      <c r="M46" s="101">
        <v>45008.0</v>
      </c>
      <c r="N46" s="106" t="b">
        <v>1</v>
      </c>
      <c r="O46" s="103"/>
      <c r="P46" s="101"/>
      <c r="Q46" s="106" t="b">
        <v>0</v>
      </c>
      <c r="R46" s="278"/>
      <c r="S46" s="107"/>
      <c r="T46" s="106" t="b">
        <v>0</v>
      </c>
      <c r="U46" s="278"/>
      <c r="V46" s="107"/>
      <c r="W46" s="106" t="b">
        <v>0</v>
      </c>
      <c r="X46" s="282"/>
      <c r="Y46" s="107"/>
      <c r="Z46" s="106" t="b">
        <v>0</v>
      </c>
      <c r="AA46" s="282"/>
      <c r="AB46" s="107"/>
      <c r="AC46" s="106"/>
      <c r="AD46" s="107"/>
      <c r="AE46" s="106"/>
      <c r="AF46" s="297" t="s">
        <v>447</v>
      </c>
      <c r="AG46" s="146" t="s">
        <v>400</v>
      </c>
    </row>
    <row r="47" ht="22.5" customHeight="1">
      <c r="A47" s="59">
        <f t="shared" si="4"/>
        <v>19</v>
      </c>
      <c r="B47" s="125" t="s">
        <v>449</v>
      </c>
      <c r="C47" s="64"/>
      <c r="D47" s="64"/>
      <c r="E47" s="64" t="s">
        <v>51</v>
      </c>
      <c r="F47" s="70" t="s">
        <v>450</v>
      </c>
      <c r="G47" s="71"/>
      <c r="H47" s="88">
        <v>2.0</v>
      </c>
      <c r="I47" s="90">
        <v>4.0</v>
      </c>
      <c r="J47" s="92">
        <v>44949.0</v>
      </c>
      <c r="K47" s="106" t="b">
        <v>1</v>
      </c>
      <c r="L47" s="103"/>
      <c r="M47" s="101">
        <v>45191.0</v>
      </c>
      <c r="N47" s="106" t="b">
        <v>0</v>
      </c>
      <c r="O47" s="103"/>
      <c r="P47" s="101">
        <v>45313.0</v>
      </c>
      <c r="Q47" s="106" t="b">
        <v>0</v>
      </c>
      <c r="R47" s="278"/>
      <c r="S47" s="107">
        <v>45558.0</v>
      </c>
      <c r="T47" s="106" t="b">
        <v>0</v>
      </c>
      <c r="U47" s="278"/>
      <c r="V47" s="107"/>
      <c r="W47" s="106"/>
      <c r="X47" s="282"/>
      <c r="Y47" s="107"/>
      <c r="Z47" s="106"/>
      <c r="AA47" s="282"/>
      <c r="AB47" s="107"/>
      <c r="AC47" s="106"/>
      <c r="AD47" s="107"/>
      <c r="AE47" s="106"/>
      <c r="AF47" s="288"/>
      <c r="AG47" s="131"/>
    </row>
    <row r="48" ht="22.5" customHeight="1">
      <c r="A48" s="59">
        <f t="shared" si="4"/>
        <v>20</v>
      </c>
      <c r="B48" s="125" t="s">
        <v>399</v>
      </c>
      <c r="C48" s="64"/>
      <c r="D48" s="64"/>
      <c r="E48" s="64" t="s">
        <v>51</v>
      </c>
      <c r="F48" s="70"/>
      <c r="G48" s="71"/>
      <c r="H48" s="88">
        <f>COUNTIFS(J48:AF48,"True")</f>
        <v>1</v>
      </c>
      <c r="I48" s="90">
        <v>4.0</v>
      </c>
      <c r="J48" s="92">
        <v>45008.0</v>
      </c>
      <c r="K48" s="106" t="b">
        <v>1</v>
      </c>
      <c r="L48" s="103"/>
      <c r="M48" s="101">
        <v>45188.0</v>
      </c>
      <c r="N48" s="106" t="b">
        <v>0</v>
      </c>
      <c r="O48" s="103"/>
      <c r="P48" s="101">
        <v>45370.0</v>
      </c>
      <c r="Q48" s="106" t="b">
        <v>0</v>
      </c>
      <c r="R48" s="278"/>
      <c r="S48" s="107">
        <v>45554.0</v>
      </c>
      <c r="T48" s="106" t="b">
        <v>0</v>
      </c>
      <c r="U48" s="278"/>
      <c r="V48" s="107"/>
      <c r="W48" s="106"/>
      <c r="X48" s="282"/>
      <c r="Y48" s="107"/>
      <c r="Z48" s="106"/>
      <c r="AA48" s="282"/>
      <c r="AB48" s="107"/>
      <c r="AC48" s="106"/>
      <c r="AD48" s="107"/>
      <c r="AE48" s="106"/>
      <c r="AF48" s="288"/>
      <c r="AG48" s="131"/>
    </row>
    <row r="49" ht="22.5" customHeight="1">
      <c r="A49" s="59">
        <f t="shared" si="4"/>
        <v>21</v>
      </c>
      <c r="B49" s="125" t="s">
        <v>456</v>
      </c>
      <c r="C49" s="64"/>
      <c r="D49" s="64"/>
      <c r="E49" s="64" t="s">
        <v>51</v>
      </c>
      <c r="F49" s="70"/>
      <c r="G49" s="71"/>
      <c r="H49" s="88">
        <v>2.0</v>
      </c>
      <c r="I49" s="90">
        <v>4.0</v>
      </c>
      <c r="J49" s="92">
        <v>45342.0</v>
      </c>
      <c r="K49" s="99" t="b">
        <v>0</v>
      </c>
      <c r="L49" s="103"/>
      <c r="M49" s="101">
        <v>45524.0</v>
      </c>
      <c r="N49" s="99" t="b">
        <v>0</v>
      </c>
      <c r="O49" s="103"/>
      <c r="P49" s="101">
        <v>45708.0</v>
      </c>
      <c r="Q49" s="99" t="b">
        <v>0</v>
      </c>
      <c r="R49" s="141"/>
      <c r="S49" s="107">
        <v>45889.0</v>
      </c>
      <c r="T49" s="106" t="b">
        <v>0</v>
      </c>
      <c r="U49" s="141"/>
      <c r="V49" s="107"/>
      <c r="W49" s="106"/>
      <c r="X49" s="144"/>
      <c r="Y49" s="107"/>
      <c r="Z49" s="106"/>
      <c r="AA49" s="144"/>
      <c r="AB49" s="107"/>
      <c r="AC49" s="106"/>
      <c r="AD49" s="107"/>
      <c r="AE49" s="106"/>
      <c r="AF49" s="116"/>
      <c r="AG49" s="146"/>
    </row>
    <row r="50" ht="22.5" customHeight="1">
      <c r="A50" s="59">
        <f t="shared" si="4"/>
        <v>22</v>
      </c>
      <c r="B50" s="125" t="s">
        <v>404</v>
      </c>
      <c r="C50" s="265"/>
      <c r="D50" s="265"/>
      <c r="E50" s="265" t="s">
        <v>51</v>
      </c>
      <c r="F50" s="125"/>
      <c r="G50" s="266"/>
      <c r="H50" s="268">
        <f t="shared" ref="H50:H51" si="7">COUNTIFS(J50:AF50,"True")</f>
        <v>3</v>
      </c>
      <c r="I50" s="269">
        <v>4.0</v>
      </c>
      <c r="J50" s="112">
        <v>44881.0</v>
      </c>
      <c r="K50" s="164" t="b">
        <v>1</v>
      </c>
      <c r="L50" s="103"/>
      <c r="M50" s="107">
        <v>44999.0</v>
      </c>
      <c r="N50" s="164" t="b">
        <v>1</v>
      </c>
      <c r="O50" s="103"/>
      <c r="P50" s="107">
        <v>45121.0</v>
      </c>
      <c r="Q50" s="164" t="b">
        <v>1</v>
      </c>
      <c r="R50" s="278"/>
      <c r="S50" s="107">
        <v>45306.0</v>
      </c>
      <c r="T50" s="164" t="b">
        <v>0</v>
      </c>
      <c r="U50" s="278"/>
      <c r="V50" s="107"/>
      <c r="W50" s="164"/>
      <c r="X50" s="282"/>
      <c r="Y50" s="107"/>
      <c r="Z50" s="164"/>
      <c r="AA50" s="282"/>
      <c r="AB50" s="107"/>
      <c r="AC50" s="164"/>
      <c r="AD50" s="107"/>
      <c r="AE50" s="164"/>
      <c r="AF50" s="283"/>
      <c r="AG50" s="146"/>
    </row>
    <row r="51" ht="22.5" customHeight="1">
      <c r="A51" s="59">
        <f t="shared" si="4"/>
        <v>23</v>
      </c>
      <c r="B51" s="125" t="s">
        <v>411</v>
      </c>
      <c r="C51" s="64"/>
      <c r="D51" s="64"/>
      <c r="E51" s="64" t="s">
        <v>51</v>
      </c>
      <c r="F51" s="70" t="s">
        <v>468</v>
      </c>
      <c r="G51" s="71" t="s">
        <v>469</v>
      </c>
      <c r="H51" s="88">
        <f t="shared" si="7"/>
        <v>1</v>
      </c>
      <c r="I51" s="90">
        <v>4.0</v>
      </c>
      <c r="J51" s="92">
        <v>44939.0</v>
      </c>
      <c r="K51" s="106" t="b">
        <v>1</v>
      </c>
      <c r="L51" s="103"/>
      <c r="M51" s="171">
        <v>45180.0</v>
      </c>
      <c r="N51" s="106" t="b">
        <v>0</v>
      </c>
      <c r="O51" s="103"/>
      <c r="P51" s="171">
        <v>45302.0</v>
      </c>
      <c r="Q51" s="106" t="b">
        <v>0</v>
      </c>
      <c r="R51" s="278"/>
      <c r="S51" s="107">
        <v>45544.0</v>
      </c>
      <c r="T51" s="106" t="b">
        <v>0</v>
      </c>
      <c r="U51" s="278"/>
      <c r="V51" s="107"/>
      <c r="W51" s="106"/>
      <c r="X51" s="282"/>
      <c r="Y51" s="107"/>
      <c r="Z51" s="106"/>
      <c r="AA51" s="282"/>
      <c r="AB51" s="107"/>
      <c r="AC51" s="106"/>
      <c r="AD51" s="107"/>
      <c r="AE51" s="106"/>
      <c r="AF51" s="288"/>
      <c r="AG51" s="131"/>
    </row>
    <row r="52" ht="22.5" customHeight="1">
      <c r="A52" s="59">
        <f t="shared" si="4"/>
        <v>24</v>
      </c>
      <c r="B52" s="125" t="s">
        <v>474</v>
      </c>
      <c r="C52" s="64"/>
      <c r="D52" s="64"/>
      <c r="E52" s="64" t="s">
        <v>51</v>
      </c>
      <c r="F52" s="70"/>
      <c r="G52" s="71"/>
      <c r="H52" s="88">
        <v>2.0</v>
      </c>
      <c r="I52" s="90">
        <v>4.0</v>
      </c>
      <c r="J52" s="92">
        <v>45250.0</v>
      </c>
      <c r="K52" s="99" t="b">
        <v>0</v>
      </c>
      <c r="L52" s="103"/>
      <c r="M52" s="171">
        <v>45432.0</v>
      </c>
      <c r="N52" s="99" t="b">
        <v>0</v>
      </c>
      <c r="O52" s="103"/>
      <c r="P52" s="171">
        <v>45617.0</v>
      </c>
      <c r="Q52" s="99" t="b">
        <v>0</v>
      </c>
      <c r="R52" s="141"/>
      <c r="S52" s="107">
        <v>45798.0</v>
      </c>
      <c r="T52" s="106" t="b">
        <v>0</v>
      </c>
      <c r="U52" s="141"/>
      <c r="V52" s="107"/>
      <c r="W52" s="106"/>
      <c r="X52" s="144"/>
      <c r="Y52" s="107"/>
      <c r="Z52" s="106"/>
      <c r="AA52" s="144"/>
      <c r="AB52" s="107"/>
      <c r="AC52" s="106"/>
      <c r="AD52" s="107"/>
      <c r="AE52" s="106"/>
      <c r="AF52" s="116"/>
      <c r="AG52" s="118"/>
    </row>
    <row r="53" ht="22.5" customHeight="1">
      <c r="A53" s="59">
        <f t="shared" si="4"/>
        <v>25</v>
      </c>
      <c r="B53" s="125" t="s">
        <v>416</v>
      </c>
      <c r="C53" s="64"/>
      <c r="D53" s="64"/>
      <c r="E53" s="64" t="s">
        <v>51</v>
      </c>
      <c r="F53" s="70"/>
      <c r="G53" s="71" t="s">
        <v>477</v>
      </c>
      <c r="H53" s="88">
        <v>2.0</v>
      </c>
      <c r="I53" s="90">
        <v>4.0</v>
      </c>
      <c r="J53" s="92">
        <v>45104.0</v>
      </c>
      <c r="K53" s="106" t="b">
        <v>1</v>
      </c>
      <c r="L53" s="103"/>
      <c r="M53" s="101">
        <v>45280.0</v>
      </c>
      <c r="N53" s="99" t="b">
        <v>0</v>
      </c>
      <c r="O53" s="103"/>
      <c r="P53" s="101">
        <v>45463.0</v>
      </c>
      <c r="Q53" s="99" t="b">
        <v>0</v>
      </c>
      <c r="R53" s="141"/>
      <c r="S53" s="107">
        <v>45646.0</v>
      </c>
      <c r="T53" s="106" t="b">
        <v>0</v>
      </c>
      <c r="U53" s="141"/>
      <c r="V53" s="107"/>
      <c r="W53" s="106"/>
      <c r="X53" s="144"/>
      <c r="Y53" s="107"/>
      <c r="Z53" s="106"/>
      <c r="AA53" s="144"/>
      <c r="AB53" s="107"/>
      <c r="AC53" s="106"/>
      <c r="AD53" s="107"/>
      <c r="AE53" s="106"/>
      <c r="AF53" s="262"/>
      <c r="AG53" s="118"/>
    </row>
    <row r="54" ht="22.5" customHeight="1">
      <c r="A54" s="59">
        <f t="shared" si="4"/>
        <v>26</v>
      </c>
      <c r="B54" s="125" t="s">
        <v>428</v>
      </c>
      <c r="C54" s="64"/>
      <c r="D54" s="64"/>
      <c r="E54" s="64" t="s">
        <v>51</v>
      </c>
      <c r="F54" s="70" t="s">
        <v>479</v>
      </c>
      <c r="G54" s="71"/>
      <c r="H54" s="88">
        <f t="shared" ref="H54:H57" si="8">COUNTIFS(J54:AF54,"True")</f>
        <v>2</v>
      </c>
      <c r="I54" s="90">
        <v>2.0</v>
      </c>
      <c r="J54" s="92">
        <v>44562.0</v>
      </c>
      <c r="K54" s="98" t="b">
        <v>1</v>
      </c>
      <c r="L54" s="103"/>
      <c r="M54" s="101">
        <v>45086.0</v>
      </c>
      <c r="N54" s="98" t="b">
        <v>1</v>
      </c>
      <c r="O54" s="103"/>
      <c r="P54" s="101"/>
      <c r="Q54" s="98"/>
      <c r="R54" s="278"/>
      <c r="S54" s="107"/>
      <c r="T54" s="106"/>
      <c r="U54" s="278"/>
      <c r="V54" s="107"/>
      <c r="W54" s="106"/>
      <c r="X54" s="282"/>
      <c r="Y54" s="107"/>
      <c r="Z54" s="106"/>
      <c r="AA54" s="282"/>
      <c r="AB54" s="107"/>
      <c r="AC54" s="106"/>
      <c r="AD54" s="107"/>
      <c r="AE54" s="106"/>
      <c r="AF54" s="116" t="s">
        <v>58</v>
      </c>
      <c r="AG54" s="118"/>
    </row>
    <row r="55" ht="22.5" customHeight="1">
      <c r="A55" s="59">
        <f t="shared" si="4"/>
        <v>27</v>
      </c>
      <c r="B55" s="125" t="s">
        <v>438</v>
      </c>
      <c r="C55" s="64"/>
      <c r="D55" s="64"/>
      <c r="E55" s="64" t="s">
        <v>51</v>
      </c>
      <c r="F55" s="70"/>
      <c r="G55" s="71">
        <v>8.98119674E8</v>
      </c>
      <c r="H55" s="88">
        <f t="shared" si="8"/>
        <v>3</v>
      </c>
      <c r="I55" s="90">
        <v>4.0</v>
      </c>
      <c r="J55" s="92">
        <v>44562.0</v>
      </c>
      <c r="K55" s="98" t="b">
        <v>1</v>
      </c>
      <c r="L55" s="103"/>
      <c r="M55" s="101">
        <v>44562.0</v>
      </c>
      <c r="N55" s="98" t="b">
        <v>1</v>
      </c>
      <c r="O55" s="103"/>
      <c r="P55" s="101">
        <v>45082.0</v>
      </c>
      <c r="Q55" s="98" t="b">
        <v>1</v>
      </c>
      <c r="R55" s="278"/>
      <c r="S55" s="107">
        <v>45239.0</v>
      </c>
      <c r="T55" s="106" t="b">
        <v>0</v>
      </c>
      <c r="U55" s="278"/>
      <c r="V55" s="107"/>
      <c r="W55" s="106"/>
      <c r="X55" s="282"/>
      <c r="Y55" s="107"/>
      <c r="Z55" s="106"/>
      <c r="AA55" s="282"/>
      <c r="AB55" s="107"/>
      <c r="AC55" s="106"/>
      <c r="AD55" s="107"/>
      <c r="AE55" s="106"/>
      <c r="AF55" s="116"/>
      <c r="AG55" s="118"/>
    </row>
    <row r="56" ht="22.5" customHeight="1">
      <c r="A56" s="59">
        <f t="shared" si="4"/>
        <v>28</v>
      </c>
      <c r="B56" s="125" t="s">
        <v>485</v>
      </c>
      <c r="C56" s="301"/>
      <c r="D56" s="301"/>
      <c r="E56" s="301" t="s">
        <v>51</v>
      </c>
      <c r="F56" s="70" t="s">
        <v>487</v>
      </c>
      <c r="G56" s="71" t="s">
        <v>488</v>
      </c>
      <c r="H56" s="88">
        <f t="shared" si="8"/>
        <v>4</v>
      </c>
      <c r="I56" s="90">
        <v>8.0</v>
      </c>
      <c r="J56" s="92">
        <v>44562.0</v>
      </c>
      <c r="K56" s="98" t="b">
        <v>1</v>
      </c>
      <c r="L56" s="103"/>
      <c r="M56" s="101">
        <v>44562.0</v>
      </c>
      <c r="N56" s="98" t="b">
        <v>1</v>
      </c>
      <c r="O56" s="103"/>
      <c r="P56" s="101">
        <v>44562.0</v>
      </c>
      <c r="Q56" s="98" t="b">
        <v>1</v>
      </c>
      <c r="R56" s="278"/>
      <c r="S56" s="101">
        <v>44562.0</v>
      </c>
      <c r="T56" s="106" t="b">
        <v>1</v>
      </c>
      <c r="U56" s="278"/>
      <c r="V56" s="107">
        <v>45240.0</v>
      </c>
      <c r="W56" s="106" t="b">
        <v>0</v>
      </c>
      <c r="X56" s="282"/>
      <c r="Y56" s="107">
        <v>45422.0</v>
      </c>
      <c r="Z56" s="106" t="b">
        <v>0</v>
      </c>
      <c r="AA56" s="282"/>
      <c r="AB56" s="107">
        <v>45607.0</v>
      </c>
      <c r="AC56" s="106" t="b">
        <v>0</v>
      </c>
      <c r="AD56" s="107">
        <v>45789.0</v>
      </c>
      <c r="AE56" s="106" t="b">
        <v>0</v>
      </c>
      <c r="AF56" s="116"/>
      <c r="AG56" s="118"/>
    </row>
    <row r="57" ht="22.5" customHeight="1">
      <c r="A57" s="59">
        <f t="shared" si="4"/>
        <v>29</v>
      </c>
      <c r="B57" s="125" t="s">
        <v>478</v>
      </c>
      <c r="C57" s="64"/>
      <c r="D57" s="64"/>
      <c r="E57" s="64" t="s">
        <v>51</v>
      </c>
      <c r="F57" s="70" t="s">
        <v>491</v>
      </c>
      <c r="G57" s="71"/>
      <c r="H57" s="88">
        <f t="shared" si="8"/>
        <v>3</v>
      </c>
      <c r="I57" s="90">
        <v>4.0</v>
      </c>
      <c r="J57" s="92">
        <v>44927.0</v>
      </c>
      <c r="K57" s="98" t="b">
        <v>1</v>
      </c>
      <c r="L57" s="103"/>
      <c r="M57" s="101">
        <v>44562.0</v>
      </c>
      <c r="N57" s="98" t="b">
        <v>1</v>
      </c>
      <c r="O57" s="103"/>
      <c r="P57" s="101">
        <v>44562.0</v>
      </c>
      <c r="Q57" s="98" t="b">
        <v>1</v>
      </c>
      <c r="R57" s="278"/>
      <c r="S57" s="107">
        <v>45040.0</v>
      </c>
      <c r="T57" s="106" t="b">
        <v>0</v>
      </c>
      <c r="U57" s="278"/>
      <c r="V57" s="107"/>
      <c r="W57" s="106"/>
      <c r="X57" s="282"/>
      <c r="Y57" s="107"/>
      <c r="Z57" s="106"/>
      <c r="AA57" s="282"/>
      <c r="AB57" s="107"/>
      <c r="AC57" s="106"/>
      <c r="AD57" s="107"/>
      <c r="AE57" s="106"/>
      <c r="AF57" s="262"/>
      <c r="AG57" s="118"/>
    </row>
    <row r="58" ht="22.5" customHeight="1">
      <c r="A58" s="59">
        <f t="shared" si="4"/>
        <v>30</v>
      </c>
      <c r="B58" s="125" t="s">
        <v>495</v>
      </c>
      <c r="C58" s="64"/>
      <c r="D58" s="64"/>
      <c r="E58" s="64" t="s">
        <v>51</v>
      </c>
      <c r="F58" s="70"/>
      <c r="G58" s="71"/>
      <c r="H58" s="88">
        <v>2.0</v>
      </c>
      <c r="I58" s="90">
        <v>4.0</v>
      </c>
      <c r="J58" s="92">
        <v>45309.0</v>
      </c>
      <c r="K58" s="130" t="b">
        <v>0</v>
      </c>
      <c r="L58" s="103"/>
      <c r="M58" s="101">
        <v>45428.0</v>
      </c>
      <c r="N58" s="130" t="b">
        <v>0</v>
      </c>
      <c r="O58" s="103"/>
      <c r="P58" s="101">
        <v>45916.0</v>
      </c>
      <c r="Q58" s="130" t="b">
        <v>0</v>
      </c>
      <c r="R58" s="141"/>
      <c r="S58" s="107">
        <v>45672.0</v>
      </c>
      <c r="T58" s="106" t="b">
        <v>0</v>
      </c>
      <c r="U58" s="141"/>
      <c r="V58" s="107"/>
      <c r="W58" s="106"/>
      <c r="X58" s="144"/>
      <c r="Y58" s="107"/>
      <c r="Z58" s="106"/>
      <c r="AA58" s="144"/>
      <c r="AB58" s="107"/>
      <c r="AC58" s="106"/>
      <c r="AD58" s="107"/>
      <c r="AE58" s="106"/>
      <c r="AF58" s="116"/>
      <c r="AG58" s="118"/>
    </row>
    <row r="59" ht="22.5" customHeight="1">
      <c r="A59" s="59">
        <f t="shared" si="4"/>
        <v>31</v>
      </c>
      <c r="B59" s="125" t="s">
        <v>501</v>
      </c>
      <c r="C59" s="64"/>
      <c r="D59" s="64"/>
      <c r="E59" s="64" t="s">
        <v>51</v>
      </c>
      <c r="F59" s="70"/>
      <c r="G59" s="71"/>
      <c r="H59" s="88">
        <v>2.0</v>
      </c>
      <c r="I59" s="90">
        <v>4.0</v>
      </c>
      <c r="J59" s="92">
        <v>45265.0</v>
      </c>
      <c r="K59" s="130" t="b">
        <v>0</v>
      </c>
      <c r="L59" s="103"/>
      <c r="M59" s="101">
        <v>45448.0</v>
      </c>
      <c r="N59" s="130" t="b">
        <v>0</v>
      </c>
      <c r="O59" s="103"/>
      <c r="P59" s="101">
        <v>45631.0</v>
      </c>
      <c r="Q59" s="130" t="b">
        <v>0</v>
      </c>
      <c r="R59" s="141"/>
      <c r="S59" s="107">
        <v>45813.0</v>
      </c>
      <c r="T59" s="106" t="b">
        <v>0</v>
      </c>
      <c r="U59" s="141"/>
      <c r="V59" s="107"/>
      <c r="W59" s="106"/>
      <c r="X59" s="144"/>
      <c r="Y59" s="107"/>
      <c r="Z59" s="106"/>
      <c r="AA59" s="144"/>
      <c r="AB59" s="107"/>
      <c r="AC59" s="106"/>
      <c r="AD59" s="107"/>
      <c r="AE59" s="106"/>
      <c r="AF59" s="116"/>
      <c r="AG59" s="118"/>
    </row>
    <row r="60" ht="22.5" customHeight="1">
      <c r="A60" s="59">
        <f t="shared" si="4"/>
        <v>32</v>
      </c>
      <c r="B60" s="125" t="s">
        <v>504</v>
      </c>
      <c r="C60" s="64"/>
      <c r="D60" s="64"/>
      <c r="E60" s="64" t="s">
        <v>51</v>
      </c>
      <c r="F60" s="70"/>
      <c r="G60" s="71"/>
      <c r="H60" s="88">
        <v>2.0</v>
      </c>
      <c r="I60" s="90">
        <v>4.0</v>
      </c>
      <c r="J60" s="92">
        <v>45267.0</v>
      </c>
      <c r="K60" s="130" t="b">
        <v>0</v>
      </c>
      <c r="L60" s="103"/>
      <c r="M60" s="101">
        <v>45450.0</v>
      </c>
      <c r="N60" s="130" t="b">
        <v>0</v>
      </c>
      <c r="O60" s="103"/>
      <c r="P60" s="101">
        <v>45635.0</v>
      </c>
      <c r="Q60" s="130" t="b">
        <v>0</v>
      </c>
      <c r="R60" s="141"/>
      <c r="S60" s="107">
        <v>45817.0</v>
      </c>
      <c r="T60" s="106" t="b">
        <v>0</v>
      </c>
      <c r="U60" s="141"/>
      <c r="V60" s="107"/>
      <c r="W60" s="106"/>
      <c r="X60" s="144"/>
      <c r="Y60" s="107"/>
      <c r="Z60" s="106"/>
      <c r="AA60" s="144"/>
      <c r="AB60" s="107"/>
      <c r="AC60" s="106"/>
      <c r="AD60" s="107"/>
      <c r="AE60" s="106"/>
      <c r="AF60" s="116"/>
      <c r="AG60" s="384"/>
    </row>
    <row r="61" ht="22.5" customHeight="1">
      <c r="A61" s="59">
        <f t="shared" si="4"/>
        <v>33</v>
      </c>
      <c r="B61" s="325" t="s">
        <v>506</v>
      </c>
      <c r="C61" s="64"/>
      <c r="D61" s="64"/>
      <c r="E61" s="64" t="s">
        <v>51</v>
      </c>
      <c r="F61" s="70" t="s">
        <v>508</v>
      </c>
      <c r="G61" s="71" t="s">
        <v>509</v>
      </c>
      <c r="H61" s="88">
        <f t="shared" ref="H61:H62" si="9">COUNTIFS(J61:AF61,"True")</f>
        <v>3</v>
      </c>
      <c r="I61" s="90">
        <v>6.0</v>
      </c>
      <c r="J61" s="92">
        <v>44562.0</v>
      </c>
      <c r="K61" s="98" t="b">
        <v>1</v>
      </c>
      <c r="L61" s="103"/>
      <c r="M61" s="101">
        <v>44562.0</v>
      </c>
      <c r="N61" s="98" t="b">
        <v>1</v>
      </c>
      <c r="O61" s="103"/>
      <c r="P61" s="101">
        <v>45098.0</v>
      </c>
      <c r="Q61" s="98" t="b">
        <v>1</v>
      </c>
      <c r="R61" s="278"/>
      <c r="S61" s="107">
        <v>45245.0</v>
      </c>
      <c r="T61" s="106" t="b">
        <v>0</v>
      </c>
      <c r="U61" s="278"/>
      <c r="V61" s="107">
        <v>45427.0</v>
      </c>
      <c r="W61" s="106" t="b">
        <v>0</v>
      </c>
      <c r="X61" s="282"/>
      <c r="Y61" s="107">
        <v>45611.0</v>
      </c>
      <c r="Z61" s="106" t="b">
        <v>0</v>
      </c>
      <c r="AA61" s="282"/>
      <c r="AB61" s="107"/>
      <c r="AC61" s="106"/>
      <c r="AD61" s="107"/>
      <c r="AE61" s="106"/>
      <c r="AF61" s="288"/>
      <c r="AG61" s="118"/>
    </row>
    <row r="62" ht="22.5" customHeight="1">
      <c r="A62" s="59">
        <f t="shared" si="4"/>
        <v>34</v>
      </c>
      <c r="B62" s="125" t="s">
        <v>513</v>
      </c>
      <c r="C62" s="64"/>
      <c r="D62" s="64"/>
      <c r="E62" s="64" t="s">
        <v>51</v>
      </c>
      <c r="F62" s="70" t="s">
        <v>514</v>
      </c>
      <c r="G62" s="71" t="s">
        <v>515</v>
      </c>
      <c r="H62" s="88">
        <f t="shared" si="9"/>
        <v>1</v>
      </c>
      <c r="I62" s="90">
        <v>4.0</v>
      </c>
      <c r="J62" s="92">
        <v>45040.0</v>
      </c>
      <c r="K62" s="98" t="b">
        <v>1</v>
      </c>
      <c r="L62" s="103"/>
      <c r="M62" s="101">
        <v>45222.0</v>
      </c>
      <c r="N62" s="532" t="b">
        <v>0</v>
      </c>
      <c r="O62" s="103"/>
      <c r="P62" s="101">
        <v>45404.0</v>
      </c>
      <c r="Q62" s="532" t="b">
        <v>0</v>
      </c>
      <c r="R62" s="535"/>
      <c r="S62" s="107">
        <v>45585.0</v>
      </c>
      <c r="T62" s="106" t="b">
        <v>0</v>
      </c>
      <c r="U62" s="535"/>
      <c r="V62" s="107"/>
      <c r="W62" s="106"/>
      <c r="X62" s="536"/>
      <c r="Y62" s="107"/>
      <c r="Z62" s="106"/>
      <c r="AA62" s="536"/>
      <c r="AB62" s="107"/>
      <c r="AC62" s="106"/>
      <c r="AD62" s="107"/>
      <c r="AE62" s="106"/>
      <c r="AF62" s="288"/>
      <c r="AG62" s="118"/>
    </row>
    <row r="63" ht="22.5" customHeight="1">
      <c r="A63" s="59">
        <f t="shared" si="4"/>
        <v>35</v>
      </c>
      <c r="B63" s="125" t="s">
        <v>520</v>
      </c>
      <c r="C63" s="64"/>
      <c r="D63" s="64"/>
      <c r="E63" s="64" t="s">
        <v>51</v>
      </c>
      <c r="F63" s="70"/>
      <c r="G63" s="71"/>
      <c r="H63" s="88">
        <v>2.0</v>
      </c>
      <c r="I63" s="90">
        <v>4.0</v>
      </c>
      <c r="J63" s="92">
        <v>45345.0</v>
      </c>
      <c r="K63" s="98" t="b">
        <v>1</v>
      </c>
      <c r="L63" s="103" t="s">
        <v>57</v>
      </c>
      <c r="M63" s="101">
        <v>45546.0</v>
      </c>
      <c r="N63" s="130" t="b">
        <v>0</v>
      </c>
      <c r="O63" s="103"/>
      <c r="P63" s="101">
        <v>45726.0</v>
      </c>
      <c r="Q63" s="130" t="b">
        <v>0</v>
      </c>
      <c r="R63" s="141"/>
      <c r="S63" s="107">
        <v>45910.0</v>
      </c>
      <c r="T63" s="106" t="b">
        <v>0</v>
      </c>
      <c r="U63" s="141"/>
      <c r="V63" s="107"/>
      <c r="W63" s="106"/>
      <c r="X63" s="144"/>
      <c r="Y63" s="107"/>
      <c r="Z63" s="106"/>
      <c r="AA63" s="144"/>
      <c r="AB63" s="107"/>
      <c r="AC63" s="106"/>
      <c r="AD63" s="107"/>
      <c r="AE63" s="106"/>
      <c r="AF63" s="116"/>
      <c r="AG63" s="118"/>
    </row>
    <row r="64" ht="22.5" customHeight="1">
      <c r="A64" s="59">
        <f t="shared" si="4"/>
        <v>36</v>
      </c>
      <c r="B64" s="125" t="s">
        <v>522</v>
      </c>
      <c r="C64" s="64"/>
      <c r="D64" s="64"/>
      <c r="E64" s="64" t="s">
        <v>51</v>
      </c>
      <c r="F64" s="70" t="s">
        <v>523</v>
      </c>
      <c r="G64" s="71" t="s">
        <v>524</v>
      </c>
      <c r="H64" s="88">
        <v>2.0</v>
      </c>
      <c r="I64" s="90">
        <v>4.0</v>
      </c>
      <c r="J64" s="92">
        <v>45153.0</v>
      </c>
      <c r="K64" s="98" t="b">
        <v>1</v>
      </c>
      <c r="L64" s="103"/>
      <c r="M64" s="101">
        <v>45337.0</v>
      </c>
      <c r="N64" s="130" t="b">
        <v>0</v>
      </c>
      <c r="O64" s="103"/>
      <c r="P64" s="101">
        <v>45516.0</v>
      </c>
      <c r="Q64" s="130" t="b">
        <v>0</v>
      </c>
      <c r="R64" s="141"/>
      <c r="S64" s="107">
        <v>45699.0</v>
      </c>
      <c r="T64" s="106" t="b">
        <v>0</v>
      </c>
      <c r="U64" s="141"/>
      <c r="V64" s="107"/>
      <c r="W64" s="106"/>
      <c r="X64" s="144"/>
      <c r="Y64" s="107"/>
      <c r="Z64" s="106"/>
      <c r="AA64" s="144"/>
      <c r="AB64" s="107"/>
      <c r="AC64" s="106"/>
      <c r="AD64" s="107"/>
      <c r="AE64" s="106"/>
      <c r="AF64" s="116"/>
      <c r="AG64" s="118"/>
    </row>
    <row r="65" ht="22.5" customHeight="1">
      <c r="A65" s="59">
        <f t="shared" si="4"/>
        <v>37</v>
      </c>
      <c r="B65" s="125" t="s">
        <v>525</v>
      </c>
      <c r="C65" s="64"/>
      <c r="D65" s="64"/>
      <c r="E65" s="64" t="s">
        <v>51</v>
      </c>
      <c r="F65" s="548" t="s">
        <v>526</v>
      </c>
      <c r="G65" s="71" t="s">
        <v>527</v>
      </c>
      <c r="H65" s="88">
        <f t="shared" ref="H65:H68" si="10">COUNTIFS(J65:AF65,"True")</f>
        <v>3</v>
      </c>
      <c r="I65" s="90">
        <v>2.0</v>
      </c>
      <c r="J65" s="92">
        <v>44873.0</v>
      </c>
      <c r="K65" s="98" t="b">
        <v>1</v>
      </c>
      <c r="L65" s="103" t="s">
        <v>530</v>
      </c>
      <c r="M65" s="101">
        <v>44973.0</v>
      </c>
      <c r="N65" s="98" t="b">
        <v>1</v>
      </c>
      <c r="O65" s="103" t="s">
        <v>530</v>
      </c>
      <c r="P65" s="101">
        <v>45325.0</v>
      </c>
      <c r="Q65" s="130" t="b">
        <v>0</v>
      </c>
      <c r="R65" s="551" t="s">
        <v>530</v>
      </c>
      <c r="S65" s="107">
        <v>45535.0</v>
      </c>
      <c r="T65" s="106" t="b">
        <v>1</v>
      </c>
      <c r="U65" s="551" t="s">
        <v>57</v>
      </c>
      <c r="V65" s="101">
        <v>45703.0</v>
      </c>
      <c r="W65" s="130" t="b">
        <v>0</v>
      </c>
      <c r="X65" s="282"/>
      <c r="Y65" s="107">
        <v>45889.0</v>
      </c>
      <c r="Z65" s="106" t="b">
        <v>0</v>
      </c>
      <c r="AA65" s="282"/>
      <c r="AB65" s="107"/>
      <c r="AC65" s="106"/>
      <c r="AD65" s="107"/>
      <c r="AE65" s="106"/>
      <c r="AF65" s="288"/>
      <c r="AG65" s="118"/>
    </row>
    <row r="66" ht="22.5" customHeight="1">
      <c r="A66" s="59">
        <f t="shared" si="4"/>
        <v>38</v>
      </c>
      <c r="B66" s="61" t="s">
        <v>534</v>
      </c>
      <c r="C66" s="556"/>
      <c r="D66" s="556"/>
      <c r="E66" s="556" t="s">
        <v>51</v>
      </c>
      <c r="F66" s="332"/>
      <c r="G66" s="557"/>
      <c r="H66" s="88">
        <f t="shared" si="10"/>
        <v>2</v>
      </c>
      <c r="I66" s="90">
        <v>2.0</v>
      </c>
      <c r="J66" s="559">
        <v>44784.0</v>
      </c>
      <c r="K66" s="98" t="b">
        <v>1</v>
      </c>
      <c r="L66" s="103"/>
      <c r="M66" s="101">
        <v>45048.0</v>
      </c>
      <c r="N66" s="98" t="b">
        <v>1</v>
      </c>
      <c r="O66" s="103"/>
      <c r="P66" s="101"/>
      <c r="Q66" s="98"/>
      <c r="R66" s="278"/>
      <c r="S66" s="107"/>
      <c r="T66" s="106"/>
      <c r="U66" s="278"/>
      <c r="V66" s="107"/>
      <c r="W66" s="106"/>
      <c r="X66" s="282"/>
      <c r="Y66" s="107"/>
      <c r="Z66" s="106"/>
      <c r="AA66" s="282"/>
      <c r="AB66" s="107"/>
      <c r="AC66" s="106"/>
      <c r="AD66" s="107"/>
      <c r="AE66" s="106"/>
      <c r="AF66" s="116" t="s">
        <v>58</v>
      </c>
      <c r="AG66" s="118"/>
    </row>
    <row r="67" ht="22.5" customHeight="1">
      <c r="A67" s="59">
        <f t="shared" si="4"/>
        <v>39</v>
      </c>
      <c r="B67" s="325" t="s">
        <v>537</v>
      </c>
      <c r="C67" s="301"/>
      <c r="D67" s="301"/>
      <c r="E67" s="301" t="s">
        <v>51</v>
      </c>
      <c r="F67" s="305"/>
      <c r="G67" s="71" t="s">
        <v>538</v>
      </c>
      <c r="H67" s="88">
        <f t="shared" si="10"/>
        <v>4</v>
      </c>
      <c r="I67" s="90">
        <v>6.0</v>
      </c>
      <c r="J67" s="92">
        <v>44562.0</v>
      </c>
      <c r="K67" s="98" t="b">
        <v>1</v>
      </c>
      <c r="L67" s="103"/>
      <c r="M67" s="101">
        <v>44588.0</v>
      </c>
      <c r="N67" s="98" t="b">
        <v>1</v>
      </c>
      <c r="O67" s="103"/>
      <c r="P67" s="101">
        <v>45554.0</v>
      </c>
      <c r="Q67" s="98" t="b">
        <v>0</v>
      </c>
      <c r="R67" s="278"/>
      <c r="S67" s="107">
        <v>45371.0</v>
      </c>
      <c r="T67" s="106" t="b">
        <v>0</v>
      </c>
      <c r="U67" s="278"/>
      <c r="V67" s="107">
        <v>45554.0</v>
      </c>
      <c r="W67" s="106" t="b">
        <v>1</v>
      </c>
      <c r="X67" s="282"/>
      <c r="Y67" s="107">
        <v>45736.0</v>
      </c>
      <c r="Z67" s="106" t="b">
        <v>1</v>
      </c>
      <c r="AA67" s="282"/>
      <c r="AB67" s="107"/>
      <c r="AC67" s="106"/>
      <c r="AD67" s="107"/>
      <c r="AE67" s="106"/>
      <c r="AF67" s="116"/>
      <c r="AG67" s="118"/>
    </row>
    <row r="68" ht="22.5" customHeight="1">
      <c r="A68" s="59">
        <f t="shared" si="4"/>
        <v>40</v>
      </c>
      <c r="B68" s="61" t="s">
        <v>541</v>
      </c>
      <c r="C68" s="568"/>
      <c r="D68" s="568"/>
      <c r="E68" s="568" t="s">
        <v>51</v>
      </c>
      <c r="F68" s="569"/>
      <c r="G68" s="571"/>
      <c r="H68" s="574">
        <f t="shared" si="10"/>
        <v>2</v>
      </c>
      <c r="I68" s="234">
        <v>2.0</v>
      </c>
      <c r="J68" s="576">
        <v>44904.0</v>
      </c>
      <c r="K68" s="577" t="b">
        <v>1</v>
      </c>
      <c r="L68" s="103"/>
      <c r="M68" s="242">
        <v>45087.0</v>
      </c>
      <c r="N68" s="577" t="b">
        <v>1</v>
      </c>
      <c r="O68" s="103"/>
      <c r="P68" s="242"/>
      <c r="Q68" s="577"/>
      <c r="R68" s="278"/>
      <c r="S68" s="242"/>
      <c r="T68" s="237"/>
      <c r="U68" s="278"/>
      <c r="V68" s="242"/>
      <c r="W68" s="237"/>
      <c r="X68" s="282"/>
      <c r="Y68" s="242"/>
      <c r="Z68" s="237"/>
      <c r="AA68" s="282"/>
      <c r="AB68" s="242"/>
      <c r="AC68" s="237"/>
      <c r="AD68" s="242"/>
      <c r="AE68" s="237"/>
      <c r="AF68" s="578"/>
      <c r="AG68" s="245"/>
    </row>
    <row r="69" ht="22.5" customHeight="1">
      <c r="A69" s="59">
        <f t="shared" si="4"/>
        <v>41</v>
      </c>
      <c r="B69" s="61" t="s">
        <v>544</v>
      </c>
      <c r="C69" s="64"/>
      <c r="D69" s="64"/>
      <c r="E69" s="64" t="s">
        <v>51</v>
      </c>
      <c r="F69" s="70"/>
      <c r="G69" s="71"/>
      <c r="H69" s="88">
        <v>2.0</v>
      </c>
      <c r="I69" s="90">
        <v>4.0</v>
      </c>
      <c r="J69" s="92">
        <v>45216.0</v>
      </c>
      <c r="K69" s="98" t="b">
        <v>1</v>
      </c>
      <c r="L69" s="103"/>
      <c r="M69" s="101">
        <v>45307.0</v>
      </c>
      <c r="N69" s="130" t="b">
        <v>0</v>
      </c>
      <c r="O69" s="103"/>
      <c r="P69" s="101">
        <v>45444.0</v>
      </c>
      <c r="Q69" s="98" t="b">
        <v>0</v>
      </c>
      <c r="R69" s="278"/>
      <c r="S69" s="107">
        <v>45627.0</v>
      </c>
      <c r="T69" s="106" t="b">
        <v>0</v>
      </c>
      <c r="U69" s="278"/>
      <c r="V69" s="107"/>
      <c r="W69" s="106"/>
      <c r="X69" s="282"/>
      <c r="Y69" s="107"/>
      <c r="Z69" s="106"/>
      <c r="AA69" s="282"/>
      <c r="AB69" s="107"/>
      <c r="AC69" s="106"/>
      <c r="AD69" s="107"/>
      <c r="AE69" s="106"/>
      <c r="AF69" s="116"/>
      <c r="AG69" s="245"/>
    </row>
    <row r="70" ht="22.5" customHeight="1">
      <c r="A70" s="59">
        <f t="shared" si="4"/>
        <v>42</v>
      </c>
      <c r="B70" s="579" t="s">
        <v>547</v>
      </c>
      <c r="C70" s="64"/>
      <c r="D70" s="64"/>
      <c r="E70" s="64" t="s">
        <v>51</v>
      </c>
      <c r="F70" s="581" t="s">
        <v>548</v>
      </c>
      <c r="G70" s="71" t="s">
        <v>549</v>
      </c>
      <c r="H70" s="88">
        <f>COUNTIFS(J70:AF70,"True")</f>
        <v>4</v>
      </c>
      <c r="I70" s="90">
        <v>6.0</v>
      </c>
      <c r="J70" s="92">
        <v>44562.0</v>
      </c>
      <c r="K70" s="98" t="b">
        <v>1</v>
      </c>
      <c r="L70" s="103"/>
      <c r="M70" s="101">
        <v>44562.0</v>
      </c>
      <c r="N70" s="98" t="b">
        <v>1</v>
      </c>
      <c r="O70" s="103"/>
      <c r="P70" s="101">
        <v>45017.0</v>
      </c>
      <c r="Q70" s="98" t="b">
        <v>1</v>
      </c>
      <c r="R70" s="278"/>
      <c r="S70" s="107">
        <v>45216.0</v>
      </c>
      <c r="T70" s="106" t="b">
        <v>1</v>
      </c>
      <c r="U70" s="278"/>
      <c r="V70" s="107">
        <v>45384.0</v>
      </c>
      <c r="W70" s="106" t="b">
        <v>0</v>
      </c>
      <c r="X70" s="282"/>
      <c r="Y70" s="107">
        <v>45567.0</v>
      </c>
      <c r="Z70" s="106" t="b">
        <v>0</v>
      </c>
      <c r="AA70" s="282"/>
      <c r="AB70" s="107"/>
      <c r="AC70" s="106"/>
      <c r="AD70" s="107"/>
      <c r="AE70" s="106"/>
      <c r="AF70" s="116"/>
      <c r="AG70" s="245"/>
    </row>
    <row r="71" ht="22.5" customHeight="1">
      <c r="A71" s="59">
        <f t="shared" si="4"/>
        <v>43</v>
      </c>
      <c r="B71" s="125" t="s">
        <v>552</v>
      </c>
      <c r="C71" s="64"/>
      <c r="D71" s="64"/>
      <c r="E71" s="64" t="s">
        <v>51</v>
      </c>
      <c r="F71" s="70"/>
      <c r="G71" s="71"/>
      <c r="H71" s="88">
        <v>2.0</v>
      </c>
      <c r="I71" s="90">
        <v>4.0</v>
      </c>
      <c r="J71" s="92">
        <v>45279.0</v>
      </c>
      <c r="K71" s="130" t="b">
        <v>0</v>
      </c>
      <c r="L71" s="103"/>
      <c r="M71" s="101">
        <v>45462.0</v>
      </c>
      <c r="N71" s="130" t="b">
        <v>0</v>
      </c>
      <c r="O71" s="103"/>
      <c r="P71" s="101">
        <v>45645.0</v>
      </c>
      <c r="Q71" s="130" t="b">
        <v>0</v>
      </c>
      <c r="R71" s="141"/>
      <c r="S71" s="107">
        <v>45827.0</v>
      </c>
      <c r="T71" s="106" t="b">
        <v>0</v>
      </c>
      <c r="U71" s="141"/>
      <c r="V71" s="107"/>
      <c r="W71" s="106"/>
      <c r="X71" s="144"/>
      <c r="Y71" s="107"/>
      <c r="Z71" s="106"/>
      <c r="AA71" s="144"/>
      <c r="AB71" s="107"/>
      <c r="AC71" s="106"/>
      <c r="AD71" s="107"/>
      <c r="AE71" s="106"/>
      <c r="AF71" s="116"/>
      <c r="AG71" s="245"/>
    </row>
    <row r="72" ht="22.5" customHeight="1">
      <c r="A72" s="59">
        <f t="shared" si="4"/>
        <v>44</v>
      </c>
      <c r="B72" s="125" t="s">
        <v>554</v>
      </c>
      <c r="C72" s="64"/>
      <c r="D72" s="64"/>
      <c r="E72" s="64" t="s">
        <v>51</v>
      </c>
      <c r="F72" s="70"/>
      <c r="G72" s="71"/>
      <c r="H72" s="88">
        <f t="shared" ref="H72:H74" si="11">COUNTIFS(J72:AF72,"True")</f>
        <v>1</v>
      </c>
      <c r="I72" s="90">
        <v>4.0</v>
      </c>
      <c r="J72" s="92">
        <v>45219.0</v>
      </c>
      <c r="K72" s="98" t="b">
        <v>1</v>
      </c>
      <c r="L72" s="103"/>
      <c r="M72" s="101">
        <v>45307.0</v>
      </c>
      <c r="N72" s="532" t="b">
        <v>0</v>
      </c>
      <c r="O72" s="103"/>
      <c r="P72" s="101">
        <v>45444.0</v>
      </c>
      <c r="Q72" s="532" t="b">
        <v>0</v>
      </c>
      <c r="R72" s="535"/>
      <c r="S72" s="107">
        <v>45627.0</v>
      </c>
      <c r="T72" s="106" t="b">
        <v>0</v>
      </c>
      <c r="U72" s="535"/>
      <c r="V72" s="107"/>
      <c r="W72" s="106"/>
      <c r="X72" s="536"/>
      <c r="Y72" s="107"/>
      <c r="Z72" s="106"/>
      <c r="AA72" s="536"/>
      <c r="AB72" s="107"/>
      <c r="AC72" s="106"/>
      <c r="AD72" s="107"/>
      <c r="AE72" s="106"/>
      <c r="AF72" s="288"/>
      <c r="AG72" s="245"/>
    </row>
    <row r="73" ht="22.5" customHeight="1">
      <c r="A73" s="59">
        <f t="shared" si="4"/>
        <v>45</v>
      </c>
      <c r="B73" s="125" t="s">
        <v>561</v>
      </c>
      <c r="C73" s="64"/>
      <c r="D73" s="64"/>
      <c r="E73" s="64" t="s">
        <v>51</v>
      </c>
      <c r="F73" s="70"/>
      <c r="G73" s="71" t="s">
        <v>562</v>
      </c>
      <c r="H73" s="88">
        <f t="shared" si="11"/>
        <v>2</v>
      </c>
      <c r="I73" s="90">
        <v>4.0</v>
      </c>
      <c r="J73" s="92">
        <v>44927.0</v>
      </c>
      <c r="K73" s="98" t="b">
        <v>1</v>
      </c>
      <c r="L73" s="103"/>
      <c r="M73" s="101">
        <v>45085.0</v>
      </c>
      <c r="N73" s="98" t="b">
        <v>1</v>
      </c>
      <c r="O73" s="103"/>
      <c r="P73" s="101">
        <v>45266.0</v>
      </c>
      <c r="Q73" s="98" t="b">
        <v>0</v>
      </c>
      <c r="R73" s="278"/>
      <c r="S73" s="107">
        <v>45449.0</v>
      </c>
      <c r="T73" s="106" t="b">
        <v>0</v>
      </c>
      <c r="U73" s="278"/>
      <c r="V73" s="107"/>
      <c r="W73" s="106"/>
      <c r="X73" s="282"/>
      <c r="Y73" s="107"/>
      <c r="Z73" s="106"/>
      <c r="AA73" s="282"/>
      <c r="AB73" s="107"/>
      <c r="AC73" s="106"/>
      <c r="AD73" s="107"/>
      <c r="AE73" s="106"/>
      <c r="AF73" s="116"/>
      <c r="AG73" s="245"/>
    </row>
    <row r="74" ht="22.5" customHeight="1">
      <c r="A74" s="59">
        <f t="shared" si="4"/>
        <v>46</v>
      </c>
      <c r="B74" s="61" t="s">
        <v>567</v>
      </c>
      <c r="C74" s="301"/>
      <c r="D74" s="301"/>
      <c r="E74" s="301" t="s">
        <v>51</v>
      </c>
      <c r="F74" s="305"/>
      <c r="G74" s="307"/>
      <c r="H74" s="88">
        <f t="shared" si="11"/>
        <v>2</v>
      </c>
      <c r="I74" s="90">
        <v>2.0</v>
      </c>
      <c r="J74" s="92">
        <v>44880.0</v>
      </c>
      <c r="K74" s="98" t="b">
        <v>1</v>
      </c>
      <c r="L74" s="103"/>
      <c r="M74" s="101">
        <v>45216.0</v>
      </c>
      <c r="N74" s="98" t="b">
        <v>1</v>
      </c>
      <c r="O74" s="103"/>
      <c r="P74" s="101"/>
      <c r="Q74" s="98"/>
      <c r="R74" s="278"/>
      <c r="S74" s="107"/>
      <c r="T74" s="106"/>
      <c r="U74" s="278"/>
      <c r="V74" s="107"/>
      <c r="W74" s="106"/>
      <c r="X74" s="282"/>
      <c r="Y74" s="107"/>
      <c r="Z74" s="106"/>
      <c r="AA74" s="282"/>
      <c r="AB74" s="107"/>
      <c r="AC74" s="106"/>
      <c r="AD74" s="107"/>
      <c r="AE74" s="106"/>
      <c r="AF74" s="288"/>
      <c r="AG74" s="118"/>
    </row>
    <row r="75" ht="22.5" customHeight="1">
      <c r="A75" s="59">
        <f t="shared" si="4"/>
        <v>47</v>
      </c>
      <c r="B75" s="125" t="s">
        <v>568</v>
      </c>
      <c r="C75" s="64"/>
      <c r="D75" s="64"/>
      <c r="E75" s="64" t="s">
        <v>51</v>
      </c>
      <c r="F75" s="70" t="s">
        <v>570</v>
      </c>
      <c r="G75" s="71">
        <v>9.8673194E8</v>
      </c>
      <c r="H75" s="88">
        <v>2.0</v>
      </c>
      <c r="I75" s="90">
        <v>4.0</v>
      </c>
      <c r="J75" s="92">
        <v>45355.0</v>
      </c>
      <c r="K75" s="130" t="b">
        <v>0</v>
      </c>
      <c r="L75" s="103"/>
      <c r="M75" s="101">
        <v>45540.0</v>
      </c>
      <c r="N75" s="130" t="b">
        <v>0</v>
      </c>
      <c r="O75" s="103"/>
      <c r="P75" s="101">
        <v>45720.0</v>
      </c>
      <c r="Q75" s="130" t="b">
        <v>0</v>
      </c>
      <c r="R75" s="141"/>
      <c r="S75" s="107">
        <v>45902.0</v>
      </c>
      <c r="T75" s="106" t="b">
        <v>0</v>
      </c>
      <c r="U75" s="141"/>
      <c r="V75" s="107"/>
      <c r="W75" s="106"/>
      <c r="X75" s="144"/>
      <c r="Y75" s="107"/>
      <c r="Z75" s="106"/>
      <c r="AA75" s="144"/>
      <c r="AB75" s="107"/>
      <c r="AC75" s="106"/>
      <c r="AD75" s="107"/>
      <c r="AE75" s="106"/>
      <c r="AF75" s="116"/>
      <c r="AG75" s="118"/>
    </row>
    <row r="76" ht="22.5" customHeight="1">
      <c r="A76" s="59">
        <f t="shared" si="4"/>
        <v>48</v>
      </c>
      <c r="B76" s="125" t="s">
        <v>575</v>
      </c>
      <c r="C76" s="64"/>
      <c r="D76" s="64"/>
      <c r="E76" s="64" t="s">
        <v>51</v>
      </c>
      <c r="F76" s="70"/>
      <c r="G76" s="71"/>
      <c r="H76" s="88">
        <v>2.0</v>
      </c>
      <c r="I76" s="90">
        <v>4.0</v>
      </c>
      <c r="J76" s="92">
        <v>45351.0</v>
      </c>
      <c r="K76" s="130" t="b">
        <v>0</v>
      </c>
      <c r="L76" s="103"/>
      <c r="M76" s="101">
        <v>45532.0</v>
      </c>
      <c r="N76" s="130" t="b">
        <v>0</v>
      </c>
      <c r="O76" s="103"/>
      <c r="P76" s="101">
        <v>45716.0</v>
      </c>
      <c r="Q76" s="130" t="b">
        <v>0</v>
      </c>
      <c r="R76" s="141"/>
      <c r="S76" s="107">
        <v>45897.0</v>
      </c>
      <c r="T76" s="106" t="b">
        <v>0</v>
      </c>
      <c r="U76" s="141"/>
      <c r="V76" s="107"/>
      <c r="W76" s="106"/>
      <c r="X76" s="144"/>
      <c r="Y76" s="107"/>
      <c r="Z76" s="106"/>
      <c r="AA76" s="144"/>
      <c r="AB76" s="107"/>
      <c r="AC76" s="106"/>
      <c r="AD76" s="107"/>
      <c r="AE76" s="106"/>
      <c r="AF76" s="116"/>
      <c r="AG76" s="118"/>
    </row>
    <row r="77" ht="22.5" customHeight="1">
      <c r="A77" s="59">
        <f t="shared" si="4"/>
        <v>49</v>
      </c>
      <c r="B77" s="125" t="s">
        <v>580</v>
      </c>
      <c r="C77" s="64"/>
      <c r="D77" s="64"/>
      <c r="E77" s="64" t="s">
        <v>51</v>
      </c>
      <c r="F77" s="70"/>
      <c r="G77" s="71"/>
      <c r="H77" s="88">
        <v>2.0</v>
      </c>
      <c r="I77" s="90">
        <v>4.0</v>
      </c>
      <c r="J77" s="92">
        <v>45107.0</v>
      </c>
      <c r="K77" s="98" t="b">
        <v>1</v>
      </c>
      <c r="L77" s="103"/>
      <c r="M77" s="101">
        <v>45261.0</v>
      </c>
      <c r="N77" s="130" t="b">
        <v>0</v>
      </c>
      <c r="O77" s="103"/>
      <c r="P77" s="101">
        <v>45471.0</v>
      </c>
      <c r="Q77" s="130" t="b">
        <v>0</v>
      </c>
      <c r="R77" s="141"/>
      <c r="S77" s="107">
        <v>45628.0</v>
      </c>
      <c r="T77" s="106" t="b">
        <v>0</v>
      </c>
      <c r="U77" s="141"/>
      <c r="V77" s="107"/>
      <c r="W77" s="106"/>
      <c r="X77" s="144"/>
      <c r="Y77" s="107"/>
      <c r="Z77" s="106"/>
      <c r="AA77" s="144"/>
      <c r="AB77" s="107"/>
      <c r="AC77" s="106"/>
      <c r="AD77" s="107"/>
      <c r="AE77" s="106"/>
      <c r="AF77" s="262"/>
      <c r="AG77" s="118"/>
    </row>
    <row r="78" ht="22.5" customHeight="1">
      <c r="A78" s="59">
        <f t="shared" si="4"/>
        <v>50</v>
      </c>
      <c r="B78" s="125" t="s">
        <v>588</v>
      </c>
      <c r="C78" s="64"/>
      <c r="D78" s="64"/>
      <c r="E78" s="64" t="s">
        <v>51</v>
      </c>
      <c r="F78" s="70"/>
      <c r="G78" s="71"/>
      <c r="H78" s="88">
        <v>2.0</v>
      </c>
      <c r="I78" s="90">
        <v>4.0</v>
      </c>
      <c r="J78" s="92">
        <v>45289.0</v>
      </c>
      <c r="K78" s="130" t="b">
        <v>0</v>
      </c>
      <c r="L78" s="103"/>
      <c r="M78" s="101">
        <v>45471.0</v>
      </c>
      <c r="N78" s="130" t="b">
        <v>0</v>
      </c>
      <c r="O78" s="103"/>
      <c r="P78" s="101">
        <v>45656.0</v>
      </c>
      <c r="Q78" s="130" t="b">
        <v>0</v>
      </c>
      <c r="R78" s="141"/>
      <c r="S78" s="107">
        <v>45838.0</v>
      </c>
      <c r="T78" s="106" t="b">
        <v>0</v>
      </c>
      <c r="U78" s="141"/>
      <c r="V78" s="107"/>
      <c r="W78" s="106"/>
      <c r="X78" s="144"/>
      <c r="Y78" s="107"/>
      <c r="Z78" s="106"/>
      <c r="AA78" s="144"/>
      <c r="AB78" s="107"/>
      <c r="AC78" s="106"/>
      <c r="AD78" s="107"/>
      <c r="AE78" s="106"/>
      <c r="AF78" s="116"/>
      <c r="AG78" s="118"/>
    </row>
    <row r="79" ht="22.5" customHeight="1">
      <c r="A79" s="59">
        <f t="shared" si="4"/>
        <v>51</v>
      </c>
      <c r="B79" s="125" t="s">
        <v>592</v>
      </c>
      <c r="C79" s="265"/>
      <c r="D79" s="265"/>
      <c r="E79" s="265" t="s">
        <v>51</v>
      </c>
      <c r="F79" s="125" t="s">
        <v>594</v>
      </c>
      <c r="G79" s="266">
        <v>6.28251979E8</v>
      </c>
      <c r="H79" s="268">
        <f>COUNTIFS(J79:AF79,"True")</f>
        <v>4</v>
      </c>
      <c r="I79" s="269">
        <v>6.0</v>
      </c>
      <c r="J79" s="112">
        <v>44562.0</v>
      </c>
      <c r="K79" s="339" t="b">
        <v>1</v>
      </c>
      <c r="L79" s="103"/>
      <c r="M79" s="107">
        <v>44679.0</v>
      </c>
      <c r="N79" s="339" t="b">
        <v>1</v>
      </c>
      <c r="O79" s="103"/>
      <c r="P79" s="107">
        <v>44971.0</v>
      </c>
      <c r="Q79" s="339" t="b">
        <v>1</v>
      </c>
      <c r="R79" s="278"/>
      <c r="S79" s="107">
        <v>45140.0</v>
      </c>
      <c r="T79" s="164" t="b">
        <v>1</v>
      </c>
      <c r="U79" s="278"/>
      <c r="V79" s="107">
        <v>45292.0</v>
      </c>
      <c r="W79" s="164" t="b">
        <v>0</v>
      </c>
      <c r="X79" s="282"/>
      <c r="Y79" s="107">
        <v>45446.0</v>
      </c>
      <c r="Z79" s="164" t="b">
        <v>0</v>
      </c>
      <c r="AA79" s="282"/>
      <c r="AB79" s="107"/>
      <c r="AC79" s="164"/>
      <c r="AD79" s="107"/>
      <c r="AE79" s="164"/>
      <c r="AF79" s="283"/>
      <c r="AG79" s="118"/>
    </row>
    <row r="80" ht="22.5" customHeight="1">
      <c r="A80" s="59">
        <f t="shared" si="4"/>
        <v>52</v>
      </c>
      <c r="B80" s="125" t="s">
        <v>604</v>
      </c>
      <c r="C80" s="64"/>
      <c r="D80" s="64"/>
      <c r="E80" s="64" t="s">
        <v>51</v>
      </c>
      <c r="F80" s="70" t="s">
        <v>605</v>
      </c>
      <c r="G80" s="71">
        <v>8.17369884E8</v>
      </c>
      <c r="H80" s="88">
        <v>2.0</v>
      </c>
      <c r="I80" s="90">
        <v>4.0</v>
      </c>
      <c r="J80" s="92">
        <v>44927.0</v>
      </c>
      <c r="K80" s="98" t="b">
        <v>1</v>
      </c>
      <c r="L80" s="103"/>
      <c r="M80" s="101">
        <v>44562.0</v>
      </c>
      <c r="N80" s="98" t="b">
        <v>1</v>
      </c>
      <c r="O80" s="103"/>
      <c r="P80" s="101">
        <v>44562.0</v>
      </c>
      <c r="Q80" s="98" t="b">
        <v>1</v>
      </c>
      <c r="R80" s="278"/>
      <c r="S80" s="107">
        <v>45114.0</v>
      </c>
      <c r="T80" s="106" t="b">
        <v>1</v>
      </c>
      <c r="U80" s="278"/>
      <c r="V80" s="107"/>
      <c r="W80" s="106"/>
      <c r="X80" s="282"/>
      <c r="Y80" s="107"/>
      <c r="Z80" s="106"/>
      <c r="AA80" s="282"/>
      <c r="AB80" s="107"/>
      <c r="AC80" s="106"/>
      <c r="AD80" s="107"/>
      <c r="AE80" s="106"/>
      <c r="AF80" s="116" t="s">
        <v>58</v>
      </c>
      <c r="AG80" s="118"/>
    </row>
    <row r="81" ht="22.5" customHeight="1">
      <c r="A81" s="59">
        <f t="shared" si="4"/>
        <v>53</v>
      </c>
      <c r="B81" s="125" t="s">
        <v>608</v>
      </c>
      <c r="C81" s="64"/>
      <c r="D81" s="64"/>
      <c r="E81" s="64" t="s">
        <v>51</v>
      </c>
      <c r="F81" s="70"/>
      <c r="G81" s="71"/>
      <c r="H81" s="88">
        <v>2.0</v>
      </c>
      <c r="I81" s="90">
        <v>4.0</v>
      </c>
      <c r="J81" s="92">
        <v>45344.0</v>
      </c>
      <c r="K81" s="130" t="b">
        <v>0</v>
      </c>
      <c r="L81" s="103"/>
      <c r="M81" s="101">
        <v>45526.0</v>
      </c>
      <c r="N81" s="130" t="b">
        <v>0</v>
      </c>
      <c r="O81" s="103"/>
      <c r="P81" s="101">
        <v>45709.0</v>
      </c>
      <c r="Q81" s="130" t="b">
        <v>0</v>
      </c>
      <c r="R81" s="141"/>
      <c r="S81" s="107">
        <v>45890.0</v>
      </c>
      <c r="T81" s="106" t="b">
        <v>0</v>
      </c>
      <c r="U81" s="141"/>
      <c r="V81" s="107"/>
      <c r="W81" s="106"/>
      <c r="X81" s="144"/>
      <c r="Y81" s="107"/>
      <c r="Z81" s="106"/>
      <c r="AA81" s="144"/>
      <c r="AB81" s="107"/>
      <c r="AC81" s="106"/>
      <c r="AD81" s="107"/>
      <c r="AE81" s="106"/>
      <c r="AF81" s="116"/>
      <c r="AG81" s="118"/>
    </row>
    <row r="82" ht="22.5" customHeight="1">
      <c r="A82" s="59">
        <f t="shared" si="4"/>
        <v>54</v>
      </c>
      <c r="B82" s="125" t="s">
        <v>611</v>
      </c>
      <c r="C82" s="64"/>
      <c r="D82" s="64"/>
      <c r="E82" s="64" t="s">
        <v>51</v>
      </c>
      <c r="F82" s="70"/>
      <c r="G82" s="71"/>
      <c r="H82" s="88">
        <v>2.0</v>
      </c>
      <c r="I82" s="90">
        <v>4.0</v>
      </c>
      <c r="J82" s="92">
        <v>45344.0</v>
      </c>
      <c r="K82" s="130" t="b">
        <v>0</v>
      </c>
      <c r="L82" s="103"/>
      <c r="M82" s="101">
        <v>45526.0</v>
      </c>
      <c r="N82" s="130" t="b">
        <v>0</v>
      </c>
      <c r="O82" s="103"/>
      <c r="P82" s="101">
        <v>45709.0</v>
      </c>
      <c r="Q82" s="130" t="b">
        <v>0</v>
      </c>
      <c r="R82" s="141"/>
      <c r="S82" s="107">
        <v>45890.0</v>
      </c>
      <c r="T82" s="106" t="b">
        <v>0</v>
      </c>
      <c r="U82" s="141"/>
      <c r="V82" s="107"/>
      <c r="W82" s="106"/>
      <c r="X82" s="144"/>
      <c r="Y82" s="107"/>
      <c r="Z82" s="106"/>
      <c r="AA82" s="144"/>
      <c r="AB82" s="107"/>
      <c r="AC82" s="106"/>
      <c r="AD82" s="107"/>
      <c r="AE82" s="106"/>
      <c r="AF82" s="116"/>
      <c r="AG82" s="118"/>
    </row>
    <row r="83" ht="22.5" customHeight="1">
      <c r="A83" s="59">
        <f t="shared" si="4"/>
        <v>55</v>
      </c>
      <c r="B83" s="125" t="s">
        <v>619</v>
      </c>
      <c r="C83" s="64"/>
      <c r="D83" s="64"/>
      <c r="E83" s="64" t="s">
        <v>51</v>
      </c>
      <c r="F83" s="70"/>
      <c r="G83" s="71"/>
      <c r="H83" s="88">
        <v>2.0</v>
      </c>
      <c r="I83" s="90">
        <v>4.0</v>
      </c>
      <c r="J83" s="92">
        <v>45299.0</v>
      </c>
      <c r="K83" s="98" t="b">
        <v>0</v>
      </c>
      <c r="L83" s="103" t="s">
        <v>57</v>
      </c>
      <c r="M83" s="101">
        <v>45427.0</v>
      </c>
      <c r="N83" s="130" t="b">
        <v>0</v>
      </c>
      <c r="O83" s="103"/>
      <c r="P83" s="101">
        <v>45611.0</v>
      </c>
      <c r="Q83" s="130" t="b">
        <v>0</v>
      </c>
      <c r="R83" s="141"/>
      <c r="S83" s="107">
        <v>45792.0</v>
      </c>
      <c r="T83" s="106" t="b">
        <v>0</v>
      </c>
      <c r="U83" s="141"/>
      <c r="V83" s="107"/>
      <c r="W83" s="106"/>
      <c r="X83" s="144"/>
      <c r="Y83" s="107"/>
      <c r="Z83" s="106"/>
      <c r="AA83" s="144"/>
      <c r="AB83" s="107"/>
      <c r="AC83" s="106"/>
      <c r="AD83" s="107"/>
      <c r="AE83" s="106"/>
      <c r="AF83" s="116"/>
      <c r="AG83" s="118"/>
    </row>
    <row r="84" ht="22.5" customHeight="1">
      <c r="A84" s="59">
        <f t="shared" si="4"/>
        <v>56</v>
      </c>
      <c r="B84" s="125" t="s">
        <v>623</v>
      </c>
      <c r="C84" s="64"/>
      <c r="D84" s="64"/>
      <c r="E84" s="64" t="s">
        <v>51</v>
      </c>
      <c r="F84" s="70"/>
      <c r="G84" s="71"/>
      <c r="H84" s="88">
        <v>2.0</v>
      </c>
      <c r="I84" s="90">
        <v>4.0</v>
      </c>
      <c r="J84" s="92">
        <v>45236.0</v>
      </c>
      <c r="K84" s="130" t="b">
        <v>0</v>
      </c>
      <c r="L84" s="103"/>
      <c r="M84" s="101">
        <v>45418.0</v>
      </c>
      <c r="N84" s="130" t="b">
        <v>0</v>
      </c>
      <c r="O84" s="103"/>
      <c r="P84" s="101">
        <v>45601.0</v>
      </c>
      <c r="Q84" s="130" t="b">
        <v>0</v>
      </c>
      <c r="R84" s="141"/>
      <c r="S84" s="107">
        <v>45817.0</v>
      </c>
      <c r="T84" s="106" t="b">
        <v>0</v>
      </c>
      <c r="U84" s="141"/>
      <c r="V84" s="107"/>
      <c r="W84" s="106"/>
      <c r="X84" s="144"/>
      <c r="Y84" s="107"/>
      <c r="Z84" s="106"/>
      <c r="AA84" s="144"/>
      <c r="AB84" s="107"/>
      <c r="AC84" s="106"/>
      <c r="AD84" s="107"/>
      <c r="AE84" s="106"/>
      <c r="AF84" s="116"/>
      <c r="AG84" s="118"/>
    </row>
    <row r="85" ht="22.5" customHeight="1">
      <c r="A85" s="59">
        <f t="shared" si="4"/>
        <v>57</v>
      </c>
      <c r="B85" s="125" t="s">
        <v>625</v>
      </c>
      <c r="C85" s="324"/>
      <c r="D85" s="324"/>
      <c r="E85" s="324" t="s">
        <v>51</v>
      </c>
      <c r="F85" s="125" t="s">
        <v>626</v>
      </c>
      <c r="G85" s="266" t="s">
        <v>627</v>
      </c>
      <c r="H85" s="268">
        <f>COUNTIFS(J85:AF85,"True")</f>
        <v>4</v>
      </c>
      <c r="I85" s="269">
        <v>4.0</v>
      </c>
      <c r="J85" s="112">
        <v>44576.0</v>
      </c>
      <c r="K85" s="339" t="b">
        <v>1</v>
      </c>
      <c r="L85" s="103"/>
      <c r="M85" s="107">
        <v>44744.0</v>
      </c>
      <c r="N85" s="339" t="b">
        <v>1</v>
      </c>
      <c r="O85" s="103"/>
      <c r="P85" s="107">
        <v>44931.0</v>
      </c>
      <c r="Q85" s="339" t="b">
        <v>1</v>
      </c>
      <c r="R85" s="278"/>
      <c r="S85" s="107">
        <v>45110.0</v>
      </c>
      <c r="T85" s="164" t="b">
        <v>1</v>
      </c>
      <c r="U85" s="278"/>
      <c r="V85" s="107"/>
      <c r="W85" s="164"/>
      <c r="X85" s="282"/>
      <c r="Y85" s="107"/>
      <c r="Z85" s="164"/>
      <c r="AA85" s="282"/>
      <c r="AB85" s="107"/>
      <c r="AC85" s="164"/>
      <c r="AD85" s="107"/>
      <c r="AE85" s="164"/>
      <c r="AF85" s="283" t="s">
        <v>58</v>
      </c>
      <c r="AG85" s="118"/>
    </row>
    <row r="86" ht="22.5" customHeight="1">
      <c r="A86" s="59">
        <f t="shared" si="4"/>
        <v>58</v>
      </c>
      <c r="B86" s="643" t="s">
        <v>634</v>
      </c>
      <c r="C86" s="645"/>
      <c r="D86" s="645"/>
      <c r="E86" s="64" t="s">
        <v>51</v>
      </c>
      <c r="F86" s="362"/>
      <c r="G86" s="364"/>
      <c r="H86" s="88">
        <v>2.0</v>
      </c>
      <c r="I86" s="90">
        <v>4.0</v>
      </c>
      <c r="J86" s="92">
        <v>45086.0</v>
      </c>
      <c r="K86" s="647" t="b">
        <v>1</v>
      </c>
      <c r="L86" s="103" t="s">
        <v>530</v>
      </c>
      <c r="M86" s="101">
        <v>45330.0</v>
      </c>
      <c r="N86" s="647" t="b">
        <v>1</v>
      </c>
      <c r="O86" s="103"/>
      <c r="P86" s="101">
        <v>45453.0</v>
      </c>
      <c r="Q86" s="649" t="b">
        <v>0</v>
      </c>
      <c r="R86" s="141"/>
      <c r="S86" s="107">
        <v>45635.0</v>
      </c>
      <c r="T86" s="651" t="b">
        <v>0</v>
      </c>
      <c r="U86" s="141"/>
      <c r="V86" s="107"/>
      <c r="W86" s="106"/>
      <c r="X86" s="144"/>
      <c r="Y86" s="107"/>
      <c r="Z86" s="106"/>
      <c r="AA86" s="144"/>
      <c r="AB86" s="107"/>
      <c r="AC86" s="106"/>
      <c r="AD86" s="107"/>
      <c r="AE86" s="106"/>
      <c r="AF86" s="262"/>
      <c r="AG86" s="118"/>
    </row>
    <row r="87" ht="22.5" customHeight="1">
      <c r="A87" s="59">
        <f t="shared" si="4"/>
        <v>59</v>
      </c>
      <c r="B87" s="657" t="s">
        <v>642</v>
      </c>
      <c r="C87" s="645"/>
      <c r="D87" s="645"/>
      <c r="E87" s="64" t="s">
        <v>51</v>
      </c>
      <c r="F87" s="362" t="s">
        <v>647</v>
      </c>
      <c r="G87" s="364">
        <v>8.42905559E8</v>
      </c>
      <c r="H87" s="88">
        <f t="shared" ref="H87:H89" si="12">COUNTIFS(J87:AF87,"True")</f>
        <v>3</v>
      </c>
      <c r="I87" s="90">
        <v>6.0</v>
      </c>
      <c r="J87" s="92">
        <v>44676.0</v>
      </c>
      <c r="K87" s="647" t="b">
        <v>1</v>
      </c>
      <c r="L87" s="103"/>
      <c r="M87" s="101">
        <v>44879.0</v>
      </c>
      <c r="N87" s="647" t="b">
        <v>1</v>
      </c>
      <c r="O87" s="103"/>
      <c r="P87" s="101">
        <v>45068.0</v>
      </c>
      <c r="Q87" s="647" t="b">
        <v>1</v>
      </c>
      <c r="R87" s="278"/>
      <c r="S87" s="107">
        <v>45238.0</v>
      </c>
      <c r="T87" s="651" t="b">
        <v>0</v>
      </c>
      <c r="U87" s="278"/>
      <c r="V87" s="107">
        <v>45418.0</v>
      </c>
      <c r="W87" s="106" t="b">
        <v>0</v>
      </c>
      <c r="X87" s="282"/>
      <c r="Y87" s="107">
        <v>45598.0</v>
      </c>
      <c r="Z87" s="106" t="b">
        <v>0</v>
      </c>
      <c r="AA87" s="282"/>
      <c r="AB87" s="107"/>
      <c r="AC87" s="106"/>
      <c r="AD87" s="107"/>
      <c r="AE87" s="106"/>
      <c r="AF87" s="116"/>
      <c r="AG87" s="118"/>
    </row>
    <row r="88" ht="22.5" customHeight="1">
      <c r="A88" s="59">
        <f t="shared" si="4"/>
        <v>60</v>
      </c>
      <c r="B88" s="643" t="s">
        <v>656</v>
      </c>
      <c r="C88" s="645"/>
      <c r="D88" s="645"/>
      <c r="E88" s="64" t="s">
        <v>51</v>
      </c>
      <c r="F88" s="362"/>
      <c r="G88" s="364"/>
      <c r="H88" s="88">
        <f t="shared" si="12"/>
        <v>2</v>
      </c>
      <c r="I88" s="90">
        <v>4.0</v>
      </c>
      <c r="J88" s="92">
        <v>45009.0</v>
      </c>
      <c r="K88" s="647" t="b">
        <v>1</v>
      </c>
      <c r="L88" s="103"/>
      <c r="M88" s="101">
        <v>45189.0</v>
      </c>
      <c r="N88" s="647" t="b">
        <v>1</v>
      </c>
      <c r="O88" s="103"/>
      <c r="P88" s="101">
        <v>45371.0</v>
      </c>
      <c r="Q88" s="647" t="b">
        <v>0</v>
      </c>
      <c r="R88" s="278"/>
      <c r="S88" s="107">
        <v>45559.0</v>
      </c>
      <c r="T88" s="651" t="b">
        <v>0</v>
      </c>
      <c r="U88" s="278"/>
      <c r="V88" s="107"/>
      <c r="W88" s="106"/>
      <c r="X88" s="282"/>
      <c r="Y88" s="107"/>
      <c r="Z88" s="106"/>
      <c r="AA88" s="282"/>
      <c r="AB88" s="107"/>
      <c r="AC88" s="106"/>
      <c r="AD88" s="107"/>
      <c r="AE88" s="106"/>
      <c r="AF88" s="288"/>
      <c r="AG88" s="118"/>
    </row>
    <row r="89" ht="22.5" customHeight="1">
      <c r="A89" s="59">
        <f t="shared" si="4"/>
        <v>61</v>
      </c>
      <c r="B89" s="643" t="s">
        <v>662</v>
      </c>
      <c r="C89" s="645"/>
      <c r="D89" s="645"/>
      <c r="E89" s="64" t="s">
        <v>51</v>
      </c>
      <c r="F89" s="362" t="s">
        <v>663</v>
      </c>
      <c r="G89" s="364"/>
      <c r="H89" s="88">
        <f t="shared" si="12"/>
        <v>2</v>
      </c>
      <c r="I89" s="90">
        <v>4.0</v>
      </c>
      <c r="J89" s="92">
        <v>45009.0</v>
      </c>
      <c r="K89" s="647" t="b">
        <v>1</v>
      </c>
      <c r="L89" s="103"/>
      <c r="M89" s="101">
        <v>45142.0</v>
      </c>
      <c r="N89" s="647" t="b">
        <v>1</v>
      </c>
      <c r="O89" s="103"/>
      <c r="P89" s="101">
        <v>45692.0</v>
      </c>
      <c r="Q89" s="647" t="b">
        <v>0</v>
      </c>
      <c r="R89" s="278"/>
      <c r="S89" s="107">
        <v>45509.0</v>
      </c>
      <c r="T89" s="651" t="b">
        <v>0</v>
      </c>
      <c r="U89" s="278"/>
      <c r="V89" s="107"/>
      <c r="W89" s="106"/>
      <c r="X89" s="282"/>
      <c r="Y89" s="107"/>
      <c r="Z89" s="106"/>
      <c r="AA89" s="282"/>
      <c r="AB89" s="107"/>
      <c r="AC89" s="106"/>
      <c r="AD89" s="107"/>
      <c r="AE89" s="106"/>
      <c r="AF89" s="288"/>
      <c r="AG89" s="118"/>
    </row>
    <row r="90" ht="22.5" customHeight="1">
      <c r="A90" s="59">
        <f t="shared" si="4"/>
        <v>62</v>
      </c>
      <c r="B90" s="643" t="s">
        <v>665</v>
      </c>
      <c r="C90" s="645"/>
      <c r="D90" s="645"/>
      <c r="E90" s="645" t="s">
        <v>51</v>
      </c>
      <c r="F90" s="362" t="s">
        <v>666</v>
      </c>
      <c r="G90" s="364"/>
      <c r="H90" s="88">
        <v>2.0</v>
      </c>
      <c r="I90" s="90">
        <v>4.0</v>
      </c>
      <c r="J90" s="92">
        <v>45037.0</v>
      </c>
      <c r="K90" s="647" t="b">
        <v>1</v>
      </c>
      <c r="L90" s="103"/>
      <c r="M90" s="101">
        <v>45222.0</v>
      </c>
      <c r="N90" s="647" t="b">
        <v>0</v>
      </c>
      <c r="O90" s="103"/>
      <c r="P90" s="101">
        <v>45404.0</v>
      </c>
      <c r="Q90" s="647" t="b">
        <v>0</v>
      </c>
      <c r="R90" s="278"/>
      <c r="S90" s="107">
        <v>45586.0</v>
      </c>
      <c r="T90" s="651" t="b">
        <v>0</v>
      </c>
      <c r="U90" s="278"/>
      <c r="V90" s="107"/>
      <c r="W90" s="106"/>
      <c r="X90" s="282"/>
      <c r="Y90" s="107"/>
      <c r="Z90" s="106"/>
      <c r="AA90" s="282"/>
      <c r="AB90" s="107"/>
      <c r="AC90" s="106"/>
      <c r="AD90" s="107"/>
      <c r="AE90" s="106"/>
      <c r="AF90" s="288"/>
      <c r="AG90" s="118"/>
    </row>
    <row r="91" ht="22.5" customHeight="1">
      <c r="A91" s="672"/>
      <c r="B91" s="643"/>
      <c r="C91" s="645"/>
      <c r="D91" s="645"/>
      <c r="E91" s="645"/>
      <c r="F91" s="362"/>
      <c r="G91" s="364"/>
      <c r="H91" s="673"/>
      <c r="I91" s="676"/>
      <c r="J91" s="92"/>
      <c r="K91" s="649" t="b">
        <v>0</v>
      </c>
      <c r="L91" s="103"/>
      <c r="M91" s="101"/>
      <c r="N91" s="649" t="b">
        <v>0</v>
      </c>
      <c r="O91" s="103"/>
      <c r="P91" s="101"/>
      <c r="Q91" s="649" t="b">
        <v>0</v>
      </c>
      <c r="R91" s="141"/>
      <c r="S91" s="107"/>
      <c r="T91" s="651" t="b">
        <v>0</v>
      </c>
      <c r="U91" s="141"/>
      <c r="V91" s="107"/>
      <c r="W91" s="106"/>
      <c r="X91" s="144"/>
      <c r="Y91" s="107"/>
      <c r="Z91" s="106"/>
      <c r="AA91" s="144"/>
      <c r="AB91" s="107"/>
      <c r="AC91" s="106"/>
      <c r="AD91" s="107"/>
      <c r="AE91" s="106"/>
      <c r="AF91" s="116"/>
      <c r="AG91" s="118"/>
    </row>
    <row r="92" ht="7.5" customHeight="1">
      <c r="A92" s="688"/>
      <c r="B92" s="692"/>
      <c r="C92" s="694"/>
      <c r="D92" s="694"/>
      <c r="E92" s="694"/>
      <c r="F92" s="695"/>
      <c r="G92" s="696"/>
      <c r="H92" s="697"/>
      <c r="I92" s="698"/>
      <c r="J92" s="699"/>
      <c r="K92" s="700" t="b">
        <v>0</v>
      </c>
      <c r="L92" s="701"/>
      <c r="M92" s="702"/>
      <c r="N92" s="700" t="b">
        <v>0</v>
      </c>
      <c r="O92" s="701"/>
      <c r="P92" s="702"/>
      <c r="Q92" s="700" t="b">
        <v>0</v>
      </c>
      <c r="R92" s="706"/>
      <c r="S92" s="702"/>
      <c r="T92" s="700" t="b">
        <v>0</v>
      </c>
      <c r="U92" s="706"/>
      <c r="V92" s="702"/>
      <c r="W92" s="700"/>
      <c r="X92" s="709"/>
      <c r="Y92" s="702"/>
      <c r="Z92" s="700"/>
      <c r="AA92" s="709"/>
      <c r="AB92" s="702"/>
      <c r="AC92" s="700"/>
      <c r="AD92" s="702"/>
      <c r="AE92" s="700"/>
      <c r="AF92" s="712"/>
      <c r="AG92" s="118"/>
    </row>
  </sheetData>
  <autoFilter ref="$A$3:$AF$92">
    <sortState ref="A3:AF92">
      <sortCondition ref="B3:B92"/>
    </sortState>
  </autoFilter>
  <mergeCells count="9">
    <mergeCell ref="AB3:AC3"/>
    <mergeCell ref="AD3:AE3"/>
    <mergeCell ref="H3:I3"/>
    <mergeCell ref="J3:K3"/>
    <mergeCell ref="M3:N3"/>
    <mergeCell ref="P3:Q3"/>
    <mergeCell ref="S3:T3"/>
    <mergeCell ref="V3:W3"/>
    <mergeCell ref="Y3:Z3"/>
  </mergeCells>
  <conditionalFormatting sqref="J4:AF92">
    <cfRule type="cellIs" dxfId="0" priority="1" operator="equal">
      <formula>"TRUE"</formula>
    </cfRule>
  </conditionalFormatting>
  <conditionalFormatting sqref="J4:AF92">
    <cfRule type="expression" dxfId="1" priority="2">
      <formula>AND(ISNUMBER(J4),TRUNC(J4)&lt;TODAY())</formula>
    </cfRule>
  </conditionalFormatting>
  <conditionalFormatting sqref="J4:AF92">
    <cfRule type="expression" dxfId="2" priority="3">
      <formula>AND(ISNUMBER(J4),TRUNC(J4)&gt;TODAY())</formula>
    </cfRule>
  </conditionalFormatting>
  <dataValidations>
    <dataValidation type="list" allowBlank="1" showErrorMessage="1" sqref="L4:L91 O4:O91 R4:R91 U4:U91 X4:X91 AA4:AA91">
      <formula1>"SES,Manote"</formula1>
    </dataValidation>
    <dataValidation type="list" allowBlank="1" showErrorMessage="1" sqref="E4:E90 C91:E92">
      <formula1>"Send,Signed,Paid"</formula1>
    </dataValidation>
  </dataValidations>
  <hyperlinks>
    <hyperlink r:id="rId1" ref="D4"/>
    <hyperlink r:id="rId2" ref="D5"/>
    <hyperlink r:id="rId3" ref="D6"/>
    <hyperlink r:id="rId4" ref="D7"/>
    <hyperlink r:id="rId5" ref="D8"/>
    <hyperlink r:id="rId6" ref="D10"/>
    <hyperlink r:id="rId7" ref="D11"/>
  </hyperlinks>
  <printOptions horizontalCentered="1"/>
  <pageMargins bottom="0.75" footer="0.0" header="0.0" left="0.25" right="0.25" top="0.75"/>
  <pageSetup fitToHeight="0" paperSize="9" orientation="landscape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14"/>
    <col customWidth="1" min="2" max="2" width="52.43"/>
    <col customWidth="1" hidden="1" min="3" max="3" width="14.43"/>
    <col customWidth="1" hidden="1" min="4" max="4" width="16.57"/>
    <col customWidth="1" hidden="1" min="5" max="5" width="22.43"/>
    <col customWidth="1" hidden="1" min="6" max="6" width="17.29"/>
    <col customWidth="1" hidden="1" min="7" max="7" width="30.43"/>
    <col customWidth="1" hidden="1" min="8" max="8" width="24.0"/>
    <col customWidth="1" hidden="1" min="9" max="9" width="22.0"/>
    <col customWidth="1" hidden="1" min="10" max="10" width="26.43"/>
    <col customWidth="1" hidden="1" min="11" max="13" width="16.57"/>
    <col customWidth="1" hidden="1" min="14" max="14" width="19.71"/>
    <col customWidth="1" hidden="1" min="15" max="15" width="7.29"/>
    <col customWidth="1" hidden="1" min="16" max="16" width="10.86"/>
    <col customWidth="1" hidden="1" min="17" max="17" width="11.29"/>
    <col customWidth="1" hidden="1" min="18" max="18" width="7.29"/>
    <col customWidth="1" hidden="1" min="19" max="19" width="11.29"/>
    <col customWidth="1" hidden="1" min="20" max="20" width="7.29"/>
    <col customWidth="1" hidden="1" min="21" max="21" width="11.29"/>
    <col customWidth="1" hidden="1" min="22" max="22" width="7.29"/>
    <col customWidth="1" min="23" max="24" width="19.43"/>
    <col customWidth="1" min="25" max="25" width="7.29"/>
    <col customWidth="1" hidden="1" min="26" max="26" width="11.29"/>
    <col customWidth="1" hidden="1" min="27" max="27" width="7.29"/>
    <col customWidth="1" hidden="1" min="28" max="28" width="11.29"/>
    <col customWidth="1" hidden="1" min="29" max="29" width="7.29"/>
    <col customWidth="1" hidden="1" min="30" max="30" width="13.0"/>
    <col customWidth="1" hidden="1" min="31" max="31" width="7.29"/>
    <col customWidth="1" hidden="1" min="32" max="32" width="13.0"/>
    <col customWidth="1" hidden="1" min="33" max="33" width="7.29"/>
    <col customWidth="1" hidden="1" min="34" max="34" width="14.14"/>
    <col customWidth="1" hidden="1" min="35" max="35" width="7.29"/>
    <col customWidth="1" hidden="1" min="36" max="36" width="14.43"/>
    <col customWidth="1" hidden="1" min="37" max="37" width="7.29"/>
    <col customWidth="1" min="38" max="38" width="43.0"/>
    <col customWidth="1" hidden="1" min="39" max="39" width="69.57"/>
  </cols>
  <sheetData>
    <row r="1" ht="7.5" customHeight="1">
      <c r="A1" s="1" t="s">
        <v>0</v>
      </c>
      <c r="B1" s="3"/>
      <c r="C1" s="1"/>
      <c r="D1" s="1"/>
      <c r="E1" s="1"/>
      <c r="F1" s="1"/>
      <c r="G1" s="6"/>
      <c r="H1" s="1"/>
      <c r="I1" s="8"/>
      <c r="J1" s="1"/>
      <c r="K1" s="1"/>
      <c r="L1" s="1"/>
      <c r="M1" s="1"/>
      <c r="N1" s="1"/>
      <c r="O1" s="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37.5" customHeight="1">
      <c r="A2" s="18" t="s">
        <v>3</v>
      </c>
      <c r="B2" s="20" t="s">
        <v>4</v>
      </c>
      <c r="C2" s="23" t="s">
        <v>5</v>
      </c>
      <c r="D2" s="23" t="s">
        <v>7</v>
      </c>
      <c r="E2" s="23" t="s">
        <v>8</v>
      </c>
      <c r="F2" s="23" t="s">
        <v>9</v>
      </c>
      <c r="G2" s="27" t="s">
        <v>10</v>
      </c>
      <c r="H2" s="29" t="s">
        <v>11</v>
      </c>
      <c r="I2" s="29" t="s">
        <v>12</v>
      </c>
      <c r="J2" s="29" t="s">
        <v>13</v>
      </c>
      <c r="K2" s="32" t="s">
        <v>14</v>
      </c>
      <c r="L2" s="34" t="s">
        <v>16</v>
      </c>
      <c r="M2" s="36" t="s">
        <v>17</v>
      </c>
      <c r="N2" s="36" t="s">
        <v>19</v>
      </c>
      <c r="O2" s="35" t="s">
        <v>15</v>
      </c>
      <c r="P2" s="21"/>
      <c r="Q2" s="39" t="s">
        <v>18</v>
      </c>
      <c r="R2" s="21"/>
      <c r="S2" s="39" t="s">
        <v>24</v>
      </c>
      <c r="T2" s="21"/>
      <c r="U2" s="39" t="s">
        <v>26</v>
      </c>
      <c r="V2" s="21"/>
      <c r="W2" s="39"/>
      <c r="X2" s="44" t="s">
        <v>28</v>
      </c>
      <c r="Y2" s="46"/>
      <c r="Z2" s="39" t="s">
        <v>30</v>
      </c>
      <c r="AA2" s="21"/>
      <c r="AB2" s="39" t="s">
        <v>32</v>
      </c>
      <c r="AC2" s="21"/>
      <c r="AD2" s="39" t="s">
        <v>33</v>
      </c>
      <c r="AE2" s="21"/>
      <c r="AF2" s="39" t="s">
        <v>35</v>
      </c>
      <c r="AG2" s="21"/>
      <c r="AH2" s="41" t="s">
        <v>38</v>
      </c>
      <c r="AI2" s="41"/>
      <c r="AJ2" s="41" t="s">
        <v>40</v>
      </c>
      <c r="AK2" s="41"/>
      <c r="AL2" s="41"/>
      <c r="AM2" s="29" t="s">
        <v>12</v>
      </c>
    </row>
    <row r="3" ht="22.5" hidden="1" customHeight="1">
      <c r="A3" s="60">
        <f t="shared" ref="A3:A95" si="1">SUBTOTAL(3,$B$3:B3)</f>
        <v>0</v>
      </c>
      <c r="B3" s="63" t="s">
        <v>45</v>
      </c>
      <c r="C3" s="66" t="s">
        <v>48</v>
      </c>
      <c r="D3" s="66"/>
      <c r="E3" s="66"/>
      <c r="F3" s="64" t="s">
        <v>51</v>
      </c>
      <c r="G3" s="70" t="s">
        <v>52</v>
      </c>
      <c r="H3" s="71" t="s">
        <v>53</v>
      </c>
      <c r="I3" s="74" t="s">
        <v>54</v>
      </c>
      <c r="J3" s="77"/>
      <c r="K3" s="80">
        <v>45365.0</v>
      </c>
      <c r="L3" s="81">
        <v>46094.0</v>
      </c>
      <c r="M3" s="84">
        <v>45379.0</v>
      </c>
      <c r="N3" s="86"/>
      <c r="O3" s="88">
        <f t="shared" ref="O3:O13" si="2">COUNTIFS(Q3:AL3,"True")</f>
        <v>3</v>
      </c>
      <c r="P3" s="90">
        <v>6.0</v>
      </c>
      <c r="Q3" s="92">
        <v>44562.0</v>
      </c>
      <c r="R3" s="98" t="b">
        <v>1</v>
      </c>
      <c r="S3" s="101">
        <v>45085.0</v>
      </c>
      <c r="T3" s="98" t="b">
        <v>1</v>
      </c>
      <c r="U3" s="92">
        <v>45379.0</v>
      </c>
      <c r="V3" s="106" t="b">
        <v>1</v>
      </c>
      <c r="W3" s="107"/>
      <c r="X3" s="109"/>
      <c r="Y3" s="106" t="b">
        <v>0</v>
      </c>
      <c r="Z3" s="112">
        <v>45744.0</v>
      </c>
      <c r="AA3" s="106" t="b">
        <v>0</v>
      </c>
      <c r="AB3" s="107">
        <v>45926.0</v>
      </c>
      <c r="AC3" s="106" t="b">
        <v>0</v>
      </c>
      <c r="AD3" s="107"/>
      <c r="AE3" s="106" t="b">
        <v>0</v>
      </c>
      <c r="AF3" s="107"/>
      <c r="AG3" s="106" t="b">
        <v>0</v>
      </c>
      <c r="AH3" s="106"/>
      <c r="AI3" s="106" t="b">
        <v>0</v>
      </c>
      <c r="AJ3" s="106"/>
      <c r="AK3" s="106" t="b">
        <v>0</v>
      </c>
      <c r="AL3" s="116"/>
      <c r="AM3" s="118"/>
    </row>
    <row r="4" ht="22.5" customHeight="1">
      <c r="A4" s="60">
        <f t="shared" si="1"/>
        <v>1</v>
      </c>
      <c r="B4" s="63" t="s">
        <v>59</v>
      </c>
      <c r="C4" s="122" t="s">
        <v>47</v>
      </c>
      <c r="D4" s="124"/>
      <c r="E4" s="124" t="s">
        <v>49</v>
      </c>
      <c r="F4" s="64" t="s">
        <v>51</v>
      </c>
      <c r="G4" s="70" t="s">
        <v>67</v>
      </c>
      <c r="H4" s="71" t="s">
        <v>68</v>
      </c>
      <c r="I4" s="74"/>
      <c r="J4" s="77"/>
      <c r="K4" s="80"/>
      <c r="L4" s="81">
        <v>45786.0</v>
      </c>
      <c r="M4" s="84">
        <v>45422.0</v>
      </c>
      <c r="N4" s="128" t="s">
        <v>69</v>
      </c>
      <c r="O4" s="88">
        <f t="shared" si="2"/>
        <v>2</v>
      </c>
      <c r="P4" s="90">
        <v>4.0</v>
      </c>
      <c r="Q4" s="92">
        <v>45246.0</v>
      </c>
      <c r="R4" s="106" t="b">
        <v>1</v>
      </c>
      <c r="S4" s="101">
        <v>45422.0</v>
      </c>
      <c r="T4" s="98" t="b">
        <v>1</v>
      </c>
      <c r="U4" s="101">
        <v>45604.0</v>
      </c>
      <c r="V4" s="130" t="b">
        <v>0</v>
      </c>
      <c r="W4" s="107"/>
      <c r="X4" s="109"/>
      <c r="Y4" s="106" t="b">
        <v>0</v>
      </c>
      <c r="Z4" s="107"/>
      <c r="AA4" s="106"/>
      <c r="AB4" s="107"/>
      <c r="AC4" s="106"/>
      <c r="AD4" s="107"/>
      <c r="AE4" s="106"/>
      <c r="AF4" s="107"/>
      <c r="AG4" s="106"/>
      <c r="AH4" s="106"/>
      <c r="AI4" s="106"/>
      <c r="AJ4" s="106"/>
      <c r="AK4" s="106"/>
      <c r="AL4" s="116"/>
      <c r="AM4" s="131"/>
    </row>
    <row r="5" ht="22.5" customHeight="1">
      <c r="A5" s="60">
        <f t="shared" si="1"/>
        <v>2</v>
      </c>
      <c r="B5" s="63" t="s">
        <v>61</v>
      </c>
      <c r="C5" s="134" t="s">
        <v>48</v>
      </c>
      <c r="D5" s="66"/>
      <c r="E5" s="66"/>
      <c r="F5" s="64" t="s">
        <v>51</v>
      </c>
      <c r="G5" s="70" t="s">
        <v>74</v>
      </c>
      <c r="H5" s="71" t="s">
        <v>75</v>
      </c>
      <c r="I5" s="74"/>
      <c r="J5" s="77"/>
      <c r="K5" s="80"/>
      <c r="L5" s="81">
        <v>45786.0</v>
      </c>
      <c r="M5" s="84">
        <v>45422.0</v>
      </c>
      <c r="N5" s="128" t="s">
        <v>69</v>
      </c>
      <c r="O5" s="88">
        <f t="shared" si="2"/>
        <v>3</v>
      </c>
      <c r="P5" s="90">
        <v>4.0</v>
      </c>
      <c r="Q5" s="92">
        <v>45211.0</v>
      </c>
      <c r="R5" s="98" t="b">
        <v>1</v>
      </c>
      <c r="S5" s="101">
        <v>45422.0</v>
      </c>
      <c r="T5" s="98" t="b">
        <v>1</v>
      </c>
      <c r="U5" s="101">
        <v>45604.0</v>
      </c>
      <c r="V5" s="130" t="b">
        <v>0</v>
      </c>
      <c r="W5" s="107">
        <v>45497.0</v>
      </c>
      <c r="X5" s="109"/>
      <c r="Y5" s="106" t="b">
        <v>1</v>
      </c>
      <c r="Z5" s="107"/>
      <c r="AA5" s="106"/>
      <c r="AB5" s="107"/>
      <c r="AC5" s="106"/>
      <c r="AD5" s="107"/>
      <c r="AE5" s="106"/>
      <c r="AF5" s="107"/>
      <c r="AG5" s="106"/>
      <c r="AH5" s="106"/>
      <c r="AI5" s="106"/>
      <c r="AJ5" s="106"/>
      <c r="AK5" s="106"/>
      <c r="AL5" s="116"/>
      <c r="AM5" s="118"/>
    </row>
    <row r="6" ht="22.5" customHeight="1">
      <c r="A6" s="60">
        <f t="shared" si="1"/>
        <v>3</v>
      </c>
      <c r="B6" s="63" t="s">
        <v>76</v>
      </c>
      <c r="C6" s="66" t="s">
        <v>77</v>
      </c>
      <c r="D6" s="66"/>
      <c r="E6" s="66"/>
      <c r="F6" s="64" t="s">
        <v>51</v>
      </c>
      <c r="G6" s="70" t="s">
        <v>78</v>
      </c>
      <c r="H6" s="71" t="s">
        <v>79</v>
      </c>
      <c r="I6" s="74"/>
      <c r="J6" s="77" t="s">
        <v>80</v>
      </c>
      <c r="K6" s="80"/>
      <c r="L6" s="81">
        <v>45926.0</v>
      </c>
      <c r="M6" s="84">
        <v>45380.0</v>
      </c>
      <c r="N6" s="139" t="s">
        <v>83</v>
      </c>
      <c r="O6" s="88">
        <f t="shared" si="2"/>
        <v>1</v>
      </c>
      <c r="P6" s="90">
        <v>4.0</v>
      </c>
      <c r="Q6" s="92">
        <v>45380.0</v>
      </c>
      <c r="R6" s="98" t="b">
        <v>1</v>
      </c>
      <c r="S6" s="101">
        <v>45562.0</v>
      </c>
      <c r="T6" s="130" t="b">
        <v>0</v>
      </c>
      <c r="U6" s="101">
        <v>45744.0</v>
      </c>
      <c r="V6" s="130" t="b">
        <v>0</v>
      </c>
      <c r="W6" s="107"/>
      <c r="X6" s="109"/>
      <c r="Y6" s="106" t="b">
        <v>0</v>
      </c>
      <c r="Z6" s="107"/>
      <c r="AA6" s="106"/>
      <c r="AB6" s="107"/>
      <c r="AC6" s="106"/>
      <c r="AD6" s="107"/>
      <c r="AE6" s="106"/>
      <c r="AF6" s="107"/>
      <c r="AG6" s="106"/>
      <c r="AH6" s="106"/>
      <c r="AI6" s="106"/>
      <c r="AJ6" s="106"/>
      <c r="AK6" s="106"/>
      <c r="AL6" s="116"/>
      <c r="AM6" s="118"/>
    </row>
    <row r="7" ht="22.5" customHeight="1">
      <c r="A7" s="60">
        <f t="shared" si="1"/>
        <v>4</v>
      </c>
      <c r="B7" s="63" t="s">
        <v>70</v>
      </c>
      <c r="C7" s="66" t="s">
        <v>77</v>
      </c>
      <c r="D7" s="66"/>
      <c r="E7" s="66"/>
      <c r="F7" s="64" t="s">
        <v>51</v>
      </c>
      <c r="G7" s="70" t="s">
        <v>78</v>
      </c>
      <c r="H7" s="71" t="s">
        <v>79</v>
      </c>
      <c r="I7" s="74"/>
      <c r="J7" s="77" t="s">
        <v>86</v>
      </c>
      <c r="K7" s="80"/>
      <c r="L7" s="81">
        <v>45926.0</v>
      </c>
      <c r="M7" s="84">
        <v>45380.0</v>
      </c>
      <c r="N7" s="139" t="s">
        <v>83</v>
      </c>
      <c r="O7" s="88">
        <f t="shared" si="2"/>
        <v>1</v>
      </c>
      <c r="P7" s="90">
        <v>4.0</v>
      </c>
      <c r="Q7" s="92">
        <v>45380.0</v>
      </c>
      <c r="R7" s="98" t="b">
        <v>1</v>
      </c>
      <c r="S7" s="101">
        <v>45562.0</v>
      </c>
      <c r="T7" s="130" t="b">
        <v>0</v>
      </c>
      <c r="U7" s="101">
        <v>45744.0</v>
      </c>
      <c r="V7" s="130" t="b">
        <v>0</v>
      </c>
      <c r="W7" s="107"/>
      <c r="X7" s="109"/>
      <c r="Y7" s="106" t="b">
        <v>0</v>
      </c>
      <c r="Z7" s="107"/>
      <c r="AA7" s="106"/>
      <c r="AB7" s="107"/>
      <c r="AC7" s="106"/>
      <c r="AD7" s="107"/>
      <c r="AE7" s="106"/>
      <c r="AF7" s="107"/>
      <c r="AG7" s="106"/>
      <c r="AH7" s="106"/>
      <c r="AI7" s="106"/>
      <c r="AJ7" s="106"/>
      <c r="AK7" s="106"/>
      <c r="AL7" s="116"/>
      <c r="AM7" s="118"/>
    </row>
    <row r="8" ht="22.5" customHeight="1">
      <c r="A8" s="60">
        <f t="shared" si="1"/>
        <v>5</v>
      </c>
      <c r="B8" s="63" t="s">
        <v>71</v>
      </c>
      <c r="C8" s="66" t="s">
        <v>95</v>
      </c>
      <c r="D8" s="153" t="s">
        <v>96</v>
      </c>
      <c r="E8" s="66"/>
      <c r="F8" s="64" t="s">
        <v>51</v>
      </c>
      <c r="G8" s="70" t="s">
        <v>98</v>
      </c>
      <c r="H8" s="71">
        <v>6.32100007E8</v>
      </c>
      <c r="I8" s="157"/>
      <c r="J8" s="77"/>
      <c r="K8" s="80"/>
      <c r="L8" s="81">
        <v>45954.0</v>
      </c>
      <c r="M8" s="84"/>
      <c r="N8" s="86"/>
      <c r="O8" s="88">
        <f t="shared" si="2"/>
        <v>0</v>
      </c>
      <c r="P8" s="90">
        <v>4.0</v>
      </c>
      <c r="Q8" s="92">
        <v>45406.0</v>
      </c>
      <c r="R8" s="98" t="b">
        <v>0</v>
      </c>
      <c r="S8" s="101">
        <v>45589.0</v>
      </c>
      <c r="T8" s="98" t="b">
        <v>0</v>
      </c>
      <c r="U8" s="101">
        <v>45771.0</v>
      </c>
      <c r="V8" s="130" t="b">
        <v>0</v>
      </c>
      <c r="W8" s="107"/>
      <c r="X8" s="109"/>
      <c r="Y8" s="164" t="b">
        <v>0</v>
      </c>
      <c r="Z8" s="107"/>
      <c r="AA8" s="106"/>
      <c r="AB8" s="107"/>
      <c r="AC8" s="106"/>
      <c r="AD8" s="107"/>
      <c r="AE8" s="106"/>
      <c r="AF8" s="107"/>
      <c r="AG8" s="106"/>
      <c r="AH8" s="106"/>
      <c r="AI8" s="106"/>
      <c r="AJ8" s="106"/>
      <c r="AK8" s="106"/>
      <c r="AL8" s="116"/>
      <c r="AM8" s="118"/>
    </row>
    <row r="9" ht="22.5" customHeight="1">
      <c r="A9" s="60">
        <f t="shared" si="1"/>
        <v>6</v>
      </c>
      <c r="B9" s="63" t="s">
        <v>81</v>
      </c>
      <c r="C9" s="66" t="s">
        <v>101</v>
      </c>
      <c r="D9" s="66"/>
      <c r="E9" s="66"/>
      <c r="F9" s="64" t="s">
        <v>51</v>
      </c>
      <c r="G9" s="70" t="s">
        <v>102</v>
      </c>
      <c r="H9" s="71" t="s">
        <v>103</v>
      </c>
      <c r="I9" s="74"/>
      <c r="J9" s="77"/>
      <c r="K9" s="80"/>
      <c r="L9" s="81">
        <v>45945.0</v>
      </c>
      <c r="M9" s="84">
        <v>45492.0</v>
      </c>
      <c r="N9" s="139" t="s">
        <v>104</v>
      </c>
      <c r="O9" s="88">
        <f t="shared" si="2"/>
        <v>1</v>
      </c>
      <c r="P9" s="90">
        <v>4.0</v>
      </c>
      <c r="Q9" s="171">
        <v>45492.0</v>
      </c>
      <c r="R9" s="106" t="b">
        <v>1</v>
      </c>
      <c r="S9" s="171">
        <v>45629.0</v>
      </c>
      <c r="T9" s="99" t="b">
        <v>0</v>
      </c>
      <c r="U9" s="107">
        <v>45811.0</v>
      </c>
      <c r="V9" s="99" t="b">
        <v>0</v>
      </c>
      <c r="W9" s="107"/>
      <c r="X9" s="109"/>
      <c r="Y9" s="164" t="b">
        <v>0</v>
      </c>
      <c r="Z9" s="107"/>
      <c r="AA9" s="106"/>
      <c r="AB9" s="107"/>
      <c r="AC9" s="106"/>
      <c r="AD9" s="107"/>
      <c r="AE9" s="106"/>
      <c r="AF9" s="107"/>
      <c r="AG9" s="106"/>
      <c r="AH9" s="106"/>
      <c r="AI9" s="106"/>
      <c r="AJ9" s="106"/>
      <c r="AK9" s="106"/>
      <c r="AL9" s="116"/>
      <c r="AM9" s="123" t="s">
        <v>87</v>
      </c>
    </row>
    <row r="10" ht="22.5" hidden="1" customHeight="1">
      <c r="A10" s="60">
        <f t="shared" si="1"/>
        <v>6</v>
      </c>
      <c r="B10" s="63" t="s">
        <v>91</v>
      </c>
      <c r="C10" s="66" t="s">
        <v>111</v>
      </c>
      <c r="D10" s="66" t="s">
        <v>112</v>
      </c>
      <c r="E10" s="66"/>
      <c r="F10" s="64" t="s">
        <v>51</v>
      </c>
      <c r="G10" s="70" t="s">
        <v>114</v>
      </c>
      <c r="H10" s="71"/>
      <c r="I10" s="193" t="s">
        <v>124</v>
      </c>
      <c r="J10" s="77"/>
      <c r="K10" s="80"/>
      <c r="L10" s="81">
        <v>45875.0</v>
      </c>
      <c r="M10" s="84">
        <v>45327.0</v>
      </c>
      <c r="N10" s="139" t="s">
        <v>125</v>
      </c>
      <c r="O10" s="88">
        <f t="shared" si="2"/>
        <v>1</v>
      </c>
      <c r="P10" s="90">
        <v>4.0</v>
      </c>
      <c r="Q10" s="92">
        <v>45327.0</v>
      </c>
      <c r="R10" s="98" t="b">
        <v>1</v>
      </c>
      <c r="S10" s="101">
        <v>45506.0</v>
      </c>
      <c r="T10" s="98" t="b">
        <v>0</v>
      </c>
      <c r="U10" s="101">
        <v>45695.0</v>
      </c>
      <c r="V10" s="99" t="b">
        <v>0</v>
      </c>
      <c r="W10" s="107"/>
      <c r="X10" s="109"/>
      <c r="Y10" s="164" t="b">
        <v>0</v>
      </c>
      <c r="Z10" s="107"/>
      <c r="AA10" s="106"/>
      <c r="AB10" s="107"/>
      <c r="AC10" s="106"/>
      <c r="AD10" s="107"/>
      <c r="AE10" s="106"/>
      <c r="AF10" s="107"/>
      <c r="AG10" s="106"/>
      <c r="AH10" s="106"/>
      <c r="AI10" s="106"/>
      <c r="AJ10" s="106"/>
      <c r="AK10" s="106"/>
      <c r="AL10" s="116"/>
      <c r="AM10" s="118"/>
    </row>
    <row r="11" ht="22.5" hidden="1" customHeight="1">
      <c r="A11" s="60">
        <f t="shared" si="1"/>
        <v>6</v>
      </c>
      <c r="B11" s="63" t="s">
        <v>97</v>
      </c>
      <c r="C11" s="66" t="s">
        <v>111</v>
      </c>
      <c r="D11" s="66" t="s">
        <v>112</v>
      </c>
      <c r="E11" s="66"/>
      <c r="F11" s="64" t="s">
        <v>51</v>
      </c>
      <c r="G11" s="70" t="s">
        <v>132</v>
      </c>
      <c r="H11" s="206" t="s">
        <v>134</v>
      </c>
      <c r="I11" s="193" t="s">
        <v>135</v>
      </c>
      <c r="J11" s="77"/>
      <c r="K11" s="80"/>
      <c r="L11" s="81">
        <v>45813.0</v>
      </c>
      <c r="M11" s="84">
        <v>45327.0</v>
      </c>
      <c r="N11" s="139" t="s">
        <v>125</v>
      </c>
      <c r="O11" s="88">
        <f t="shared" si="2"/>
        <v>1</v>
      </c>
      <c r="P11" s="90">
        <v>4.0</v>
      </c>
      <c r="Q11" s="211">
        <v>45327.0</v>
      </c>
      <c r="R11" s="106" t="b">
        <v>1</v>
      </c>
      <c r="S11" s="101">
        <v>45506.0</v>
      </c>
      <c r="T11" s="98" t="b">
        <v>0</v>
      </c>
      <c r="U11" s="101">
        <v>45695.0</v>
      </c>
      <c r="V11" s="99" t="b">
        <v>0</v>
      </c>
      <c r="W11" s="107"/>
      <c r="X11" s="109"/>
      <c r="Y11" s="106" t="b">
        <v>0</v>
      </c>
      <c r="Z11" s="107"/>
      <c r="AA11" s="106"/>
      <c r="AB11" s="107"/>
      <c r="AC11" s="106"/>
      <c r="AD11" s="107"/>
      <c r="AE11" s="106"/>
      <c r="AF11" s="107"/>
      <c r="AG11" s="106"/>
      <c r="AH11" s="106"/>
      <c r="AI11" s="106"/>
      <c r="AJ11" s="106"/>
      <c r="AK11" s="106"/>
      <c r="AL11" s="217"/>
      <c r="AM11" s="220" t="s">
        <v>99</v>
      </c>
    </row>
    <row r="12" ht="22.5" hidden="1" customHeight="1">
      <c r="A12" s="60">
        <f t="shared" si="1"/>
        <v>6</v>
      </c>
      <c r="B12" s="63" t="s">
        <v>100</v>
      </c>
      <c r="C12" s="66" t="s">
        <v>111</v>
      </c>
      <c r="D12" s="153" t="s">
        <v>112</v>
      </c>
      <c r="E12" s="66"/>
      <c r="F12" s="64" t="s">
        <v>51</v>
      </c>
      <c r="G12" s="70" t="s">
        <v>144</v>
      </c>
      <c r="H12" s="223">
        <v>8.72818006E8</v>
      </c>
      <c r="I12" s="225" t="s">
        <v>145</v>
      </c>
      <c r="J12" s="226"/>
      <c r="K12" s="80"/>
      <c r="L12" s="81">
        <v>45828.0</v>
      </c>
      <c r="M12" s="84">
        <v>45322.0</v>
      </c>
      <c r="N12" s="139" t="s">
        <v>125</v>
      </c>
      <c r="O12" s="88">
        <f t="shared" si="2"/>
        <v>1</v>
      </c>
      <c r="P12" s="90">
        <v>4.0</v>
      </c>
      <c r="Q12" s="211">
        <v>45302.0</v>
      </c>
      <c r="R12" s="106" t="b">
        <v>1</v>
      </c>
      <c r="S12" s="101">
        <v>45506.0</v>
      </c>
      <c r="T12" s="98" t="b">
        <v>0</v>
      </c>
      <c r="U12" s="101">
        <v>45695.0</v>
      </c>
      <c r="V12" s="99" t="b">
        <v>0</v>
      </c>
      <c r="W12" s="107"/>
      <c r="X12" s="109"/>
      <c r="Y12" s="106" t="b">
        <v>0</v>
      </c>
      <c r="Z12" s="107"/>
      <c r="AA12" s="106"/>
      <c r="AB12" s="107"/>
      <c r="AC12" s="106"/>
      <c r="AD12" s="107"/>
      <c r="AE12" s="106"/>
      <c r="AF12" s="107"/>
      <c r="AG12" s="106"/>
      <c r="AH12" s="106"/>
      <c r="AI12" s="106"/>
      <c r="AJ12" s="106"/>
      <c r="AK12" s="106"/>
      <c r="AL12" s="116"/>
      <c r="AM12" s="146" t="s">
        <v>107</v>
      </c>
    </row>
    <row r="13" ht="22.5" hidden="1" customHeight="1">
      <c r="A13" s="60">
        <f t="shared" si="1"/>
        <v>6</v>
      </c>
      <c r="B13" s="63" t="s">
        <v>113</v>
      </c>
      <c r="C13" s="66" t="s">
        <v>111</v>
      </c>
      <c r="D13" s="66" t="s">
        <v>112</v>
      </c>
      <c r="E13" s="66"/>
      <c r="F13" s="64" t="s">
        <v>51</v>
      </c>
      <c r="G13" s="70" t="s">
        <v>151</v>
      </c>
      <c r="H13" s="71"/>
      <c r="I13" s="193" t="s">
        <v>152</v>
      </c>
      <c r="J13" s="77"/>
      <c r="K13" s="80"/>
      <c r="L13" s="81">
        <v>45875.0</v>
      </c>
      <c r="M13" s="84">
        <v>45337.0</v>
      </c>
      <c r="N13" s="139" t="s">
        <v>125</v>
      </c>
      <c r="O13" s="88">
        <f t="shared" si="2"/>
        <v>1</v>
      </c>
      <c r="P13" s="90">
        <v>4.0</v>
      </c>
      <c r="Q13" s="92">
        <v>45337.0</v>
      </c>
      <c r="R13" s="106" t="b">
        <v>1</v>
      </c>
      <c r="S13" s="101">
        <v>45506.0</v>
      </c>
      <c r="T13" s="98" t="b">
        <v>0</v>
      </c>
      <c r="U13" s="101">
        <v>45695.0</v>
      </c>
      <c r="V13" s="99" t="b">
        <v>0</v>
      </c>
      <c r="W13" s="107"/>
      <c r="X13" s="109"/>
      <c r="Y13" s="164" t="b">
        <v>0</v>
      </c>
      <c r="Z13" s="107"/>
      <c r="AA13" s="106"/>
      <c r="AB13" s="107"/>
      <c r="AC13" s="106"/>
      <c r="AD13" s="107"/>
      <c r="AE13" s="106"/>
      <c r="AF13" s="107"/>
      <c r="AG13" s="106"/>
      <c r="AH13" s="106"/>
      <c r="AI13" s="106"/>
      <c r="AJ13" s="106"/>
      <c r="AK13" s="106"/>
      <c r="AL13" s="116"/>
      <c r="AM13" s="146" t="s">
        <v>115</v>
      </c>
    </row>
    <row r="14" ht="22.5" hidden="1" customHeight="1">
      <c r="A14" s="60">
        <f t="shared" si="1"/>
        <v>6</v>
      </c>
      <c r="B14" s="63" t="s">
        <v>154</v>
      </c>
      <c r="C14" s="66" t="s">
        <v>155</v>
      </c>
      <c r="D14" s="66" t="s">
        <v>156</v>
      </c>
      <c r="E14" s="66"/>
      <c r="F14" s="64" t="s">
        <v>51</v>
      </c>
      <c r="G14" s="70" t="s">
        <v>157</v>
      </c>
      <c r="H14" s="71">
        <v>8.48485273E8</v>
      </c>
      <c r="I14" s="239" t="s">
        <v>158</v>
      </c>
      <c r="J14" s="241" t="s">
        <v>160</v>
      </c>
      <c r="K14" s="80"/>
      <c r="L14" s="81">
        <v>45916.0</v>
      </c>
      <c r="M14" s="84">
        <v>45381.0</v>
      </c>
      <c r="N14" s="128" t="s">
        <v>162</v>
      </c>
      <c r="O14" s="88" t="s">
        <v>163</v>
      </c>
      <c r="P14" s="90">
        <v>4.0</v>
      </c>
      <c r="Q14" s="92">
        <v>45381.0</v>
      </c>
      <c r="R14" s="98" t="b">
        <v>1</v>
      </c>
      <c r="S14" s="101">
        <v>45552.0</v>
      </c>
      <c r="T14" s="99" t="b">
        <v>0</v>
      </c>
      <c r="U14" s="101">
        <v>45734.0</v>
      </c>
      <c r="V14" s="99" t="b">
        <v>0</v>
      </c>
      <c r="W14" s="107"/>
      <c r="X14" s="109"/>
      <c r="Y14" s="99" t="b">
        <v>0</v>
      </c>
      <c r="Z14" s="101"/>
      <c r="AA14" s="99"/>
      <c r="AB14" s="101"/>
      <c r="AC14" s="99"/>
      <c r="AD14" s="101"/>
      <c r="AE14" s="99"/>
      <c r="AF14" s="101"/>
      <c r="AG14" s="99"/>
      <c r="AH14" s="99"/>
      <c r="AI14" s="99"/>
      <c r="AJ14" s="99"/>
      <c r="AK14" s="99"/>
      <c r="AL14" s="116"/>
      <c r="AM14" s="245"/>
    </row>
    <row r="15" ht="22.5" hidden="1" customHeight="1">
      <c r="A15" s="60">
        <f t="shared" si="1"/>
        <v>6</v>
      </c>
      <c r="B15" s="63" t="s">
        <v>147</v>
      </c>
      <c r="C15" s="66" t="s">
        <v>155</v>
      </c>
      <c r="D15" s="66" t="s">
        <v>156</v>
      </c>
      <c r="E15" s="66"/>
      <c r="F15" s="64" t="s">
        <v>51</v>
      </c>
      <c r="G15" s="70" t="s">
        <v>157</v>
      </c>
      <c r="H15" s="71">
        <v>8.48485273E8</v>
      </c>
      <c r="I15" s="246" t="s">
        <v>158</v>
      </c>
      <c r="J15" s="249" t="s">
        <v>171</v>
      </c>
      <c r="K15" s="80"/>
      <c r="L15" s="81">
        <v>45916.0</v>
      </c>
      <c r="M15" s="84">
        <v>45381.0</v>
      </c>
      <c r="N15" s="128" t="s">
        <v>162</v>
      </c>
      <c r="O15" s="88">
        <f t="shared" ref="O15:O17" si="3">COUNTIFS(Q15:AL15,"True")</f>
        <v>1</v>
      </c>
      <c r="P15" s="90">
        <v>4.0</v>
      </c>
      <c r="Q15" s="92">
        <v>45381.0</v>
      </c>
      <c r="R15" s="106" t="b">
        <v>1</v>
      </c>
      <c r="S15" s="101">
        <v>45552.0</v>
      </c>
      <c r="T15" s="99" t="b">
        <v>0</v>
      </c>
      <c r="U15" s="101">
        <v>45734.0</v>
      </c>
      <c r="V15" s="99" t="b">
        <v>0</v>
      </c>
      <c r="W15" s="107"/>
      <c r="X15" s="109"/>
      <c r="Y15" s="106" t="b">
        <v>0</v>
      </c>
      <c r="Z15" s="107"/>
      <c r="AA15" s="106"/>
      <c r="AB15" s="107"/>
      <c r="AC15" s="106"/>
      <c r="AD15" s="107"/>
      <c r="AE15" s="106"/>
      <c r="AF15" s="107"/>
      <c r="AG15" s="106"/>
      <c r="AH15" s="106"/>
      <c r="AI15" s="106"/>
      <c r="AJ15" s="106"/>
      <c r="AK15" s="106"/>
      <c r="AL15" s="116"/>
      <c r="AM15" s="146" t="s">
        <v>127</v>
      </c>
    </row>
    <row r="16" ht="22.5" hidden="1" customHeight="1">
      <c r="A16" s="60">
        <f t="shared" si="1"/>
        <v>6</v>
      </c>
      <c r="B16" s="63" t="s">
        <v>153</v>
      </c>
      <c r="C16" s="66" t="s">
        <v>155</v>
      </c>
      <c r="D16" s="66" t="s">
        <v>156</v>
      </c>
      <c r="E16" s="66"/>
      <c r="F16" s="64" t="s">
        <v>51</v>
      </c>
      <c r="G16" s="70" t="s">
        <v>182</v>
      </c>
      <c r="H16" s="71" t="s">
        <v>183</v>
      </c>
      <c r="I16" s="260" t="s">
        <v>183</v>
      </c>
      <c r="J16" s="241" t="s">
        <v>185</v>
      </c>
      <c r="K16" s="80"/>
      <c r="L16" s="81">
        <v>45916.0</v>
      </c>
      <c r="M16" s="84">
        <v>45381.0</v>
      </c>
      <c r="N16" s="128" t="s">
        <v>162</v>
      </c>
      <c r="O16" s="88">
        <f t="shared" si="3"/>
        <v>1</v>
      </c>
      <c r="P16" s="90">
        <v>4.0</v>
      </c>
      <c r="Q16" s="261">
        <v>45381.0</v>
      </c>
      <c r="R16" s="106" t="b">
        <v>1</v>
      </c>
      <c r="S16" s="261">
        <v>45552.0</v>
      </c>
      <c r="T16" s="99" t="b">
        <v>0</v>
      </c>
      <c r="U16" s="261">
        <v>45734.0</v>
      </c>
      <c r="V16" s="99" t="b">
        <v>0</v>
      </c>
      <c r="W16" s="264"/>
      <c r="X16" s="109"/>
      <c r="Y16" s="106" t="b">
        <v>0</v>
      </c>
      <c r="Z16" s="107"/>
      <c r="AA16" s="106"/>
      <c r="AB16" s="107"/>
      <c r="AC16" s="106"/>
      <c r="AD16" s="107"/>
      <c r="AE16" s="106"/>
      <c r="AF16" s="107"/>
      <c r="AG16" s="106"/>
      <c r="AH16" s="106"/>
      <c r="AI16" s="106"/>
      <c r="AJ16" s="106"/>
      <c r="AK16" s="106"/>
      <c r="AL16" s="116"/>
      <c r="AM16" s="131"/>
    </row>
    <row r="17" ht="22.5" customHeight="1">
      <c r="A17" s="60">
        <f t="shared" si="1"/>
        <v>7</v>
      </c>
      <c r="B17" s="63" t="s">
        <v>161</v>
      </c>
      <c r="C17" s="66" t="s">
        <v>191</v>
      </c>
      <c r="D17" s="66"/>
      <c r="E17" s="66"/>
      <c r="F17" s="64" t="s">
        <v>51</v>
      </c>
      <c r="G17" s="70" t="s">
        <v>193</v>
      </c>
      <c r="H17" s="71" t="s">
        <v>194</v>
      </c>
      <c r="I17" s="74"/>
      <c r="J17" s="77" t="s">
        <v>195</v>
      </c>
      <c r="K17" s="80"/>
      <c r="L17" s="81">
        <v>45821.0</v>
      </c>
      <c r="M17" s="84">
        <v>45299.0</v>
      </c>
      <c r="N17" s="139" t="s">
        <v>104</v>
      </c>
      <c r="O17" s="88">
        <f t="shared" si="3"/>
        <v>2</v>
      </c>
      <c r="P17" s="90">
        <v>4.0</v>
      </c>
      <c r="Q17" s="211">
        <v>45299.0</v>
      </c>
      <c r="R17" s="106" t="b">
        <v>1</v>
      </c>
      <c r="S17" s="171">
        <v>45492.0</v>
      </c>
      <c r="T17" s="106" t="b">
        <v>1</v>
      </c>
      <c r="U17" s="171">
        <v>45629.0</v>
      </c>
      <c r="V17" s="99" t="b">
        <v>0</v>
      </c>
      <c r="W17" s="107"/>
      <c r="X17" s="109"/>
      <c r="Y17" s="99" t="b">
        <v>0</v>
      </c>
      <c r="Z17" s="107"/>
      <c r="AA17" s="106"/>
      <c r="AB17" s="107"/>
      <c r="AC17" s="106"/>
      <c r="AD17" s="107"/>
      <c r="AE17" s="106"/>
      <c r="AF17" s="107"/>
      <c r="AG17" s="106"/>
      <c r="AH17" s="106"/>
      <c r="AI17" s="106"/>
      <c r="AJ17" s="106"/>
      <c r="AK17" s="106"/>
      <c r="AL17" s="116"/>
      <c r="AM17" s="273" t="s">
        <v>139</v>
      </c>
    </row>
    <row r="18" ht="22.5" customHeight="1">
      <c r="A18" s="60">
        <f t="shared" si="1"/>
        <v>8</v>
      </c>
      <c r="B18" s="63" t="s">
        <v>167</v>
      </c>
      <c r="C18" s="66" t="s">
        <v>199</v>
      </c>
      <c r="D18" s="66" t="s">
        <v>77</v>
      </c>
      <c r="E18" s="66"/>
      <c r="F18" s="64" t="s">
        <v>51</v>
      </c>
      <c r="G18" s="70"/>
      <c r="H18" s="71"/>
      <c r="I18" s="74"/>
      <c r="J18" s="279"/>
      <c r="K18" s="80"/>
      <c r="L18" s="81"/>
      <c r="M18" s="84"/>
      <c r="N18" s="86"/>
      <c r="O18" s="88"/>
      <c r="P18" s="90"/>
      <c r="Q18" s="92"/>
      <c r="R18" s="106"/>
      <c r="S18" s="101"/>
      <c r="T18" s="99"/>
      <c r="U18" s="101"/>
      <c r="V18" s="99"/>
      <c r="W18" s="107"/>
      <c r="X18" s="109"/>
      <c r="Y18" s="99" t="b">
        <v>0</v>
      </c>
      <c r="Z18" s="101"/>
      <c r="AA18" s="99"/>
      <c r="AB18" s="101"/>
      <c r="AC18" s="99"/>
      <c r="AD18" s="101"/>
      <c r="AE18" s="99"/>
      <c r="AF18" s="101"/>
      <c r="AG18" s="99"/>
      <c r="AH18" s="99"/>
      <c r="AI18" s="99"/>
      <c r="AJ18" s="99"/>
      <c r="AK18" s="99"/>
      <c r="AL18" s="116"/>
      <c r="AM18" s="118"/>
    </row>
    <row r="19" ht="22.5" customHeight="1">
      <c r="A19" s="60">
        <f t="shared" si="1"/>
        <v>9</v>
      </c>
      <c r="B19" s="63" t="s">
        <v>174</v>
      </c>
      <c r="C19" s="66" t="s">
        <v>48</v>
      </c>
      <c r="D19" s="66"/>
      <c r="E19" s="66"/>
      <c r="F19" s="64" t="s">
        <v>51</v>
      </c>
      <c r="G19" s="70" t="s">
        <v>206</v>
      </c>
      <c r="H19" s="71">
        <v>8.31020323E8</v>
      </c>
      <c r="I19" s="193" t="s">
        <v>207</v>
      </c>
      <c r="J19" s="285"/>
      <c r="K19" s="80"/>
      <c r="L19" s="81">
        <v>45632.0</v>
      </c>
      <c r="M19" s="84">
        <v>45456.0</v>
      </c>
      <c r="N19" s="86"/>
      <c r="O19" s="88">
        <f t="shared" ref="O19:O39" si="4">COUNTIFS(Q19:AL19,"True")</f>
        <v>3</v>
      </c>
      <c r="P19" s="90">
        <v>4.0</v>
      </c>
      <c r="Q19" s="92">
        <v>45083.0</v>
      </c>
      <c r="R19" s="106" t="b">
        <v>1</v>
      </c>
      <c r="S19" s="171">
        <v>45317.0</v>
      </c>
      <c r="T19" s="106" t="b">
        <v>1</v>
      </c>
      <c r="U19" s="171">
        <v>45456.0</v>
      </c>
      <c r="V19" s="106" t="b">
        <v>1</v>
      </c>
      <c r="W19" s="107"/>
      <c r="X19" s="109"/>
      <c r="Y19" s="99" t="b">
        <v>0</v>
      </c>
      <c r="Z19" s="107"/>
      <c r="AA19" s="106"/>
      <c r="AB19" s="107"/>
      <c r="AC19" s="106"/>
      <c r="AD19" s="107"/>
      <c r="AE19" s="106"/>
      <c r="AF19" s="107"/>
      <c r="AG19" s="106"/>
      <c r="AH19" s="106"/>
      <c r="AI19" s="106"/>
      <c r="AJ19" s="106"/>
      <c r="AK19" s="106"/>
      <c r="AL19" s="262"/>
      <c r="AM19" s="131"/>
    </row>
    <row r="20" ht="22.5" hidden="1" customHeight="1">
      <c r="A20" s="60">
        <f t="shared" si="1"/>
        <v>9</v>
      </c>
      <c r="B20" s="63" t="s">
        <v>177</v>
      </c>
      <c r="C20" s="290" t="s">
        <v>217</v>
      </c>
      <c r="D20" s="290" t="s">
        <v>218</v>
      </c>
      <c r="E20" s="291"/>
      <c r="F20" s="265" t="s">
        <v>51</v>
      </c>
      <c r="G20" s="125" t="s">
        <v>220</v>
      </c>
      <c r="H20" s="266" t="s">
        <v>221</v>
      </c>
      <c r="I20" s="74"/>
      <c r="J20" s="295" t="s">
        <v>223</v>
      </c>
      <c r="K20" s="298"/>
      <c r="L20" s="300">
        <v>45989.0</v>
      </c>
      <c r="M20" s="302">
        <v>45352.0</v>
      </c>
      <c r="N20" s="128" t="s">
        <v>227</v>
      </c>
      <c r="O20" s="268">
        <f t="shared" si="4"/>
        <v>3</v>
      </c>
      <c r="P20" s="269">
        <v>2.0</v>
      </c>
      <c r="Q20" s="112">
        <v>44562.0</v>
      </c>
      <c r="R20" s="164" t="b">
        <v>1</v>
      </c>
      <c r="S20" s="107">
        <v>45227.0</v>
      </c>
      <c r="T20" s="164" t="b">
        <v>1</v>
      </c>
      <c r="U20" s="101">
        <v>45352.0</v>
      </c>
      <c r="V20" s="106" t="b">
        <v>1</v>
      </c>
      <c r="W20" s="171"/>
      <c r="X20" s="309"/>
      <c r="Y20" s="99" t="b">
        <v>0</v>
      </c>
      <c r="Z20" s="107">
        <v>45807.0</v>
      </c>
      <c r="AA20" s="106" t="b">
        <v>0</v>
      </c>
      <c r="AB20" s="101">
        <v>45989.0</v>
      </c>
      <c r="AC20" s="106" t="b">
        <v>0</v>
      </c>
      <c r="AD20" s="107"/>
      <c r="AE20" s="164"/>
      <c r="AF20" s="107"/>
      <c r="AG20" s="164"/>
      <c r="AH20" s="164"/>
      <c r="AI20" s="164"/>
      <c r="AJ20" s="164"/>
      <c r="AK20" s="164"/>
      <c r="AL20" s="283"/>
      <c r="AM20" s="123" t="s">
        <v>165</v>
      </c>
    </row>
    <row r="21" ht="22.5" hidden="1" customHeight="1">
      <c r="A21" s="60">
        <f t="shared" si="1"/>
        <v>9</v>
      </c>
      <c r="B21" s="63" t="s">
        <v>188</v>
      </c>
      <c r="C21" s="66" t="s">
        <v>236</v>
      </c>
      <c r="D21" s="66" t="s">
        <v>237</v>
      </c>
      <c r="E21" s="153"/>
      <c r="F21" s="64" t="s">
        <v>51</v>
      </c>
      <c r="G21" s="70"/>
      <c r="H21" s="71"/>
      <c r="I21" s="74"/>
      <c r="J21" s="77"/>
      <c r="K21" s="80"/>
      <c r="L21" s="81">
        <v>46021.0</v>
      </c>
      <c r="M21" s="84">
        <v>45468.0</v>
      </c>
      <c r="N21" s="139" t="s">
        <v>238</v>
      </c>
      <c r="O21" s="88">
        <f t="shared" si="4"/>
        <v>1</v>
      </c>
      <c r="P21" s="90">
        <v>4.0</v>
      </c>
      <c r="Q21" s="261">
        <v>45468.0</v>
      </c>
      <c r="R21" s="321" t="b">
        <v>1</v>
      </c>
      <c r="S21" s="261">
        <v>45657.0</v>
      </c>
      <c r="T21" s="321" t="b">
        <v>0</v>
      </c>
      <c r="U21" s="261">
        <v>45832.0</v>
      </c>
      <c r="V21" s="323" t="b">
        <v>0</v>
      </c>
      <c r="W21" s="264"/>
      <c r="X21" s="109"/>
      <c r="Y21" s="99" t="b">
        <v>0</v>
      </c>
      <c r="Z21" s="107"/>
      <c r="AA21" s="106"/>
      <c r="AB21" s="107"/>
      <c r="AC21" s="106"/>
      <c r="AD21" s="107"/>
      <c r="AE21" s="106"/>
      <c r="AF21" s="107"/>
      <c r="AG21" s="106"/>
      <c r="AH21" s="106"/>
      <c r="AI21" s="106"/>
      <c r="AJ21" s="106"/>
      <c r="AK21" s="106"/>
      <c r="AL21" s="116"/>
      <c r="AM21" s="118"/>
    </row>
    <row r="22" ht="22.5" customHeight="1">
      <c r="A22" s="60">
        <f t="shared" si="1"/>
        <v>10</v>
      </c>
      <c r="B22" s="63" t="s">
        <v>197</v>
      </c>
      <c r="C22" s="66" t="s">
        <v>245</v>
      </c>
      <c r="D22" s="66"/>
      <c r="E22" s="331" t="s">
        <v>246</v>
      </c>
      <c r="F22" s="64" t="s">
        <v>51</v>
      </c>
      <c r="G22" s="70" t="s">
        <v>256</v>
      </c>
      <c r="H22" s="71" t="s">
        <v>257</v>
      </c>
      <c r="I22" s="74"/>
      <c r="J22" s="77"/>
      <c r="K22" s="80"/>
      <c r="L22" s="81">
        <v>45580.0</v>
      </c>
      <c r="M22" s="84">
        <v>45392.0</v>
      </c>
      <c r="N22" s="128" t="s">
        <v>258</v>
      </c>
      <c r="O22" s="88">
        <f t="shared" si="4"/>
        <v>3</v>
      </c>
      <c r="P22" s="90">
        <v>4.0</v>
      </c>
      <c r="Q22" s="261">
        <v>45013.0</v>
      </c>
      <c r="R22" s="321" t="b">
        <v>1</v>
      </c>
      <c r="S22" s="261">
        <v>45227.0</v>
      </c>
      <c r="T22" s="321" t="b">
        <v>1</v>
      </c>
      <c r="U22" s="261">
        <v>45392.0</v>
      </c>
      <c r="V22" s="321" t="b">
        <v>1</v>
      </c>
      <c r="W22" s="264"/>
      <c r="X22" s="109"/>
      <c r="Y22" s="99" t="b">
        <v>0</v>
      </c>
      <c r="Z22" s="107"/>
      <c r="AA22" s="106"/>
      <c r="AB22" s="107"/>
      <c r="AC22" s="106"/>
      <c r="AD22" s="107"/>
      <c r="AE22" s="106"/>
      <c r="AF22" s="107"/>
      <c r="AG22" s="106"/>
      <c r="AH22" s="106"/>
      <c r="AI22" s="106"/>
      <c r="AJ22" s="106"/>
      <c r="AK22" s="106"/>
      <c r="AL22" s="288"/>
      <c r="AM22" s="118"/>
    </row>
    <row r="23" ht="22.5" hidden="1" customHeight="1">
      <c r="A23" s="60">
        <f t="shared" si="1"/>
        <v>10</v>
      </c>
      <c r="B23" s="332" t="s">
        <v>200</v>
      </c>
      <c r="C23" s="290" t="s">
        <v>265</v>
      </c>
      <c r="D23" s="290" t="s">
        <v>266</v>
      </c>
      <c r="E23" s="291"/>
      <c r="F23" s="324" t="s">
        <v>51</v>
      </c>
      <c r="G23" s="125" t="s">
        <v>267</v>
      </c>
      <c r="H23" s="334"/>
      <c r="I23" s="74" t="s">
        <v>269</v>
      </c>
      <c r="J23" s="77" t="s">
        <v>270</v>
      </c>
      <c r="K23" s="80"/>
      <c r="L23" s="81">
        <v>45670.0</v>
      </c>
      <c r="M23" s="84">
        <v>45483.0</v>
      </c>
      <c r="N23" s="139" t="s">
        <v>271</v>
      </c>
      <c r="O23" s="88">
        <f t="shared" si="4"/>
        <v>4</v>
      </c>
      <c r="P23" s="269">
        <v>6.0</v>
      </c>
      <c r="Q23" s="264">
        <v>44676.0</v>
      </c>
      <c r="R23" s="336" t="b">
        <v>1</v>
      </c>
      <c r="S23" s="107">
        <v>44880.0</v>
      </c>
      <c r="T23" s="339" t="b">
        <v>1</v>
      </c>
      <c r="U23" s="107">
        <v>45120.0</v>
      </c>
      <c r="V23" s="336" t="b">
        <v>1</v>
      </c>
      <c r="W23" s="107"/>
      <c r="X23" s="109"/>
      <c r="Y23" s="99" t="b">
        <v>0</v>
      </c>
      <c r="Z23" s="107">
        <v>45483.0</v>
      </c>
      <c r="AA23" s="164" t="b">
        <v>1</v>
      </c>
      <c r="AB23" s="107">
        <v>45671.0</v>
      </c>
      <c r="AC23" s="164" t="b">
        <v>0</v>
      </c>
      <c r="AD23" s="107"/>
      <c r="AE23" s="164"/>
      <c r="AF23" s="107"/>
      <c r="AG23" s="164"/>
      <c r="AH23" s="164"/>
      <c r="AI23" s="164"/>
      <c r="AJ23" s="164"/>
      <c r="AK23" s="164"/>
      <c r="AL23" s="344"/>
      <c r="AM23" s="146" t="s">
        <v>186</v>
      </c>
    </row>
    <row r="24" ht="22.5" customHeight="1">
      <c r="A24" s="60">
        <f t="shared" si="1"/>
        <v>11</v>
      </c>
      <c r="B24" s="63" t="s">
        <v>209</v>
      </c>
      <c r="C24" s="66" t="s">
        <v>276</v>
      </c>
      <c r="D24" s="66" t="s">
        <v>277</v>
      </c>
      <c r="E24" s="66"/>
      <c r="F24" s="64" t="s">
        <v>51</v>
      </c>
      <c r="G24" s="70" t="s">
        <v>279</v>
      </c>
      <c r="H24" s="71">
        <v>8.96489467E8</v>
      </c>
      <c r="I24" s="74" t="s">
        <v>280</v>
      </c>
      <c r="J24" s="77"/>
      <c r="K24" s="80"/>
      <c r="L24" s="81">
        <v>45911.0</v>
      </c>
      <c r="M24" s="84">
        <v>45362.0</v>
      </c>
      <c r="N24" s="128" t="s">
        <v>282</v>
      </c>
      <c r="O24" s="88">
        <f t="shared" si="4"/>
        <v>2</v>
      </c>
      <c r="P24" s="90">
        <v>4.0</v>
      </c>
      <c r="Q24" s="211">
        <v>45362.0</v>
      </c>
      <c r="R24" s="106" t="b">
        <v>1</v>
      </c>
      <c r="S24" s="171">
        <v>45546.0</v>
      </c>
      <c r="T24" s="106" t="b">
        <v>0</v>
      </c>
      <c r="U24" s="171">
        <v>45727.0</v>
      </c>
      <c r="V24" s="99" t="b">
        <v>0</v>
      </c>
      <c r="W24" s="107"/>
      <c r="X24" s="109"/>
      <c r="Y24" s="106" t="b">
        <v>1</v>
      </c>
      <c r="Z24" s="107"/>
      <c r="AA24" s="106"/>
      <c r="AB24" s="107"/>
      <c r="AC24" s="106"/>
      <c r="AD24" s="107"/>
      <c r="AE24" s="106"/>
      <c r="AF24" s="107"/>
      <c r="AG24" s="106"/>
      <c r="AH24" s="106"/>
      <c r="AI24" s="106"/>
      <c r="AJ24" s="106"/>
      <c r="AK24" s="106"/>
      <c r="AL24" s="116"/>
      <c r="AM24" s="335" t="s">
        <v>196</v>
      </c>
    </row>
    <row r="25" ht="22.5" customHeight="1">
      <c r="A25" s="60">
        <f t="shared" si="1"/>
        <v>12</v>
      </c>
      <c r="B25" s="63" t="s">
        <v>210</v>
      </c>
      <c r="C25" s="66" t="s">
        <v>286</v>
      </c>
      <c r="D25" s="66"/>
      <c r="E25" s="66"/>
      <c r="F25" s="64" t="s">
        <v>51</v>
      </c>
      <c r="G25" s="70" t="s">
        <v>287</v>
      </c>
      <c r="H25" s="71" t="s">
        <v>288</v>
      </c>
      <c r="I25" s="74"/>
      <c r="J25" s="77"/>
      <c r="K25" s="80"/>
      <c r="L25" s="81">
        <v>45790.0</v>
      </c>
      <c r="M25" s="84">
        <v>45422.0</v>
      </c>
      <c r="N25" s="128" t="s">
        <v>289</v>
      </c>
      <c r="O25" s="88">
        <f t="shared" si="4"/>
        <v>2</v>
      </c>
      <c r="P25" s="90">
        <v>4.0</v>
      </c>
      <c r="Q25" s="92">
        <v>45299.0</v>
      </c>
      <c r="R25" s="98" t="b">
        <v>1</v>
      </c>
      <c r="S25" s="101">
        <v>45422.0</v>
      </c>
      <c r="T25" s="98" t="b">
        <v>1</v>
      </c>
      <c r="U25" s="101">
        <v>45608.0</v>
      </c>
      <c r="V25" s="130" t="b">
        <v>0</v>
      </c>
      <c r="W25" s="107"/>
      <c r="X25" s="109"/>
      <c r="Y25" s="99" t="b">
        <v>0</v>
      </c>
      <c r="Z25" s="107"/>
      <c r="AA25" s="106"/>
      <c r="AB25" s="107"/>
      <c r="AC25" s="106"/>
      <c r="AD25" s="107"/>
      <c r="AE25" s="106"/>
      <c r="AF25" s="107"/>
      <c r="AG25" s="106"/>
      <c r="AH25" s="106"/>
      <c r="AI25" s="106"/>
      <c r="AJ25" s="106"/>
      <c r="AK25" s="106"/>
      <c r="AL25" s="116"/>
      <c r="AM25" s="245"/>
    </row>
    <row r="26" ht="22.5" customHeight="1">
      <c r="A26" s="60">
        <f t="shared" si="1"/>
        <v>13</v>
      </c>
      <c r="B26" s="63" t="s">
        <v>222</v>
      </c>
      <c r="C26" s="66" t="s">
        <v>295</v>
      </c>
      <c r="D26" s="66" t="s">
        <v>296</v>
      </c>
      <c r="E26" s="66"/>
      <c r="F26" s="64" t="s">
        <v>51</v>
      </c>
      <c r="G26" s="70" t="s">
        <v>297</v>
      </c>
      <c r="H26" s="71"/>
      <c r="I26" s="351" t="s">
        <v>299</v>
      </c>
      <c r="J26" s="77" t="s">
        <v>304</v>
      </c>
      <c r="K26" s="80"/>
      <c r="L26" s="81">
        <v>45708.0</v>
      </c>
      <c r="M26" s="84">
        <v>45350.0</v>
      </c>
      <c r="N26" s="86"/>
      <c r="O26" s="88">
        <f t="shared" si="4"/>
        <v>2</v>
      </c>
      <c r="P26" s="90">
        <v>4.0</v>
      </c>
      <c r="Q26" s="92">
        <v>44987.0</v>
      </c>
      <c r="R26" s="106" t="b">
        <v>1</v>
      </c>
      <c r="S26" s="101">
        <v>45350.0</v>
      </c>
      <c r="T26" s="106" t="b">
        <v>1</v>
      </c>
      <c r="U26" s="101">
        <v>45527.0</v>
      </c>
      <c r="V26" s="106" t="b">
        <v>0</v>
      </c>
      <c r="W26" s="107"/>
      <c r="X26" s="109"/>
      <c r="Y26" s="99" t="b">
        <v>0</v>
      </c>
      <c r="Z26" s="107"/>
      <c r="AA26" s="106"/>
      <c r="AB26" s="107"/>
      <c r="AC26" s="106"/>
      <c r="AD26" s="107"/>
      <c r="AE26" s="106"/>
      <c r="AF26" s="107"/>
      <c r="AG26" s="106"/>
      <c r="AH26" s="106"/>
      <c r="AI26" s="106"/>
      <c r="AJ26" s="106"/>
      <c r="AK26" s="106"/>
      <c r="AL26" s="116"/>
      <c r="AM26" s="146"/>
    </row>
    <row r="27" ht="22.5" hidden="1" customHeight="1">
      <c r="A27" s="60">
        <f t="shared" si="1"/>
        <v>13</v>
      </c>
      <c r="B27" s="63" t="s">
        <v>228</v>
      </c>
      <c r="C27" s="290" t="s">
        <v>307</v>
      </c>
      <c r="D27" s="290" t="s">
        <v>308</v>
      </c>
      <c r="E27" s="290"/>
      <c r="F27" s="265" t="s">
        <v>51</v>
      </c>
      <c r="G27" s="125" t="s">
        <v>309</v>
      </c>
      <c r="H27" s="266" t="s">
        <v>311</v>
      </c>
      <c r="I27" s="74"/>
      <c r="J27" s="295"/>
      <c r="K27" s="298"/>
      <c r="L27" s="300">
        <v>45533.0</v>
      </c>
      <c r="M27" s="302">
        <v>45351.0</v>
      </c>
      <c r="N27" s="139" t="s">
        <v>312</v>
      </c>
      <c r="O27" s="268">
        <f t="shared" si="4"/>
        <v>3</v>
      </c>
      <c r="P27" s="269">
        <v>4.0</v>
      </c>
      <c r="Q27" s="112">
        <v>44832.0</v>
      </c>
      <c r="R27" s="339" t="b">
        <v>1</v>
      </c>
      <c r="S27" s="107">
        <v>44985.0</v>
      </c>
      <c r="T27" s="339" t="b">
        <v>1</v>
      </c>
      <c r="U27" s="107">
        <v>45351.0</v>
      </c>
      <c r="V27" s="339" t="b">
        <v>1</v>
      </c>
      <c r="W27" s="107"/>
      <c r="X27" s="109"/>
      <c r="Y27" s="99" t="b">
        <v>0</v>
      </c>
      <c r="Z27" s="107"/>
      <c r="AA27" s="106"/>
      <c r="AB27" s="107"/>
      <c r="AC27" s="106"/>
      <c r="AD27" s="107"/>
      <c r="AE27" s="164"/>
      <c r="AF27" s="107"/>
      <c r="AG27" s="164"/>
      <c r="AH27" s="164"/>
      <c r="AI27" s="164"/>
      <c r="AJ27" s="164"/>
      <c r="AK27" s="164"/>
      <c r="AL27" s="283"/>
      <c r="AM27" s="118"/>
    </row>
    <row r="28" ht="22.5" hidden="1" customHeight="1">
      <c r="A28" s="60">
        <f t="shared" si="1"/>
        <v>13</v>
      </c>
      <c r="B28" s="355" t="s">
        <v>231</v>
      </c>
      <c r="C28" s="357" t="s">
        <v>137</v>
      </c>
      <c r="D28" s="358"/>
      <c r="E28" s="358"/>
      <c r="F28" s="64" t="s">
        <v>51</v>
      </c>
      <c r="G28" s="362"/>
      <c r="H28" s="364"/>
      <c r="I28" s="366" t="s">
        <v>319</v>
      </c>
      <c r="J28" s="368"/>
      <c r="K28" s="80"/>
      <c r="L28" s="81">
        <v>45497.0</v>
      </c>
      <c r="M28" s="84">
        <v>45315.0</v>
      </c>
      <c r="N28" s="86"/>
      <c r="O28" s="88">
        <f t="shared" si="4"/>
        <v>1</v>
      </c>
      <c r="P28" s="90">
        <v>2.0</v>
      </c>
      <c r="Q28" s="261">
        <v>45315.0</v>
      </c>
      <c r="R28" s="321" t="b">
        <v>1</v>
      </c>
      <c r="S28" s="261">
        <v>45497.0</v>
      </c>
      <c r="T28" s="323" t="b">
        <v>0</v>
      </c>
      <c r="U28" s="261"/>
      <c r="V28" s="323"/>
      <c r="W28" s="264"/>
      <c r="X28" s="109"/>
      <c r="Y28" s="99" t="b">
        <v>0</v>
      </c>
      <c r="Z28" s="107"/>
      <c r="AA28" s="106"/>
      <c r="AB28" s="107"/>
      <c r="AC28" s="106"/>
      <c r="AD28" s="107"/>
      <c r="AE28" s="106"/>
      <c r="AF28" s="107"/>
      <c r="AG28" s="106"/>
      <c r="AH28" s="106"/>
      <c r="AI28" s="106"/>
      <c r="AJ28" s="106"/>
      <c r="AK28" s="106"/>
      <c r="AL28" s="116"/>
      <c r="AM28" s="118"/>
    </row>
    <row r="29" ht="22.5" hidden="1" customHeight="1">
      <c r="A29" s="60">
        <f t="shared" si="1"/>
        <v>13</v>
      </c>
      <c r="B29" s="63" t="s">
        <v>239</v>
      </c>
      <c r="C29" s="66" t="s">
        <v>77</v>
      </c>
      <c r="D29" s="66" t="s">
        <v>322</v>
      </c>
      <c r="E29" s="66"/>
      <c r="F29" s="64"/>
      <c r="G29" s="70" t="s">
        <v>323</v>
      </c>
      <c r="H29" s="71">
        <v>8.19561802E8</v>
      </c>
      <c r="I29" s="74"/>
      <c r="J29" s="279"/>
      <c r="K29" s="80"/>
      <c r="L29" s="81">
        <v>46149.0</v>
      </c>
      <c r="M29" s="84"/>
      <c r="N29" s="86"/>
      <c r="O29" s="88">
        <f t="shared" si="4"/>
        <v>0</v>
      </c>
      <c r="P29" s="90">
        <v>4.0</v>
      </c>
      <c r="Q29" s="92">
        <v>45603.0</v>
      </c>
      <c r="R29" s="106" t="b">
        <v>0</v>
      </c>
      <c r="S29" s="171">
        <v>45784.0</v>
      </c>
      <c r="T29" s="106" t="b">
        <v>0</v>
      </c>
      <c r="U29" s="171">
        <v>45966.0</v>
      </c>
      <c r="V29" s="99" t="b">
        <v>0</v>
      </c>
      <c r="W29" s="101"/>
      <c r="X29" s="309"/>
      <c r="Y29" s="164" t="b">
        <v>0</v>
      </c>
      <c r="Z29" s="101"/>
      <c r="AA29" s="99"/>
      <c r="AB29" s="101"/>
      <c r="AC29" s="99"/>
      <c r="AD29" s="101"/>
      <c r="AE29" s="99"/>
      <c r="AF29" s="101"/>
      <c r="AG29" s="99"/>
      <c r="AH29" s="99"/>
      <c r="AI29" s="99"/>
      <c r="AJ29" s="99"/>
      <c r="AK29" s="99"/>
      <c r="AL29" s="116"/>
      <c r="AM29" s="118"/>
    </row>
    <row r="30" ht="22.5" hidden="1" customHeight="1">
      <c r="A30" s="60">
        <f t="shared" si="1"/>
        <v>13</v>
      </c>
      <c r="B30" s="63" t="s">
        <v>247</v>
      </c>
      <c r="C30" s="66" t="s">
        <v>48</v>
      </c>
      <c r="D30" s="66" t="s">
        <v>327</v>
      </c>
      <c r="E30" s="66"/>
      <c r="F30" s="64" t="s">
        <v>51</v>
      </c>
      <c r="G30" s="70" t="s">
        <v>323</v>
      </c>
      <c r="H30" s="71">
        <v>8.19561802E8</v>
      </c>
      <c r="I30" s="74"/>
      <c r="J30" s="279"/>
      <c r="K30" s="80">
        <v>45425.0</v>
      </c>
      <c r="L30" s="81">
        <v>46149.0</v>
      </c>
      <c r="M30" s="84"/>
      <c r="N30" s="86"/>
      <c r="O30" s="88">
        <f t="shared" si="4"/>
        <v>0</v>
      </c>
      <c r="P30" s="90">
        <v>4.0</v>
      </c>
      <c r="Q30" s="92">
        <v>45603.0</v>
      </c>
      <c r="R30" s="98" t="b">
        <v>0</v>
      </c>
      <c r="S30" s="101">
        <v>45784.0</v>
      </c>
      <c r="T30" s="98" t="b">
        <v>0</v>
      </c>
      <c r="U30" s="101">
        <v>45966.0</v>
      </c>
      <c r="V30" s="130" t="b">
        <v>0</v>
      </c>
      <c r="W30" s="101"/>
      <c r="X30" s="309"/>
      <c r="Y30" s="164" t="b">
        <v>0</v>
      </c>
      <c r="Z30" s="101"/>
      <c r="AA30" s="99"/>
      <c r="AB30" s="101"/>
      <c r="AC30" s="99"/>
      <c r="AD30" s="101"/>
      <c r="AE30" s="99"/>
      <c r="AF30" s="101"/>
      <c r="AG30" s="99"/>
      <c r="AH30" s="99"/>
      <c r="AI30" s="99"/>
      <c r="AJ30" s="99"/>
      <c r="AK30" s="99"/>
      <c r="AL30" s="116"/>
      <c r="AM30" s="384"/>
    </row>
    <row r="31" ht="22.5" hidden="1" customHeight="1">
      <c r="A31" s="60">
        <f t="shared" si="1"/>
        <v>13</v>
      </c>
      <c r="B31" s="63" t="s">
        <v>260</v>
      </c>
      <c r="C31" s="66" t="s">
        <v>332</v>
      </c>
      <c r="D31" s="66" t="s">
        <v>333</v>
      </c>
      <c r="E31" s="66"/>
      <c r="F31" s="64" t="s">
        <v>51</v>
      </c>
      <c r="G31" s="70" t="s">
        <v>335</v>
      </c>
      <c r="H31" s="71" t="s">
        <v>336</v>
      </c>
      <c r="I31" s="389" t="s">
        <v>337</v>
      </c>
      <c r="J31" s="77"/>
      <c r="K31" s="80"/>
      <c r="L31" s="81">
        <v>45590.0</v>
      </c>
      <c r="M31" s="84">
        <v>45408.0</v>
      </c>
      <c r="N31" s="128" t="s">
        <v>339</v>
      </c>
      <c r="O31" s="88">
        <f t="shared" si="4"/>
        <v>3</v>
      </c>
      <c r="P31" s="90">
        <v>4.0</v>
      </c>
      <c r="Q31" s="92">
        <v>44927.0</v>
      </c>
      <c r="R31" s="106" t="b">
        <v>1</v>
      </c>
      <c r="S31" s="101">
        <v>45085.0</v>
      </c>
      <c r="T31" s="106" t="b">
        <v>1</v>
      </c>
      <c r="U31" s="101">
        <v>45408.0</v>
      </c>
      <c r="V31" s="106" t="b">
        <v>1</v>
      </c>
      <c r="W31" s="107"/>
      <c r="X31" s="109"/>
      <c r="Y31" s="106" t="b">
        <v>0</v>
      </c>
      <c r="Z31" s="107"/>
      <c r="AA31" s="106"/>
      <c r="AB31" s="107"/>
      <c r="AC31" s="106"/>
      <c r="AD31" s="107"/>
      <c r="AE31" s="106"/>
      <c r="AF31" s="107"/>
      <c r="AG31" s="106"/>
      <c r="AH31" s="106"/>
      <c r="AI31" s="106"/>
      <c r="AJ31" s="106"/>
      <c r="AK31" s="106"/>
      <c r="AL31" s="116"/>
      <c r="AM31" s="401"/>
    </row>
    <row r="32" ht="22.5" hidden="1" customHeight="1">
      <c r="A32" s="60">
        <f t="shared" si="1"/>
        <v>13</v>
      </c>
      <c r="B32" s="63" t="s">
        <v>345</v>
      </c>
      <c r="C32" s="405" t="s">
        <v>346</v>
      </c>
      <c r="D32" s="290" t="s">
        <v>333</v>
      </c>
      <c r="E32" s="290"/>
      <c r="F32" s="265" t="s">
        <v>51</v>
      </c>
      <c r="G32" s="125"/>
      <c r="H32" s="266" t="s">
        <v>190</v>
      </c>
      <c r="I32" s="226" t="s">
        <v>87</v>
      </c>
      <c r="J32" s="295"/>
      <c r="K32" s="298"/>
      <c r="L32" s="300">
        <v>45590.0</v>
      </c>
      <c r="M32" s="302">
        <v>45408.0</v>
      </c>
      <c r="N32" s="128" t="s">
        <v>339</v>
      </c>
      <c r="O32" s="268">
        <f t="shared" si="4"/>
        <v>3</v>
      </c>
      <c r="P32" s="269">
        <v>4.0</v>
      </c>
      <c r="Q32" s="112">
        <v>44942.0</v>
      </c>
      <c r="R32" s="339" t="b">
        <v>1</v>
      </c>
      <c r="S32" s="107">
        <v>45226.0</v>
      </c>
      <c r="T32" s="339" t="b">
        <v>1</v>
      </c>
      <c r="U32" s="107">
        <v>45408.0</v>
      </c>
      <c r="V32" s="339" t="b">
        <v>1</v>
      </c>
      <c r="W32" s="107"/>
      <c r="X32" s="109"/>
      <c r="Y32" s="164" t="b">
        <v>0</v>
      </c>
      <c r="Z32" s="107"/>
      <c r="AA32" s="164"/>
      <c r="AB32" s="107"/>
      <c r="AC32" s="164"/>
      <c r="AD32" s="107"/>
      <c r="AE32" s="164"/>
      <c r="AF32" s="107"/>
      <c r="AG32" s="164"/>
      <c r="AH32" s="164"/>
      <c r="AI32" s="164"/>
      <c r="AJ32" s="164"/>
      <c r="AK32" s="164"/>
      <c r="AL32" s="283"/>
      <c r="AM32" s="118"/>
    </row>
    <row r="33" ht="22.5" hidden="1" customHeight="1">
      <c r="A33" s="60">
        <f t="shared" si="1"/>
        <v>13</v>
      </c>
      <c r="B33" s="413" t="s">
        <v>354</v>
      </c>
      <c r="C33" s="354" t="s">
        <v>111</v>
      </c>
      <c r="D33" s="66" t="s">
        <v>333</v>
      </c>
      <c r="E33" s="356"/>
      <c r="F33" s="416" t="s">
        <v>55</v>
      </c>
      <c r="G33" s="202"/>
      <c r="H33" s="418"/>
      <c r="I33" s="419" t="s">
        <v>357</v>
      </c>
      <c r="J33" s="420" t="s">
        <v>359</v>
      </c>
      <c r="K33" s="359"/>
      <c r="L33" s="300">
        <v>46161.0</v>
      </c>
      <c r="M33" s="421"/>
      <c r="N33" s="139" t="s">
        <v>360</v>
      </c>
      <c r="O33" s="88">
        <f t="shared" si="4"/>
        <v>0</v>
      </c>
      <c r="P33" s="90">
        <v>4.0</v>
      </c>
      <c r="Q33" s="92">
        <v>45615.0</v>
      </c>
      <c r="R33" s="106" t="b">
        <v>0</v>
      </c>
      <c r="S33" s="101">
        <v>45797.0</v>
      </c>
      <c r="T33" s="106" t="b">
        <v>0</v>
      </c>
      <c r="U33" s="101">
        <v>45979.0</v>
      </c>
      <c r="V33" s="99" t="b">
        <v>0</v>
      </c>
      <c r="W33" s="107"/>
      <c r="X33" s="109"/>
      <c r="Y33" s="164" t="b">
        <v>0</v>
      </c>
      <c r="Z33" s="214"/>
      <c r="AA33" s="215"/>
      <c r="AB33" s="214"/>
      <c r="AC33" s="215"/>
      <c r="AD33" s="214"/>
      <c r="AE33" s="215"/>
      <c r="AF33" s="214"/>
      <c r="AG33" s="215"/>
      <c r="AH33" s="215"/>
      <c r="AI33" s="215"/>
      <c r="AJ33" s="215"/>
      <c r="AK33" s="215"/>
      <c r="AL33" s="216"/>
      <c r="AM33" s="146" t="s">
        <v>251</v>
      </c>
    </row>
    <row r="34" ht="22.5" hidden="1" customHeight="1">
      <c r="A34" s="60">
        <f t="shared" si="1"/>
        <v>13</v>
      </c>
      <c r="B34" s="63" t="s">
        <v>284</v>
      </c>
      <c r="C34" s="66" t="s">
        <v>122</v>
      </c>
      <c r="D34" s="66" t="s">
        <v>333</v>
      </c>
      <c r="E34" s="331" t="s">
        <v>123</v>
      </c>
      <c r="F34" s="64" t="s">
        <v>51</v>
      </c>
      <c r="G34" s="70" t="s">
        <v>367</v>
      </c>
      <c r="H34" s="71" t="s">
        <v>368</v>
      </c>
      <c r="I34" s="74" t="s">
        <v>369</v>
      </c>
      <c r="J34" s="77"/>
      <c r="K34" s="80"/>
      <c r="L34" s="81">
        <v>45772.0</v>
      </c>
      <c r="M34" s="84">
        <v>45493.0</v>
      </c>
      <c r="N34" s="128" t="s">
        <v>339</v>
      </c>
      <c r="O34" s="88">
        <f t="shared" si="4"/>
        <v>2</v>
      </c>
      <c r="P34" s="90">
        <v>4.0</v>
      </c>
      <c r="Q34" s="92">
        <v>45226.0</v>
      </c>
      <c r="R34" s="106" t="b">
        <v>1</v>
      </c>
      <c r="S34" s="101">
        <v>45493.0</v>
      </c>
      <c r="T34" s="106" t="b">
        <v>1</v>
      </c>
      <c r="U34" s="101">
        <v>45590.0</v>
      </c>
      <c r="V34" s="99" t="b">
        <v>0</v>
      </c>
      <c r="W34" s="107"/>
      <c r="X34" s="109"/>
      <c r="Y34" s="106" t="b">
        <v>0</v>
      </c>
      <c r="Z34" s="107"/>
      <c r="AA34" s="106"/>
      <c r="AB34" s="107"/>
      <c r="AC34" s="106"/>
      <c r="AD34" s="107"/>
      <c r="AE34" s="106"/>
      <c r="AF34" s="107"/>
      <c r="AG34" s="106"/>
      <c r="AH34" s="106"/>
      <c r="AI34" s="106"/>
      <c r="AJ34" s="106"/>
      <c r="AK34" s="106"/>
      <c r="AL34" s="427"/>
      <c r="AM34" s="146" t="s">
        <v>208</v>
      </c>
    </row>
    <row r="35" ht="22.5" customHeight="1">
      <c r="A35" s="60">
        <f t="shared" si="1"/>
        <v>14</v>
      </c>
      <c r="B35" s="63" t="s">
        <v>294</v>
      </c>
      <c r="C35" s="66" t="s">
        <v>111</v>
      </c>
      <c r="D35" s="290" t="s">
        <v>333</v>
      </c>
      <c r="E35" s="66"/>
      <c r="F35" s="64" t="s">
        <v>51</v>
      </c>
      <c r="G35" s="70" t="s">
        <v>376</v>
      </c>
      <c r="H35" s="71" t="s">
        <v>377</v>
      </c>
      <c r="I35" s="433" t="s">
        <v>380</v>
      </c>
      <c r="J35" s="77"/>
      <c r="K35" s="80"/>
      <c r="L35" s="81">
        <v>45772.0</v>
      </c>
      <c r="M35" s="84">
        <v>45370.0</v>
      </c>
      <c r="N35" s="128" t="s">
        <v>339</v>
      </c>
      <c r="O35" s="88">
        <f t="shared" si="4"/>
        <v>2</v>
      </c>
      <c r="P35" s="90">
        <v>4.0</v>
      </c>
      <c r="Q35" s="92">
        <v>45219.0</v>
      </c>
      <c r="R35" s="106" t="b">
        <v>1</v>
      </c>
      <c r="S35" s="101">
        <v>45370.0</v>
      </c>
      <c r="T35" s="106" t="b">
        <v>1</v>
      </c>
      <c r="U35" s="101">
        <v>45590.0</v>
      </c>
      <c r="V35" s="99" t="b">
        <v>0</v>
      </c>
      <c r="W35" s="107"/>
      <c r="X35" s="109"/>
      <c r="Y35" s="164" t="b">
        <v>0</v>
      </c>
      <c r="Z35" s="107"/>
      <c r="AA35" s="106"/>
      <c r="AB35" s="107"/>
      <c r="AC35" s="106"/>
      <c r="AD35" s="107"/>
      <c r="AE35" s="106"/>
      <c r="AF35" s="107"/>
      <c r="AG35" s="106"/>
      <c r="AH35" s="106"/>
      <c r="AI35" s="106"/>
      <c r="AJ35" s="106"/>
      <c r="AK35" s="106"/>
      <c r="AL35" s="116"/>
      <c r="AM35" s="123" t="s">
        <v>62</v>
      </c>
    </row>
    <row r="36" ht="22.5" hidden="1" customHeight="1">
      <c r="A36" s="60">
        <f t="shared" si="1"/>
        <v>14</v>
      </c>
      <c r="B36" s="63" t="s">
        <v>384</v>
      </c>
      <c r="C36" s="66" t="s">
        <v>111</v>
      </c>
      <c r="D36" s="66" t="s">
        <v>333</v>
      </c>
      <c r="E36" s="66"/>
      <c r="F36" s="64" t="s">
        <v>55</v>
      </c>
      <c r="G36" s="440" t="s">
        <v>388</v>
      </c>
      <c r="H36" s="71"/>
      <c r="I36" s="226" t="s">
        <v>389</v>
      </c>
      <c r="J36" s="279"/>
      <c r="K36" s="80"/>
      <c r="L36" s="81">
        <v>46161.0</v>
      </c>
      <c r="M36" s="84"/>
      <c r="N36" s="139" t="s">
        <v>360</v>
      </c>
      <c r="O36" s="88">
        <f t="shared" si="4"/>
        <v>0</v>
      </c>
      <c r="P36" s="90">
        <v>4.0</v>
      </c>
      <c r="Q36" s="92">
        <v>45615.0</v>
      </c>
      <c r="R36" s="106" t="b">
        <v>0</v>
      </c>
      <c r="S36" s="101">
        <v>45797.0</v>
      </c>
      <c r="T36" s="106" t="b">
        <v>0</v>
      </c>
      <c r="U36" s="101">
        <v>45979.0</v>
      </c>
      <c r="V36" s="99" t="b">
        <v>0</v>
      </c>
      <c r="W36" s="107"/>
      <c r="X36" s="109"/>
      <c r="Y36" s="164" t="b">
        <v>0</v>
      </c>
      <c r="Z36" s="101"/>
      <c r="AA36" s="99"/>
      <c r="AB36" s="101"/>
      <c r="AC36" s="99"/>
      <c r="AD36" s="101"/>
      <c r="AE36" s="99"/>
      <c r="AF36" s="101"/>
      <c r="AG36" s="99"/>
      <c r="AH36" s="99"/>
      <c r="AI36" s="99"/>
      <c r="AJ36" s="99"/>
      <c r="AK36" s="99"/>
      <c r="AL36" s="116"/>
      <c r="AM36" s="146" t="s">
        <v>106</v>
      </c>
    </row>
    <row r="37" ht="22.5" hidden="1" customHeight="1">
      <c r="A37" s="60">
        <f t="shared" si="1"/>
        <v>14</v>
      </c>
      <c r="B37" s="63" t="s">
        <v>305</v>
      </c>
      <c r="C37" s="66" t="s">
        <v>111</v>
      </c>
      <c r="D37" s="66" t="s">
        <v>391</v>
      </c>
      <c r="E37" s="66"/>
      <c r="F37" s="64" t="s">
        <v>51</v>
      </c>
      <c r="G37" s="70"/>
      <c r="H37" s="71"/>
      <c r="I37" s="74"/>
      <c r="J37" s="446" t="s">
        <v>392</v>
      </c>
      <c r="K37" s="80"/>
      <c r="L37" s="81">
        <v>46028.0</v>
      </c>
      <c r="M37" s="84">
        <v>45475.0</v>
      </c>
      <c r="N37" s="128" t="s">
        <v>397</v>
      </c>
      <c r="O37" s="88">
        <f t="shared" si="4"/>
        <v>1</v>
      </c>
      <c r="P37" s="90">
        <v>4.0</v>
      </c>
      <c r="Q37" s="92">
        <v>45475.0</v>
      </c>
      <c r="R37" s="106" t="b">
        <v>1</v>
      </c>
      <c r="S37" s="101">
        <v>45664.0</v>
      </c>
      <c r="T37" s="106" t="b">
        <v>0</v>
      </c>
      <c r="U37" s="101">
        <v>45839.0</v>
      </c>
      <c r="V37" s="99" t="b">
        <v>0</v>
      </c>
      <c r="W37" s="107"/>
      <c r="X37" s="109"/>
      <c r="Y37" s="99" t="b">
        <v>0</v>
      </c>
      <c r="Z37" s="101"/>
      <c r="AA37" s="99"/>
      <c r="AB37" s="101"/>
      <c r="AC37" s="99"/>
      <c r="AD37" s="101"/>
      <c r="AE37" s="99"/>
      <c r="AF37" s="101"/>
      <c r="AG37" s="99"/>
      <c r="AH37" s="99"/>
      <c r="AI37" s="99"/>
      <c r="AJ37" s="99"/>
      <c r="AK37" s="99"/>
      <c r="AL37" s="116"/>
      <c r="AM37" s="123" t="s">
        <v>120</v>
      </c>
    </row>
    <row r="38" ht="22.5" hidden="1" customHeight="1">
      <c r="A38" s="60">
        <f t="shared" si="1"/>
        <v>14</v>
      </c>
      <c r="B38" s="63" t="s">
        <v>310</v>
      </c>
      <c r="C38" s="66" t="s">
        <v>111</v>
      </c>
      <c r="D38" s="66" t="s">
        <v>391</v>
      </c>
      <c r="E38" s="66"/>
      <c r="F38" s="64" t="s">
        <v>51</v>
      </c>
      <c r="G38" s="313" t="s">
        <v>402</v>
      </c>
      <c r="H38" s="71"/>
      <c r="I38" s="226"/>
      <c r="J38" s="451"/>
      <c r="K38" s="80"/>
      <c r="L38" s="81">
        <v>46028.0</v>
      </c>
      <c r="M38" s="84">
        <v>45475.0</v>
      </c>
      <c r="N38" s="128" t="s">
        <v>397</v>
      </c>
      <c r="O38" s="88">
        <f t="shared" si="4"/>
        <v>1</v>
      </c>
      <c r="P38" s="90">
        <v>4.0</v>
      </c>
      <c r="Q38" s="92">
        <v>45475.0</v>
      </c>
      <c r="R38" s="106" t="b">
        <v>1</v>
      </c>
      <c r="S38" s="101">
        <v>45664.0</v>
      </c>
      <c r="T38" s="106" t="b">
        <v>0</v>
      </c>
      <c r="U38" s="101">
        <v>45839.0</v>
      </c>
      <c r="V38" s="99" t="b">
        <v>0</v>
      </c>
      <c r="W38" s="107"/>
      <c r="X38" s="109"/>
      <c r="Y38" s="99" t="b">
        <v>0</v>
      </c>
      <c r="Z38" s="101"/>
      <c r="AA38" s="99"/>
      <c r="AB38" s="101"/>
      <c r="AC38" s="99"/>
      <c r="AD38" s="101"/>
      <c r="AE38" s="99"/>
      <c r="AF38" s="101"/>
      <c r="AG38" s="99"/>
      <c r="AH38" s="99"/>
      <c r="AI38" s="99"/>
      <c r="AJ38" s="99"/>
      <c r="AK38" s="99"/>
      <c r="AL38" s="116"/>
      <c r="AM38" s="205" t="s">
        <v>133</v>
      </c>
    </row>
    <row r="39" ht="22.5" hidden="1" customHeight="1">
      <c r="A39" s="60">
        <f t="shared" si="1"/>
        <v>14</v>
      </c>
      <c r="B39" s="63" t="s">
        <v>313</v>
      </c>
      <c r="C39" s="66" t="s">
        <v>111</v>
      </c>
      <c r="D39" s="66" t="s">
        <v>405</v>
      </c>
      <c r="E39" s="66"/>
      <c r="F39" s="64" t="s">
        <v>51</v>
      </c>
      <c r="G39" s="70" t="s">
        <v>407</v>
      </c>
      <c r="H39" s="71" t="s">
        <v>408</v>
      </c>
      <c r="I39" s="74"/>
      <c r="J39" s="77"/>
      <c r="K39" s="80"/>
      <c r="L39" s="81">
        <v>45664.0</v>
      </c>
      <c r="M39" s="84">
        <v>45475.0</v>
      </c>
      <c r="N39" s="128" t="s">
        <v>397</v>
      </c>
      <c r="O39" s="88">
        <f t="shared" si="4"/>
        <v>3</v>
      </c>
      <c r="P39" s="90">
        <v>4.0</v>
      </c>
      <c r="Q39" s="211">
        <v>45086.0</v>
      </c>
      <c r="R39" s="106" t="b">
        <v>1</v>
      </c>
      <c r="S39" s="171">
        <v>45330.0</v>
      </c>
      <c r="T39" s="106" t="b">
        <v>1</v>
      </c>
      <c r="U39" s="101">
        <v>45475.0</v>
      </c>
      <c r="V39" s="106" t="b">
        <v>1</v>
      </c>
      <c r="W39" s="107"/>
      <c r="X39" s="109"/>
      <c r="Y39" s="164" t="b">
        <v>0</v>
      </c>
      <c r="Z39" s="107"/>
      <c r="AA39" s="106"/>
      <c r="AB39" s="107"/>
      <c r="AC39" s="106"/>
      <c r="AD39" s="107"/>
      <c r="AE39" s="106"/>
      <c r="AF39" s="107"/>
      <c r="AG39" s="106"/>
      <c r="AH39" s="106"/>
      <c r="AI39" s="106"/>
      <c r="AJ39" s="106"/>
      <c r="AK39" s="106"/>
      <c r="AL39" s="262"/>
      <c r="AM39" s="123" t="s">
        <v>172</v>
      </c>
    </row>
    <row r="40" ht="22.5" hidden="1" customHeight="1">
      <c r="A40" s="60">
        <f t="shared" si="1"/>
        <v>14</v>
      </c>
      <c r="B40" s="63" t="s">
        <v>316</v>
      </c>
      <c r="C40" s="66" t="s">
        <v>420</v>
      </c>
      <c r="D40" s="66" t="s">
        <v>391</v>
      </c>
      <c r="E40" s="66"/>
      <c r="F40" s="64" t="s">
        <v>51</v>
      </c>
      <c r="G40" s="462" t="s">
        <v>422</v>
      </c>
      <c r="H40" s="206" t="s">
        <v>425</v>
      </c>
      <c r="I40" s="226"/>
      <c r="J40" s="77"/>
      <c r="K40" s="80"/>
      <c r="L40" s="81">
        <v>46028.0</v>
      </c>
      <c r="M40" s="84">
        <v>45475.0</v>
      </c>
      <c r="N40" s="128" t="s">
        <v>397</v>
      </c>
      <c r="O40" s="88">
        <v>0.0</v>
      </c>
      <c r="P40" s="90">
        <v>4.0</v>
      </c>
      <c r="Q40" s="92">
        <v>45475.0</v>
      </c>
      <c r="R40" s="98" t="b">
        <v>1</v>
      </c>
      <c r="S40" s="101">
        <v>45664.0</v>
      </c>
      <c r="T40" s="98" t="b">
        <v>0</v>
      </c>
      <c r="U40" s="101">
        <v>45839.0</v>
      </c>
      <c r="V40" s="130" t="b">
        <v>0</v>
      </c>
      <c r="W40" s="107"/>
      <c r="X40" s="109"/>
      <c r="Y40" s="99" t="b">
        <v>0</v>
      </c>
      <c r="Z40" s="101"/>
      <c r="AA40" s="99"/>
      <c r="AB40" s="101"/>
      <c r="AC40" s="99"/>
      <c r="AD40" s="101"/>
      <c r="AE40" s="99"/>
      <c r="AF40" s="101"/>
      <c r="AG40" s="99"/>
      <c r="AH40" s="99"/>
      <c r="AI40" s="99"/>
      <c r="AJ40" s="99"/>
      <c r="AK40" s="99"/>
      <c r="AL40" s="116"/>
      <c r="AM40" s="245"/>
    </row>
    <row r="41" ht="22.5" hidden="1" customHeight="1">
      <c r="A41" s="60">
        <f t="shared" si="1"/>
        <v>14</v>
      </c>
      <c r="B41" s="63" t="s">
        <v>321</v>
      </c>
      <c r="C41" s="66" t="s">
        <v>295</v>
      </c>
      <c r="D41" s="466" t="s">
        <v>430</v>
      </c>
      <c r="E41" s="66"/>
      <c r="F41" s="64" t="s">
        <v>51</v>
      </c>
      <c r="G41" s="70" t="s">
        <v>432</v>
      </c>
      <c r="H41" s="71">
        <v>9.51013762E8</v>
      </c>
      <c r="I41" s="467" t="s">
        <v>433</v>
      </c>
      <c r="J41" s="77"/>
      <c r="K41" s="80"/>
      <c r="L41" s="81">
        <v>45923.0</v>
      </c>
      <c r="M41" s="84">
        <v>45380.0</v>
      </c>
      <c r="N41" s="128" t="s">
        <v>435</v>
      </c>
      <c r="O41" s="88">
        <f t="shared" ref="O41:O65" si="5">COUNTIFS(Q41:AL41,"True")</f>
        <v>1</v>
      </c>
      <c r="P41" s="90">
        <v>4.0</v>
      </c>
      <c r="Q41" s="211">
        <v>45387.0</v>
      </c>
      <c r="R41" s="106" t="b">
        <v>1</v>
      </c>
      <c r="S41" s="101">
        <v>45559.0</v>
      </c>
      <c r="T41" s="99" t="b">
        <v>0</v>
      </c>
      <c r="U41" s="101">
        <v>45741.0</v>
      </c>
      <c r="V41" s="99" t="b">
        <v>0</v>
      </c>
      <c r="W41" s="107"/>
      <c r="X41" s="109"/>
      <c r="Y41" s="106" t="b">
        <v>0</v>
      </c>
      <c r="Z41" s="107"/>
      <c r="AA41" s="106"/>
      <c r="AB41" s="107"/>
      <c r="AC41" s="106"/>
      <c r="AD41" s="107"/>
      <c r="AE41" s="106"/>
      <c r="AF41" s="107"/>
      <c r="AG41" s="106"/>
      <c r="AH41" s="106"/>
      <c r="AI41" s="106"/>
      <c r="AJ41" s="106"/>
      <c r="AK41" s="106"/>
      <c r="AL41" s="116"/>
      <c r="AM41" s="146" t="s">
        <v>164</v>
      </c>
    </row>
    <row r="42" ht="22.5" hidden="1" customHeight="1">
      <c r="A42" s="60">
        <f t="shared" si="1"/>
        <v>14</v>
      </c>
      <c r="B42" s="63" t="s">
        <v>440</v>
      </c>
      <c r="C42" s="66" t="s">
        <v>199</v>
      </c>
      <c r="D42" s="66" t="s">
        <v>430</v>
      </c>
      <c r="E42" s="66"/>
      <c r="F42" s="64" t="s">
        <v>51</v>
      </c>
      <c r="G42" s="70" t="s">
        <v>444</v>
      </c>
      <c r="H42" s="467"/>
      <c r="I42" s="473"/>
      <c r="J42" s="451"/>
      <c r="K42" s="80"/>
      <c r="L42" s="81">
        <v>46105.0</v>
      </c>
      <c r="M42" s="84"/>
      <c r="N42" s="128" t="s">
        <v>435</v>
      </c>
      <c r="O42" s="88">
        <f t="shared" si="5"/>
        <v>0</v>
      </c>
      <c r="P42" s="90">
        <v>4.0</v>
      </c>
      <c r="Q42" s="211">
        <v>45559.0</v>
      </c>
      <c r="R42" s="99" t="b">
        <v>0</v>
      </c>
      <c r="S42" s="101">
        <v>45741.0</v>
      </c>
      <c r="T42" s="106" t="b">
        <v>0</v>
      </c>
      <c r="U42" s="107">
        <v>45923.0</v>
      </c>
      <c r="V42" s="106" t="b">
        <v>0</v>
      </c>
      <c r="W42" s="107"/>
      <c r="X42" s="109"/>
      <c r="Y42" s="106" t="b">
        <v>0</v>
      </c>
      <c r="Z42" s="101"/>
      <c r="AA42" s="99"/>
      <c r="AB42" s="101"/>
      <c r="AC42" s="99"/>
      <c r="AD42" s="101"/>
      <c r="AE42" s="99"/>
      <c r="AF42" s="101"/>
      <c r="AG42" s="99"/>
      <c r="AH42" s="99"/>
      <c r="AI42" s="99"/>
      <c r="AJ42" s="99"/>
      <c r="AK42" s="99"/>
      <c r="AL42" s="116"/>
      <c r="AM42" s="220" t="s">
        <v>148</v>
      </c>
    </row>
    <row r="43" ht="22.5" hidden="1" customHeight="1">
      <c r="A43" s="60">
        <f t="shared" si="1"/>
        <v>14</v>
      </c>
      <c r="B43" s="63" t="s">
        <v>328</v>
      </c>
      <c r="C43" s="66" t="s">
        <v>111</v>
      </c>
      <c r="D43" s="66" t="s">
        <v>430</v>
      </c>
      <c r="E43" s="66"/>
      <c r="F43" s="64" t="s">
        <v>51</v>
      </c>
      <c r="G43" s="70" t="s">
        <v>444</v>
      </c>
      <c r="H43" s="71"/>
      <c r="I43" s="74"/>
      <c r="J43" s="279"/>
      <c r="K43" s="80"/>
      <c r="L43" s="81">
        <v>46105.0</v>
      </c>
      <c r="M43" s="84"/>
      <c r="N43" s="128" t="s">
        <v>435</v>
      </c>
      <c r="O43" s="88">
        <f t="shared" si="5"/>
        <v>0</v>
      </c>
      <c r="P43" s="90">
        <v>4.0</v>
      </c>
      <c r="Q43" s="211">
        <v>45559.0</v>
      </c>
      <c r="R43" s="99" t="b">
        <v>0</v>
      </c>
      <c r="S43" s="171">
        <v>45741.0</v>
      </c>
      <c r="T43" s="99" t="b">
        <v>0</v>
      </c>
      <c r="U43" s="274">
        <v>45923.0</v>
      </c>
      <c r="V43" s="106" t="b">
        <v>0</v>
      </c>
      <c r="W43" s="107"/>
      <c r="X43" s="109"/>
      <c r="Y43" s="106" t="b">
        <v>0</v>
      </c>
      <c r="Z43" s="101"/>
      <c r="AA43" s="99"/>
      <c r="AB43" s="101"/>
      <c r="AC43" s="99"/>
      <c r="AD43" s="101"/>
      <c r="AE43" s="99"/>
      <c r="AF43" s="101"/>
      <c r="AG43" s="99"/>
      <c r="AH43" s="99"/>
      <c r="AI43" s="99"/>
      <c r="AJ43" s="99"/>
      <c r="AK43" s="99"/>
      <c r="AL43" s="116"/>
      <c r="AM43" s="123" t="s">
        <v>178</v>
      </c>
    </row>
    <row r="44" ht="22.5" hidden="1" customHeight="1">
      <c r="A44" s="60">
        <f t="shared" si="1"/>
        <v>14</v>
      </c>
      <c r="B44" s="63" t="s">
        <v>451</v>
      </c>
      <c r="C44" s="66" t="s">
        <v>111</v>
      </c>
      <c r="D44" s="66" t="s">
        <v>430</v>
      </c>
      <c r="E44" s="66"/>
      <c r="F44" s="64" t="s">
        <v>55</v>
      </c>
      <c r="G44" s="481"/>
      <c r="H44" s="71"/>
      <c r="I44" s="226"/>
      <c r="J44" s="279"/>
      <c r="K44" s="80"/>
      <c r="L44" s="81">
        <v>46140.0</v>
      </c>
      <c r="M44" s="84"/>
      <c r="N44" s="139" t="s">
        <v>452</v>
      </c>
      <c r="O44" s="88">
        <f t="shared" si="5"/>
        <v>0</v>
      </c>
      <c r="P44" s="90">
        <v>4.0</v>
      </c>
      <c r="Q44" s="92">
        <v>45594.0</v>
      </c>
      <c r="R44" s="106" t="b">
        <v>0</v>
      </c>
      <c r="S44" s="101">
        <v>45776.0</v>
      </c>
      <c r="T44" s="106" t="b">
        <v>0</v>
      </c>
      <c r="U44" s="101">
        <v>45958.0</v>
      </c>
      <c r="V44" s="99" t="b">
        <v>0</v>
      </c>
      <c r="W44" s="101"/>
      <c r="X44" s="309"/>
      <c r="Y44" s="164" t="b">
        <v>0</v>
      </c>
      <c r="Z44" s="101"/>
      <c r="AA44" s="99"/>
      <c r="AB44" s="101"/>
      <c r="AC44" s="99"/>
      <c r="AD44" s="101"/>
      <c r="AE44" s="99"/>
      <c r="AF44" s="101"/>
      <c r="AG44" s="99"/>
      <c r="AH44" s="99"/>
      <c r="AI44" s="99"/>
      <c r="AJ44" s="99"/>
      <c r="AK44" s="99"/>
      <c r="AL44" s="116"/>
      <c r="AM44" s="146" t="s">
        <v>88</v>
      </c>
    </row>
    <row r="45" ht="22.5" hidden="1" customHeight="1">
      <c r="A45" s="60">
        <f t="shared" si="1"/>
        <v>14</v>
      </c>
      <c r="B45" s="63" t="s">
        <v>331</v>
      </c>
      <c r="C45" s="66" t="s">
        <v>199</v>
      </c>
      <c r="D45" s="66" t="s">
        <v>430</v>
      </c>
      <c r="E45" s="66"/>
      <c r="F45" s="64" t="s">
        <v>51</v>
      </c>
      <c r="G45" s="70" t="s">
        <v>444</v>
      </c>
      <c r="H45" s="71"/>
      <c r="I45" s="74"/>
      <c r="J45" s="279"/>
      <c r="K45" s="80"/>
      <c r="L45" s="81">
        <v>46105.0</v>
      </c>
      <c r="M45" s="84"/>
      <c r="N45" s="128" t="s">
        <v>435</v>
      </c>
      <c r="O45" s="88">
        <f t="shared" si="5"/>
        <v>0</v>
      </c>
      <c r="P45" s="90">
        <v>4.0</v>
      </c>
      <c r="Q45" s="211">
        <v>45559.0</v>
      </c>
      <c r="R45" s="99" t="b">
        <v>0</v>
      </c>
      <c r="S45" s="171">
        <v>45741.0</v>
      </c>
      <c r="T45" s="106" t="b">
        <v>0</v>
      </c>
      <c r="U45" s="274">
        <v>45923.0</v>
      </c>
      <c r="V45" s="106" t="b">
        <v>0</v>
      </c>
      <c r="W45" s="107"/>
      <c r="X45" s="109"/>
      <c r="Y45" s="106" t="b">
        <v>0</v>
      </c>
      <c r="Z45" s="101"/>
      <c r="AA45" s="99"/>
      <c r="AB45" s="101"/>
      <c r="AC45" s="99"/>
      <c r="AD45" s="101"/>
      <c r="AE45" s="99"/>
      <c r="AF45" s="101"/>
      <c r="AG45" s="99"/>
      <c r="AH45" s="99"/>
      <c r="AI45" s="99"/>
      <c r="AJ45" s="99"/>
      <c r="AK45" s="99"/>
      <c r="AL45" s="116"/>
      <c r="AM45" s="220" t="s">
        <v>211</v>
      </c>
    </row>
    <row r="46" ht="22.5" hidden="1" customHeight="1">
      <c r="A46" s="60">
        <f t="shared" si="1"/>
        <v>14</v>
      </c>
      <c r="B46" s="63" t="s">
        <v>455</v>
      </c>
      <c r="C46" s="66" t="s">
        <v>111</v>
      </c>
      <c r="D46" s="66" t="s">
        <v>430</v>
      </c>
      <c r="E46" s="66"/>
      <c r="F46" s="64" t="s">
        <v>55</v>
      </c>
      <c r="G46" s="481" t="s">
        <v>457</v>
      </c>
      <c r="H46" s="71"/>
      <c r="I46" s="74"/>
      <c r="J46" s="279"/>
      <c r="K46" s="80"/>
      <c r="L46" s="81">
        <v>46140.0</v>
      </c>
      <c r="M46" s="84"/>
      <c r="N46" s="139" t="s">
        <v>452</v>
      </c>
      <c r="O46" s="88">
        <f t="shared" si="5"/>
        <v>0</v>
      </c>
      <c r="P46" s="90">
        <v>4.0</v>
      </c>
      <c r="Q46" s="211">
        <v>45594.0</v>
      </c>
      <c r="R46" s="106" t="b">
        <v>0</v>
      </c>
      <c r="S46" s="171">
        <v>45776.0</v>
      </c>
      <c r="T46" s="106" t="b">
        <v>0</v>
      </c>
      <c r="U46" s="171">
        <v>45958.0</v>
      </c>
      <c r="V46" s="99" t="b">
        <v>0</v>
      </c>
      <c r="W46" s="101"/>
      <c r="X46" s="309"/>
      <c r="Y46" s="164" t="b">
        <v>0</v>
      </c>
      <c r="Z46" s="101"/>
      <c r="AA46" s="99"/>
      <c r="AB46" s="101"/>
      <c r="AC46" s="99"/>
      <c r="AD46" s="101"/>
      <c r="AE46" s="99"/>
      <c r="AF46" s="101"/>
      <c r="AG46" s="99"/>
      <c r="AH46" s="99"/>
      <c r="AI46" s="99"/>
      <c r="AJ46" s="99"/>
      <c r="AK46" s="99"/>
      <c r="AL46" s="116"/>
      <c r="AM46" s="123" t="s">
        <v>225</v>
      </c>
    </row>
    <row r="47" ht="22.5" hidden="1" customHeight="1">
      <c r="A47" s="60">
        <f t="shared" si="1"/>
        <v>14</v>
      </c>
      <c r="B47" s="63" t="s">
        <v>342</v>
      </c>
      <c r="C47" s="66" t="s">
        <v>346</v>
      </c>
      <c r="D47" s="66" t="s">
        <v>459</v>
      </c>
      <c r="E47" s="66"/>
      <c r="F47" s="64" t="s">
        <v>51</v>
      </c>
      <c r="G47" s="70" t="s">
        <v>460</v>
      </c>
      <c r="H47" s="71"/>
      <c r="I47" s="193" t="s">
        <v>461</v>
      </c>
      <c r="J47" s="486"/>
      <c r="K47" s="80"/>
      <c r="L47" s="81">
        <v>45575.0</v>
      </c>
      <c r="M47" s="84">
        <v>45322.0</v>
      </c>
      <c r="N47" s="86"/>
      <c r="O47" s="88">
        <f t="shared" si="5"/>
        <v>1</v>
      </c>
      <c r="P47" s="90">
        <v>4.0</v>
      </c>
      <c r="Q47" s="211">
        <v>45322.0</v>
      </c>
      <c r="R47" s="106" t="b">
        <v>1</v>
      </c>
      <c r="S47" s="171">
        <v>45471.0</v>
      </c>
      <c r="T47" s="99" t="b">
        <v>0</v>
      </c>
      <c r="U47" s="171">
        <v>45453.0</v>
      </c>
      <c r="V47" s="99" t="b">
        <v>0</v>
      </c>
      <c r="W47" s="107"/>
      <c r="X47" s="109"/>
      <c r="Y47" s="106" t="b">
        <v>0</v>
      </c>
      <c r="Z47" s="107"/>
      <c r="AA47" s="106"/>
      <c r="AB47" s="107"/>
      <c r="AC47" s="106"/>
      <c r="AD47" s="107"/>
      <c r="AE47" s="106"/>
      <c r="AF47" s="107"/>
      <c r="AG47" s="106"/>
      <c r="AH47" s="106"/>
      <c r="AI47" s="106"/>
      <c r="AJ47" s="106"/>
      <c r="AK47" s="106"/>
      <c r="AL47" s="116"/>
      <c r="AM47" s="346" t="s">
        <v>290</v>
      </c>
    </row>
    <row r="48" ht="22.5" hidden="1" customHeight="1">
      <c r="A48" s="60">
        <f t="shared" si="1"/>
        <v>14</v>
      </c>
      <c r="B48" s="63" t="s">
        <v>350</v>
      </c>
      <c r="C48" s="66" t="s">
        <v>465</v>
      </c>
      <c r="D48" s="66" t="s">
        <v>426</v>
      </c>
      <c r="E48" s="66"/>
      <c r="F48" s="64" t="s">
        <v>51</v>
      </c>
      <c r="G48" s="70" t="s">
        <v>467</v>
      </c>
      <c r="H48" s="71" t="s">
        <v>427</v>
      </c>
      <c r="I48" s="74"/>
      <c r="J48" s="77"/>
      <c r="K48" s="80"/>
      <c r="L48" s="493">
        <v>45569.0</v>
      </c>
      <c r="M48" s="84">
        <v>45384.0</v>
      </c>
      <c r="N48" s="86"/>
      <c r="O48" s="88">
        <f t="shared" si="5"/>
        <v>3</v>
      </c>
      <c r="P48" s="90">
        <v>4.0</v>
      </c>
      <c r="Q48" s="211">
        <v>45019.0</v>
      </c>
      <c r="R48" s="106" t="b">
        <v>1</v>
      </c>
      <c r="S48" s="171">
        <v>45201.0</v>
      </c>
      <c r="T48" s="106" t="b">
        <v>1</v>
      </c>
      <c r="U48" s="171">
        <v>45384.0</v>
      </c>
      <c r="V48" s="106" t="b">
        <v>1</v>
      </c>
      <c r="W48" s="107"/>
      <c r="X48" s="109"/>
      <c r="Y48" s="106" t="b">
        <v>0</v>
      </c>
      <c r="Z48" s="107"/>
      <c r="AA48" s="106"/>
      <c r="AB48" s="107"/>
      <c r="AC48" s="106"/>
      <c r="AD48" s="107"/>
      <c r="AE48" s="106"/>
      <c r="AF48" s="107"/>
      <c r="AG48" s="106"/>
      <c r="AH48" s="106"/>
      <c r="AI48" s="106"/>
      <c r="AJ48" s="106"/>
      <c r="AK48" s="106"/>
      <c r="AL48" s="288"/>
      <c r="AM48" s="313"/>
    </row>
    <row r="49" ht="22.5" customHeight="1">
      <c r="A49" s="60">
        <f t="shared" si="1"/>
        <v>15</v>
      </c>
      <c r="B49" s="63" t="s">
        <v>356</v>
      </c>
      <c r="C49" s="66" t="s">
        <v>276</v>
      </c>
      <c r="D49" s="66" t="s">
        <v>480</v>
      </c>
      <c r="E49" s="66"/>
      <c r="F49" s="64" t="s">
        <v>51</v>
      </c>
      <c r="G49" s="70" t="s">
        <v>436</v>
      </c>
      <c r="H49" s="71" t="s">
        <v>437</v>
      </c>
      <c r="I49" s="246" t="s">
        <v>484</v>
      </c>
      <c r="J49" s="509" t="s">
        <v>489</v>
      </c>
      <c r="K49" s="80"/>
      <c r="L49" s="81">
        <v>45678.0</v>
      </c>
      <c r="M49" s="84">
        <v>45496.0</v>
      </c>
      <c r="N49" s="512" t="s">
        <v>415</v>
      </c>
      <c r="O49" s="88">
        <f t="shared" si="5"/>
        <v>5</v>
      </c>
      <c r="P49" s="90">
        <v>8.0</v>
      </c>
      <c r="Q49" s="211">
        <v>44846.0</v>
      </c>
      <c r="R49" s="106" t="b">
        <v>1</v>
      </c>
      <c r="S49" s="171">
        <v>44932.0</v>
      </c>
      <c r="T49" s="106" t="b">
        <v>1</v>
      </c>
      <c r="U49" s="171">
        <v>45040.0</v>
      </c>
      <c r="V49" s="106" t="b">
        <v>1</v>
      </c>
      <c r="W49" s="107"/>
      <c r="X49" s="109"/>
      <c r="Y49" s="106" t="b">
        <v>0</v>
      </c>
      <c r="Z49" s="107">
        <v>45412.0</v>
      </c>
      <c r="AA49" s="106" t="b">
        <v>1</v>
      </c>
      <c r="AB49" s="107">
        <v>45496.0</v>
      </c>
      <c r="AC49" s="106" t="b">
        <v>1</v>
      </c>
      <c r="AD49" s="107">
        <v>45587.0</v>
      </c>
      <c r="AE49" s="106" t="b">
        <v>0</v>
      </c>
      <c r="AF49" s="107">
        <v>45678.0</v>
      </c>
      <c r="AG49" s="106" t="b">
        <v>0</v>
      </c>
      <c r="AH49" s="106"/>
      <c r="AI49" s="106" t="b">
        <v>0</v>
      </c>
      <c r="AJ49" s="106"/>
      <c r="AK49" s="106" t="b">
        <v>0</v>
      </c>
      <c r="AL49" s="116"/>
      <c r="AM49" s="220" t="s">
        <v>241</v>
      </c>
    </row>
    <row r="50" ht="22.5" customHeight="1">
      <c r="A50" s="60">
        <f t="shared" si="1"/>
        <v>16</v>
      </c>
      <c r="B50" s="63" t="s">
        <v>364</v>
      </c>
      <c r="C50" s="66" t="s">
        <v>498</v>
      </c>
      <c r="D50" s="66" t="s">
        <v>499</v>
      </c>
      <c r="E50" s="66"/>
      <c r="F50" s="64" t="s">
        <v>51</v>
      </c>
      <c r="G50" s="70"/>
      <c r="H50" s="71"/>
      <c r="I50" s="74"/>
      <c r="J50" s="279"/>
      <c r="K50" s="80"/>
      <c r="L50" s="81">
        <v>46130.0</v>
      </c>
      <c r="M50" s="84"/>
      <c r="N50" s="86"/>
      <c r="O50" s="88">
        <f t="shared" si="5"/>
        <v>0</v>
      </c>
      <c r="P50" s="90">
        <v>4.0</v>
      </c>
      <c r="Q50" s="211">
        <v>45583.0</v>
      </c>
      <c r="R50" s="106" t="b">
        <v>0</v>
      </c>
      <c r="S50" s="171">
        <v>45765.0</v>
      </c>
      <c r="T50" s="99" t="b">
        <v>0</v>
      </c>
      <c r="U50" s="274">
        <v>45948.0</v>
      </c>
      <c r="V50" s="164" t="b">
        <v>0</v>
      </c>
      <c r="W50" s="101"/>
      <c r="X50" s="309"/>
      <c r="Y50" s="106" t="b">
        <v>0</v>
      </c>
      <c r="Z50" s="101"/>
      <c r="AA50" s="99"/>
      <c r="AB50" s="101"/>
      <c r="AC50" s="99"/>
      <c r="AD50" s="101"/>
      <c r="AE50" s="99"/>
      <c r="AF50" s="101"/>
      <c r="AG50" s="99"/>
      <c r="AH50" s="106"/>
      <c r="AI50" s="99"/>
      <c r="AJ50" s="106"/>
      <c r="AK50" s="99"/>
      <c r="AL50" s="116"/>
      <c r="AM50" s="346" t="s">
        <v>281</v>
      </c>
    </row>
    <row r="51" ht="22.5" customHeight="1">
      <c r="A51" s="60">
        <f t="shared" si="1"/>
        <v>17</v>
      </c>
      <c r="B51" s="63" t="s">
        <v>366</v>
      </c>
      <c r="C51" s="66" t="s">
        <v>498</v>
      </c>
      <c r="D51" s="66" t="s">
        <v>499</v>
      </c>
      <c r="E51" s="66"/>
      <c r="F51" s="64" t="s">
        <v>51</v>
      </c>
      <c r="G51" s="70"/>
      <c r="H51" s="71"/>
      <c r="I51" s="74"/>
      <c r="J51" s="279"/>
      <c r="K51" s="80"/>
      <c r="L51" s="81">
        <v>46130.0</v>
      </c>
      <c r="M51" s="84"/>
      <c r="N51" s="86"/>
      <c r="O51" s="88">
        <f t="shared" si="5"/>
        <v>0</v>
      </c>
      <c r="P51" s="90">
        <v>4.0</v>
      </c>
      <c r="Q51" s="92">
        <v>45583.0</v>
      </c>
      <c r="R51" s="98" t="b">
        <v>0</v>
      </c>
      <c r="S51" s="101">
        <v>45765.0</v>
      </c>
      <c r="T51" s="130" t="b">
        <v>0</v>
      </c>
      <c r="U51" s="107">
        <v>45948.0</v>
      </c>
      <c r="V51" s="339" t="b">
        <v>0</v>
      </c>
      <c r="W51" s="101"/>
      <c r="X51" s="309"/>
      <c r="Y51" s="106" t="b">
        <v>0</v>
      </c>
      <c r="Z51" s="101"/>
      <c r="AA51" s="99"/>
      <c r="AB51" s="101"/>
      <c r="AC51" s="99"/>
      <c r="AD51" s="101"/>
      <c r="AE51" s="99"/>
      <c r="AF51" s="101"/>
      <c r="AG51" s="99"/>
      <c r="AH51" s="99"/>
      <c r="AI51" s="99"/>
      <c r="AJ51" s="99"/>
      <c r="AK51" s="99"/>
      <c r="AL51" s="116"/>
      <c r="AM51" s="118"/>
    </row>
    <row r="52" ht="22.5" hidden="1" customHeight="1">
      <c r="A52" s="60">
        <f t="shared" si="1"/>
        <v>17</v>
      </c>
      <c r="B52" s="63" t="s">
        <v>375</v>
      </c>
      <c r="C52" s="519" t="s">
        <v>472</v>
      </c>
      <c r="D52" s="520"/>
      <c r="E52" s="520">
        <v>45313.0</v>
      </c>
      <c r="F52" s="64" t="s">
        <v>51</v>
      </c>
      <c r="G52" s="70" t="s">
        <v>441</v>
      </c>
      <c r="H52" s="71" t="s">
        <v>442</v>
      </c>
      <c r="I52" s="486"/>
      <c r="J52" s="279"/>
      <c r="K52" s="80"/>
      <c r="L52" s="521">
        <v>45450.0</v>
      </c>
      <c r="M52" s="84">
        <v>45490.0</v>
      </c>
      <c r="N52" s="86"/>
      <c r="O52" s="88">
        <f t="shared" si="5"/>
        <v>3</v>
      </c>
      <c r="P52" s="90">
        <v>4.0</v>
      </c>
      <c r="Q52" s="211">
        <v>44562.0</v>
      </c>
      <c r="R52" s="98" t="b">
        <v>1</v>
      </c>
      <c r="S52" s="171">
        <v>45091.0</v>
      </c>
      <c r="T52" s="106" t="b">
        <v>1</v>
      </c>
      <c r="U52" s="171">
        <v>45313.0</v>
      </c>
      <c r="V52" s="106" t="b">
        <v>1</v>
      </c>
      <c r="W52" s="107"/>
      <c r="X52" s="109"/>
      <c r="Y52" s="106" t="b">
        <v>0</v>
      </c>
      <c r="Z52" s="107"/>
      <c r="AA52" s="106"/>
      <c r="AB52" s="107"/>
      <c r="AC52" s="106"/>
      <c r="AD52" s="107"/>
      <c r="AE52" s="106"/>
      <c r="AF52" s="107"/>
      <c r="AG52" s="106"/>
      <c r="AH52" s="106"/>
      <c r="AI52" s="106"/>
      <c r="AJ52" s="106"/>
      <c r="AK52" s="106"/>
      <c r="AL52" s="288"/>
      <c r="AM52" s="353" t="s">
        <v>302</v>
      </c>
    </row>
    <row r="53" ht="22.5" customHeight="1">
      <c r="A53" s="60">
        <f t="shared" si="1"/>
        <v>18</v>
      </c>
      <c r="B53" s="63" t="s">
        <v>381</v>
      </c>
      <c r="C53" s="66" t="s">
        <v>510</v>
      </c>
      <c r="D53" s="66"/>
      <c r="E53" s="66"/>
      <c r="F53" s="64" t="s">
        <v>51</v>
      </c>
      <c r="G53" s="70" t="s">
        <v>511</v>
      </c>
      <c r="H53" s="71"/>
      <c r="I53" s="486"/>
      <c r="J53" s="279"/>
      <c r="K53" s="80"/>
      <c r="L53" s="81">
        <v>46119.0</v>
      </c>
      <c r="M53" s="84"/>
      <c r="N53" s="139" t="s">
        <v>512</v>
      </c>
      <c r="O53" s="88">
        <f t="shared" si="5"/>
        <v>0</v>
      </c>
      <c r="P53" s="90">
        <v>4.0</v>
      </c>
      <c r="Q53" s="261">
        <v>45566.0</v>
      </c>
      <c r="R53" s="524" t="b">
        <v>0</v>
      </c>
      <c r="S53" s="101">
        <v>45748.0</v>
      </c>
      <c r="T53" s="98" t="b">
        <v>0</v>
      </c>
      <c r="U53" s="101">
        <v>45937.0</v>
      </c>
      <c r="V53" s="526" t="b">
        <v>0</v>
      </c>
      <c r="W53" s="107"/>
      <c r="X53" s="109"/>
      <c r="Y53" s="106" t="b">
        <v>0</v>
      </c>
      <c r="Z53" s="101"/>
      <c r="AA53" s="99"/>
      <c r="AB53" s="101"/>
      <c r="AC53" s="99"/>
      <c r="AD53" s="101"/>
      <c r="AE53" s="99"/>
      <c r="AF53" s="101"/>
      <c r="AG53" s="99"/>
      <c r="AH53" s="99"/>
      <c r="AI53" s="99"/>
      <c r="AJ53" s="99"/>
      <c r="AK53" s="99"/>
      <c r="AL53" s="116"/>
      <c r="AM53" s="146"/>
    </row>
    <row r="54" ht="22.5" customHeight="1">
      <c r="A54" s="60">
        <f t="shared" si="1"/>
        <v>19</v>
      </c>
      <c r="B54" s="63" t="s">
        <v>383</v>
      </c>
      <c r="C54" s="66" t="s">
        <v>111</v>
      </c>
      <c r="D54" s="530" t="s">
        <v>516</v>
      </c>
      <c r="E54" s="66"/>
      <c r="F54" s="64" t="s">
        <v>51</v>
      </c>
      <c r="G54" s="70"/>
      <c r="H54" s="71" t="s">
        <v>103</v>
      </c>
      <c r="I54" s="486"/>
      <c r="J54" s="77"/>
      <c r="K54" s="80"/>
      <c r="L54" s="81">
        <v>46003.0</v>
      </c>
      <c r="M54" s="84">
        <v>45460.0</v>
      </c>
      <c r="N54" s="128" t="s">
        <v>518</v>
      </c>
      <c r="O54" s="88">
        <f t="shared" si="5"/>
        <v>1</v>
      </c>
      <c r="P54" s="90">
        <v>4.0</v>
      </c>
      <c r="Q54" s="211">
        <v>45460.0</v>
      </c>
      <c r="R54" s="106" t="b">
        <v>1</v>
      </c>
      <c r="S54" s="171">
        <v>45639.0</v>
      </c>
      <c r="T54" s="106" t="b">
        <v>0</v>
      </c>
      <c r="U54" s="171">
        <v>45821.0</v>
      </c>
      <c r="V54" s="99" t="b">
        <v>0</v>
      </c>
      <c r="W54" s="107"/>
      <c r="X54" s="109"/>
      <c r="Y54" s="106" t="b">
        <v>0</v>
      </c>
      <c r="Z54" s="107"/>
      <c r="AA54" s="106"/>
      <c r="AB54" s="107"/>
      <c r="AC54" s="106"/>
      <c r="AD54" s="107"/>
      <c r="AE54" s="106"/>
      <c r="AF54" s="107"/>
      <c r="AG54" s="106"/>
      <c r="AH54" s="106"/>
      <c r="AI54" s="106"/>
      <c r="AJ54" s="106"/>
      <c r="AK54" s="106"/>
      <c r="AL54" s="116"/>
      <c r="AM54" s="146" t="s">
        <v>347</v>
      </c>
    </row>
    <row r="55" ht="22.5" customHeight="1">
      <c r="A55" s="60">
        <f t="shared" si="1"/>
        <v>20</v>
      </c>
      <c r="B55" s="63" t="s">
        <v>214</v>
      </c>
      <c r="C55" s="405" t="s">
        <v>111</v>
      </c>
      <c r="D55" s="530" t="s">
        <v>516</v>
      </c>
      <c r="E55" s="66" t="s">
        <v>0</v>
      </c>
      <c r="F55" s="64" t="s">
        <v>51</v>
      </c>
      <c r="G55" s="70" t="s">
        <v>521</v>
      </c>
      <c r="H55" s="71" t="s">
        <v>216</v>
      </c>
      <c r="I55" s="539" t="s">
        <v>99</v>
      </c>
      <c r="J55" s="541"/>
      <c r="K55" s="80"/>
      <c r="L55" s="521">
        <v>45460.0</v>
      </c>
      <c r="M55" s="543">
        <v>45460.0</v>
      </c>
      <c r="N55" s="128" t="s">
        <v>518</v>
      </c>
      <c r="O55" s="88">
        <f t="shared" si="5"/>
        <v>3</v>
      </c>
      <c r="P55" s="90">
        <v>4.0</v>
      </c>
      <c r="Q55" s="92">
        <v>44868.0</v>
      </c>
      <c r="R55" s="106" t="b">
        <v>1</v>
      </c>
      <c r="S55" s="171">
        <v>45008.0</v>
      </c>
      <c r="T55" s="106" t="b">
        <v>1</v>
      </c>
      <c r="U55" s="171">
        <v>45266.0</v>
      </c>
      <c r="V55" s="106" t="b">
        <v>1</v>
      </c>
      <c r="W55" s="107"/>
      <c r="X55" s="109"/>
      <c r="Y55" s="106" t="b">
        <v>0</v>
      </c>
      <c r="Z55" s="107"/>
      <c r="AA55" s="106"/>
      <c r="AB55" s="107"/>
      <c r="AC55" s="106"/>
      <c r="AD55" s="107"/>
      <c r="AE55" s="106"/>
      <c r="AF55" s="107"/>
      <c r="AG55" s="106"/>
      <c r="AH55" s="106"/>
      <c r="AI55" s="106"/>
      <c r="AJ55" s="106"/>
      <c r="AK55" s="106"/>
      <c r="AL55" s="297"/>
      <c r="AM55" s="146" t="s">
        <v>363</v>
      </c>
    </row>
    <row r="56" ht="22.5" customHeight="1">
      <c r="A56" s="60">
        <f t="shared" si="1"/>
        <v>21</v>
      </c>
      <c r="B56" s="63" t="s">
        <v>394</v>
      </c>
      <c r="C56" s="66" t="s">
        <v>111</v>
      </c>
      <c r="D56" s="530" t="s">
        <v>516</v>
      </c>
      <c r="E56" s="66"/>
      <c r="F56" s="64" t="s">
        <v>51</v>
      </c>
      <c r="G56" s="70" t="s">
        <v>450</v>
      </c>
      <c r="H56" s="549"/>
      <c r="I56" s="550" t="s">
        <v>529</v>
      </c>
      <c r="J56" s="77"/>
      <c r="K56" s="298"/>
      <c r="L56" s="300">
        <v>45639.0</v>
      </c>
      <c r="M56" s="84">
        <v>45266.0</v>
      </c>
      <c r="N56" s="128" t="s">
        <v>518</v>
      </c>
      <c r="O56" s="88">
        <f t="shared" si="5"/>
        <v>3</v>
      </c>
      <c r="P56" s="90">
        <v>4.0</v>
      </c>
      <c r="Q56" s="211">
        <v>44949.0</v>
      </c>
      <c r="R56" s="106" t="b">
        <v>1</v>
      </c>
      <c r="S56" s="171">
        <v>45266.0</v>
      </c>
      <c r="T56" s="106" t="b">
        <v>1</v>
      </c>
      <c r="U56" s="171">
        <v>45460.0</v>
      </c>
      <c r="V56" s="106" t="b">
        <v>1</v>
      </c>
      <c r="W56" s="107"/>
      <c r="X56" s="109"/>
      <c r="Y56" s="106" t="b">
        <v>0</v>
      </c>
      <c r="Z56" s="107"/>
      <c r="AA56" s="106"/>
      <c r="AB56" s="107"/>
      <c r="AC56" s="106"/>
      <c r="AD56" s="107"/>
      <c r="AE56" s="106"/>
      <c r="AF56" s="107"/>
      <c r="AG56" s="106"/>
      <c r="AH56" s="106"/>
      <c r="AI56" s="106"/>
      <c r="AJ56" s="106"/>
      <c r="AK56" s="106"/>
      <c r="AL56" s="288"/>
      <c r="AM56" s="146" t="s">
        <v>261</v>
      </c>
    </row>
    <row r="57" ht="22.5" customHeight="1">
      <c r="A57" s="60">
        <f t="shared" si="1"/>
        <v>22</v>
      </c>
      <c r="B57" s="63" t="s">
        <v>399</v>
      </c>
      <c r="C57" s="553" t="s">
        <v>498</v>
      </c>
      <c r="D57" s="66"/>
      <c r="E57" s="66"/>
      <c r="F57" s="64" t="s">
        <v>51</v>
      </c>
      <c r="G57" s="70" t="s">
        <v>532</v>
      </c>
      <c r="H57" s="206" t="s">
        <v>533</v>
      </c>
      <c r="I57" s="74"/>
      <c r="J57" s="77"/>
      <c r="K57" s="80"/>
      <c r="L57" s="81">
        <v>45677.0</v>
      </c>
      <c r="M57" s="86">
        <v>45495.0</v>
      </c>
      <c r="N57" s="128" t="s">
        <v>535</v>
      </c>
      <c r="O57" s="88">
        <f t="shared" si="5"/>
        <v>3</v>
      </c>
      <c r="P57" s="90">
        <v>4.0</v>
      </c>
      <c r="Q57" s="211">
        <v>45008.0</v>
      </c>
      <c r="R57" s="106" t="b">
        <v>1</v>
      </c>
      <c r="S57" s="171">
        <v>45306.0</v>
      </c>
      <c r="T57" s="106" t="b">
        <v>1</v>
      </c>
      <c r="U57" s="171">
        <v>45495.0</v>
      </c>
      <c r="V57" s="106" t="b">
        <v>1</v>
      </c>
      <c r="W57" s="107"/>
      <c r="X57" s="109"/>
      <c r="Y57" s="106" t="b">
        <v>0</v>
      </c>
      <c r="Z57" s="107"/>
      <c r="AA57" s="106"/>
      <c r="AB57" s="107"/>
      <c r="AC57" s="106"/>
      <c r="AD57" s="107"/>
      <c r="AE57" s="106"/>
      <c r="AF57" s="107"/>
      <c r="AG57" s="106"/>
      <c r="AH57" s="106"/>
      <c r="AI57" s="106"/>
      <c r="AJ57" s="106"/>
      <c r="AK57" s="106"/>
      <c r="AL57" s="288"/>
      <c r="AM57" s="353" t="s">
        <v>317</v>
      </c>
    </row>
    <row r="58" ht="22.5" customHeight="1">
      <c r="A58" s="60">
        <f t="shared" si="1"/>
        <v>23</v>
      </c>
      <c r="B58" s="63" t="s">
        <v>401</v>
      </c>
      <c r="C58" s="405" t="s">
        <v>346</v>
      </c>
      <c r="D58" s="589"/>
      <c r="E58" s="589"/>
      <c r="F58" s="301" t="s">
        <v>51</v>
      </c>
      <c r="G58" s="70" t="s">
        <v>263</v>
      </c>
      <c r="H58" s="71" t="s">
        <v>558</v>
      </c>
      <c r="I58" s="74" t="s">
        <v>559</v>
      </c>
      <c r="J58" s="77"/>
      <c r="K58" s="80">
        <v>45027.0</v>
      </c>
      <c r="L58" s="81">
        <v>45757.0</v>
      </c>
      <c r="M58" s="84">
        <v>45470.0</v>
      </c>
      <c r="N58" s="128" t="s">
        <v>560</v>
      </c>
      <c r="O58" s="88">
        <f t="shared" si="5"/>
        <v>3</v>
      </c>
      <c r="P58" s="90">
        <v>6.0</v>
      </c>
      <c r="Q58" s="261">
        <v>44880.0</v>
      </c>
      <c r="R58" s="106" t="b">
        <v>1</v>
      </c>
      <c r="S58" s="261">
        <v>45015.0</v>
      </c>
      <c r="T58" s="321" t="b">
        <v>1</v>
      </c>
      <c r="U58" s="261">
        <v>45254.0</v>
      </c>
      <c r="V58" s="321" t="b">
        <v>1</v>
      </c>
      <c r="W58" s="264"/>
      <c r="X58" s="109"/>
      <c r="Y58" s="106" t="b">
        <v>0</v>
      </c>
      <c r="Z58" s="107">
        <v>45618.0</v>
      </c>
      <c r="AA58" s="106" t="b">
        <v>0</v>
      </c>
      <c r="AB58" s="107">
        <v>45800.0</v>
      </c>
      <c r="AC58" s="106" t="b">
        <v>0</v>
      </c>
      <c r="AD58" s="107"/>
      <c r="AE58" s="106"/>
      <c r="AF58" s="107"/>
      <c r="AG58" s="106"/>
      <c r="AH58" s="106"/>
      <c r="AI58" s="106"/>
      <c r="AJ58" s="106"/>
      <c r="AK58" s="106"/>
      <c r="AL58" s="116"/>
      <c r="AM58" s="146" t="s">
        <v>372</v>
      </c>
    </row>
    <row r="59" ht="22.5" hidden="1" customHeight="1">
      <c r="A59" s="60">
        <f t="shared" si="1"/>
        <v>23</v>
      </c>
      <c r="B59" s="63" t="s">
        <v>404</v>
      </c>
      <c r="C59" s="290" t="s">
        <v>564</v>
      </c>
      <c r="D59" s="290"/>
      <c r="E59" s="290"/>
      <c r="F59" s="265" t="s">
        <v>51</v>
      </c>
      <c r="G59" s="125" t="s">
        <v>565</v>
      </c>
      <c r="H59" s="448" t="s">
        <v>566</v>
      </c>
      <c r="I59" s="602" t="s">
        <v>361</v>
      </c>
      <c r="J59" s="77"/>
      <c r="K59" s="80"/>
      <c r="L59" s="605">
        <v>45338.0</v>
      </c>
      <c r="M59" s="84">
        <v>45338.0</v>
      </c>
      <c r="N59" s="86"/>
      <c r="O59" s="88">
        <f t="shared" si="5"/>
        <v>3</v>
      </c>
      <c r="P59" s="269">
        <v>4.0</v>
      </c>
      <c r="Q59" s="272">
        <v>44881.0</v>
      </c>
      <c r="R59" s="164" t="b">
        <v>1</v>
      </c>
      <c r="S59" s="274">
        <v>44999.0</v>
      </c>
      <c r="T59" s="164" t="b">
        <v>1</v>
      </c>
      <c r="U59" s="274">
        <v>45120.0</v>
      </c>
      <c r="V59" s="164" t="b">
        <v>1</v>
      </c>
      <c r="W59" s="107"/>
      <c r="X59" s="109"/>
      <c r="Y59" s="106" t="b">
        <v>0</v>
      </c>
      <c r="Z59" s="107"/>
      <c r="AA59" s="164"/>
      <c r="AB59" s="107"/>
      <c r="AC59" s="164"/>
      <c r="AD59" s="107"/>
      <c r="AE59" s="164"/>
      <c r="AF59" s="107"/>
      <c r="AG59" s="164"/>
      <c r="AH59" s="164"/>
      <c r="AI59" s="164"/>
      <c r="AJ59" s="164"/>
      <c r="AK59" s="164"/>
      <c r="AL59" s="283"/>
      <c r="AM59" s="353" t="s">
        <v>325</v>
      </c>
    </row>
    <row r="60" ht="22.5" hidden="1" customHeight="1">
      <c r="A60" s="60">
        <f t="shared" si="1"/>
        <v>23</v>
      </c>
      <c r="B60" s="63" t="s">
        <v>411</v>
      </c>
      <c r="C60" s="66" t="s">
        <v>472</v>
      </c>
      <c r="D60" s="66" t="s">
        <v>571</v>
      </c>
      <c r="E60" s="66"/>
      <c r="F60" s="64" t="s">
        <v>51</v>
      </c>
      <c r="G60" s="606" t="s">
        <v>572</v>
      </c>
      <c r="H60" s="71" t="s">
        <v>574</v>
      </c>
      <c r="I60" s="539" t="s">
        <v>576</v>
      </c>
      <c r="J60" s="77" t="s">
        <v>577</v>
      </c>
      <c r="K60" s="80"/>
      <c r="L60" s="81">
        <v>45685.0</v>
      </c>
      <c r="M60" s="84">
        <v>45496.0</v>
      </c>
      <c r="N60" s="139" t="s">
        <v>578</v>
      </c>
      <c r="O60" s="88">
        <f t="shared" si="5"/>
        <v>3</v>
      </c>
      <c r="P60" s="90">
        <v>4.0</v>
      </c>
      <c r="Q60" s="92">
        <v>45120.0</v>
      </c>
      <c r="R60" s="106" t="b">
        <v>1</v>
      </c>
      <c r="S60" s="171">
        <v>45316.0</v>
      </c>
      <c r="T60" s="106" t="b">
        <v>1</v>
      </c>
      <c r="U60" s="171">
        <v>45496.0</v>
      </c>
      <c r="V60" s="106" t="b">
        <v>1</v>
      </c>
      <c r="W60" s="107"/>
      <c r="X60" s="109"/>
      <c r="Y60" s="106" t="b">
        <v>0</v>
      </c>
      <c r="Z60" s="107"/>
      <c r="AA60" s="106"/>
      <c r="AB60" s="107"/>
      <c r="AC60" s="106"/>
      <c r="AD60" s="107"/>
      <c r="AE60" s="106"/>
      <c r="AF60" s="107"/>
      <c r="AG60" s="106"/>
      <c r="AH60" s="106"/>
      <c r="AI60" s="106"/>
      <c r="AJ60" s="106"/>
      <c r="AK60" s="106"/>
      <c r="AL60" s="288"/>
      <c r="AM60" s="123" t="s">
        <v>361</v>
      </c>
    </row>
    <row r="61" ht="22.5" hidden="1" customHeight="1">
      <c r="A61" s="60">
        <f t="shared" si="1"/>
        <v>23</v>
      </c>
      <c r="B61" s="63" t="s">
        <v>413</v>
      </c>
      <c r="C61" s="66" t="s">
        <v>579</v>
      </c>
      <c r="D61" s="66"/>
      <c r="E61" s="66" t="s">
        <v>581</v>
      </c>
      <c r="F61" s="64" t="s">
        <v>51</v>
      </c>
      <c r="G61" s="70" t="s">
        <v>582</v>
      </c>
      <c r="H61" s="71">
        <v>9.52565912E8</v>
      </c>
      <c r="I61" s="74"/>
      <c r="J61" s="77"/>
      <c r="K61" s="80"/>
      <c r="L61" s="81">
        <v>45798.0</v>
      </c>
      <c r="M61" s="84">
        <v>45467.0</v>
      </c>
      <c r="N61" s="86"/>
      <c r="O61" s="88">
        <f t="shared" si="5"/>
        <v>2</v>
      </c>
      <c r="P61" s="90">
        <v>4.0</v>
      </c>
      <c r="Q61" s="92">
        <v>45255.0</v>
      </c>
      <c r="R61" s="106" t="b">
        <v>1</v>
      </c>
      <c r="S61" s="101">
        <v>45467.0</v>
      </c>
      <c r="T61" s="106" t="b">
        <v>1</v>
      </c>
      <c r="U61" s="101">
        <v>45617.0</v>
      </c>
      <c r="V61" s="99" t="b">
        <v>0</v>
      </c>
      <c r="W61" s="107"/>
      <c r="X61" s="109"/>
      <c r="Y61" s="106" t="b">
        <v>0</v>
      </c>
      <c r="Z61" s="107"/>
      <c r="AA61" s="106"/>
      <c r="AB61" s="107"/>
      <c r="AC61" s="106"/>
      <c r="AD61" s="107"/>
      <c r="AE61" s="106"/>
      <c r="AF61" s="107"/>
      <c r="AG61" s="106"/>
      <c r="AH61" s="106"/>
      <c r="AI61" s="106"/>
      <c r="AJ61" s="106"/>
      <c r="AK61" s="106"/>
      <c r="AL61" s="116"/>
      <c r="AM61" s="146" t="s">
        <v>385</v>
      </c>
    </row>
    <row r="62" ht="22.5" hidden="1" customHeight="1">
      <c r="A62" s="60">
        <f t="shared" si="1"/>
        <v>23</v>
      </c>
      <c r="B62" s="63" t="s">
        <v>416</v>
      </c>
      <c r="C62" s="66" t="s">
        <v>585</v>
      </c>
      <c r="D62" s="66"/>
      <c r="E62" s="66"/>
      <c r="F62" s="64" t="s">
        <v>51</v>
      </c>
      <c r="G62" s="70" t="s">
        <v>586</v>
      </c>
      <c r="H62" s="71" t="s">
        <v>587</v>
      </c>
      <c r="I62" s="486"/>
      <c r="J62" s="77"/>
      <c r="K62" s="80"/>
      <c r="L62" s="81">
        <v>45646.0</v>
      </c>
      <c r="M62" s="84">
        <v>45471.0</v>
      </c>
      <c r="N62" s="128" t="s">
        <v>589</v>
      </c>
      <c r="O62" s="88">
        <f t="shared" si="5"/>
        <v>3</v>
      </c>
      <c r="P62" s="90">
        <v>4.0</v>
      </c>
      <c r="Q62" s="92">
        <v>45104.0</v>
      </c>
      <c r="R62" s="98" t="b">
        <v>1</v>
      </c>
      <c r="S62" s="101">
        <v>45320.0</v>
      </c>
      <c r="T62" s="98" t="b">
        <v>1</v>
      </c>
      <c r="U62" s="101">
        <v>45471.0</v>
      </c>
      <c r="V62" s="98" t="b">
        <v>1</v>
      </c>
      <c r="W62" s="107"/>
      <c r="X62" s="109"/>
      <c r="Y62" s="106" t="b">
        <v>0</v>
      </c>
      <c r="Z62" s="107"/>
      <c r="AA62" s="106"/>
      <c r="AB62" s="107"/>
      <c r="AC62" s="106"/>
      <c r="AD62" s="107"/>
      <c r="AE62" s="106"/>
      <c r="AF62" s="107"/>
      <c r="AG62" s="106"/>
      <c r="AH62" s="106"/>
      <c r="AI62" s="106"/>
      <c r="AJ62" s="106"/>
      <c r="AK62" s="106"/>
      <c r="AL62" s="262"/>
      <c r="AM62" s="131"/>
    </row>
    <row r="63" ht="22.5" hidden="1" customHeight="1">
      <c r="A63" s="60">
        <f t="shared" si="1"/>
        <v>23</v>
      </c>
      <c r="B63" s="63" t="s">
        <v>591</v>
      </c>
      <c r="C63" s="66" t="s">
        <v>95</v>
      </c>
      <c r="D63" s="615"/>
      <c r="E63" s="615"/>
      <c r="F63" s="64" t="s">
        <v>51</v>
      </c>
      <c r="G63" s="70" t="s">
        <v>593</v>
      </c>
      <c r="H63" s="617" t="s">
        <v>595</v>
      </c>
      <c r="I63" s="486"/>
      <c r="J63" s="77"/>
      <c r="K63" s="80"/>
      <c r="L63" s="81"/>
      <c r="M63" s="84"/>
      <c r="N63" s="86"/>
      <c r="O63" s="88">
        <f t="shared" si="5"/>
        <v>0</v>
      </c>
      <c r="P63" s="90">
        <v>2.0</v>
      </c>
      <c r="Q63" s="92"/>
      <c r="R63" s="106"/>
      <c r="S63" s="619"/>
      <c r="T63" s="106"/>
      <c r="U63" s="101"/>
      <c r="V63" s="106"/>
      <c r="W63" s="107"/>
      <c r="X63" s="109"/>
      <c r="Y63" s="106" t="b">
        <v>0</v>
      </c>
      <c r="Z63" s="107"/>
      <c r="AA63" s="106"/>
      <c r="AB63" s="107"/>
      <c r="AC63" s="106"/>
      <c r="AD63" s="107"/>
      <c r="AE63" s="106"/>
      <c r="AF63" s="107"/>
      <c r="AG63" s="106"/>
      <c r="AH63" s="106"/>
      <c r="AI63" s="106"/>
      <c r="AJ63" s="106"/>
      <c r="AK63" s="106"/>
      <c r="AL63" s="116"/>
      <c r="AM63" s="131"/>
    </row>
    <row r="64" ht="22.5" customHeight="1">
      <c r="A64" s="60">
        <f t="shared" si="1"/>
        <v>24</v>
      </c>
      <c r="B64" s="63" t="s">
        <v>424</v>
      </c>
      <c r="C64" s="66" t="s">
        <v>65</v>
      </c>
      <c r="D64" s="66"/>
      <c r="E64" s="331" t="s">
        <v>597</v>
      </c>
      <c r="F64" s="64" t="s">
        <v>51</v>
      </c>
      <c r="G64" s="70" t="s">
        <v>606</v>
      </c>
      <c r="H64" s="71" t="s">
        <v>607</v>
      </c>
      <c r="I64" s="486"/>
      <c r="J64" s="77"/>
      <c r="K64" s="80"/>
      <c r="L64" s="81">
        <v>45807.0</v>
      </c>
      <c r="M64" s="84">
        <v>45449.0</v>
      </c>
      <c r="N64" s="128" t="s">
        <v>227</v>
      </c>
      <c r="O64" s="88">
        <f t="shared" si="5"/>
        <v>2</v>
      </c>
      <c r="P64" s="90">
        <v>4.0</v>
      </c>
      <c r="Q64" s="92">
        <v>45227.0</v>
      </c>
      <c r="R64" s="106" t="b">
        <v>1</v>
      </c>
      <c r="S64" s="101">
        <v>45449.0</v>
      </c>
      <c r="T64" s="106" t="b">
        <v>1</v>
      </c>
      <c r="U64" s="101">
        <v>45602.0</v>
      </c>
      <c r="V64" s="99" t="b">
        <v>0</v>
      </c>
      <c r="W64" s="107"/>
      <c r="X64" s="109"/>
      <c r="Y64" s="106" t="b">
        <v>0</v>
      </c>
      <c r="Z64" s="107"/>
      <c r="AA64" s="106"/>
      <c r="AB64" s="107"/>
      <c r="AC64" s="106"/>
      <c r="AD64" s="107"/>
      <c r="AE64" s="106"/>
      <c r="AF64" s="107"/>
      <c r="AG64" s="106"/>
      <c r="AH64" s="106"/>
      <c r="AI64" s="106"/>
      <c r="AJ64" s="106"/>
      <c r="AK64" s="106"/>
      <c r="AL64" s="116"/>
      <c r="AM64" s="146" t="s">
        <v>398</v>
      </c>
    </row>
    <row r="65" ht="22.5" customHeight="1">
      <c r="A65" s="60">
        <f t="shared" si="1"/>
        <v>25</v>
      </c>
      <c r="B65" s="63" t="s">
        <v>428</v>
      </c>
      <c r="C65" s="66" t="s">
        <v>111</v>
      </c>
      <c r="D65" s="66"/>
      <c r="E65" s="66"/>
      <c r="F65" s="64" t="s">
        <v>55</v>
      </c>
      <c r="G65" s="70" t="s">
        <v>616</v>
      </c>
      <c r="H65" s="71" t="s">
        <v>617</v>
      </c>
      <c r="I65" s="486"/>
      <c r="J65" s="77"/>
      <c r="K65" s="80"/>
      <c r="L65" s="521">
        <v>45086.0</v>
      </c>
      <c r="M65" s="84"/>
      <c r="N65" s="86"/>
      <c r="O65" s="88">
        <f t="shared" si="5"/>
        <v>3</v>
      </c>
      <c r="P65" s="90">
        <v>2.0</v>
      </c>
      <c r="Q65" s="92">
        <v>44562.0</v>
      </c>
      <c r="R65" s="106" t="b">
        <v>1</v>
      </c>
      <c r="S65" s="101">
        <v>45086.0</v>
      </c>
      <c r="T65" s="106" t="b">
        <v>1</v>
      </c>
      <c r="U65" s="101"/>
      <c r="V65" s="106"/>
      <c r="W65" s="107"/>
      <c r="X65" s="109"/>
      <c r="Y65" s="106" t="b">
        <v>1</v>
      </c>
      <c r="Z65" s="107"/>
      <c r="AA65" s="106"/>
      <c r="AB65" s="107"/>
      <c r="AC65" s="106"/>
      <c r="AD65" s="107"/>
      <c r="AE65" s="106"/>
      <c r="AF65" s="107"/>
      <c r="AG65" s="106"/>
      <c r="AH65" s="106"/>
      <c r="AI65" s="106"/>
      <c r="AJ65" s="106"/>
      <c r="AK65" s="106"/>
      <c r="AL65" s="116"/>
      <c r="AM65" s="146" t="s">
        <v>400</v>
      </c>
    </row>
    <row r="66" ht="22.5" hidden="1" customHeight="1">
      <c r="A66" s="60">
        <f t="shared" si="1"/>
        <v>25</v>
      </c>
      <c r="B66" s="63" t="s">
        <v>434</v>
      </c>
      <c r="C66" s="66"/>
      <c r="D66" s="66"/>
      <c r="E66" s="331" t="s">
        <v>620</v>
      </c>
      <c r="F66" s="64"/>
      <c r="G66" s="70"/>
      <c r="H66" s="71"/>
      <c r="I66" s="486"/>
      <c r="J66" s="77"/>
      <c r="K66" s="80"/>
      <c r="L66" s="81"/>
      <c r="M66" s="84"/>
      <c r="N66" s="128"/>
      <c r="O66" s="88"/>
      <c r="P66" s="90"/>
      <c r="Q66" s="92"/>
      <c r="R66" s="106" t="b">
        <v>0</v>
      </c>
      <c r="S66" s="101"/>
      <c r="T66" s="106" t="b">
        <v>0</v>
      </c>
      <c r="U66" s="101"/>
      <c r="V66" s="106" t="b">
        <v>0</v>
      </c>
      <c r="W66" s="107"/>
      <c r="X66" s="109"/>
      <c r="Y66" s="106" t="b">
        <v>0</v>
      </c>
      <c r="Z66" s="107"/>
      <c r="AA66" s="106"/>
      <c r="AB66" s="107"/>
      <c r="AC66" s="106"/>
      <c r="AD66" s="107"/>
      <c r="AE66" s="106"/>
      <c r="AF66" s="107"/>
      <c r="AG66" s="106"/>
      <c r="AH66" s="106"/>
      <c r="AI66" s="106"/>
      <c r="AJ66" s="106"/>
      <c r="AK66" s="106"/>
      <c r="AL66" s="262"/>
      <c r="AM66" s="131"/>
    </row>
    <row r="67" ht="22.5" hidden="1" customHeight="1">
      <c r="A67" s="60">
        <f t="shared" si="1"/>
        <v>25</v>
      </c>
      <c r="B67" s="63" t="s">
        <v>438</v>
      </c>
      <c r="C67" s="66" t="s">
        <v>629</v>
      </c>
      <c r="D67" s="66"/>
      <c r="E67" s="66" t="s">
        <v>630</v>
      </c>
      <c r="F67" s="64" t="s">
        <v>51</v>
      </c>
      <c r="G67" s="313" t="s">
        <v>631</v>
      </c>
      <c r="H67" s="71">
        <v>8.98119674E8</v>
      </c>
      <c r="I67" s="486"/>
      <c r="J67" s="77"/>
      <c r="K67" s="80"/>
      <c r="L67" s="521">
        <v>45388.0</v>
      </c>
      <c r="M67" s="84">
        <v>45388.0</v>
      </c>
      <c r="N67" s="86"/>
      <c r="O67" s="88">
        <f t="shared" ref="O67:O99" si="6">COUNTIFS(Q67:AL67,"True")</f>
        <v>3</v>
      </c>
      <c r="P67" s="90">
        <v>4.0</v>
      </c>
      <c r="Q67" s="92">
        <v>44874.0</v>
      </c>
      <c r="R67" s="98" t="b">
        <v>1</v>
      </c>
      <c r="S67" s="101">
        <v>44927.0</v>
      </c>
      <c r="T67" s="98" t="b">
        <v>1</v>
      </c>
      <c r="U67" s="101">
        <v>45082.0</v>
      </c>
      <c r="V67" s="98" t="b">
        <v>1</v>
      </c>
      <c r="W67" s="107"/>
      <c r="X67" s="109"/>
      <c r="Y67" s="106" t="b">
        <v>0</v>
      </c>
      <c r="Z67" s="107"/>
      <c r="AA67" s="106"/>
      <c r="AB67" s="107"/>
      <c r="AC67" s="106"/>
      <c r="AD67" s="107"/>
      <c r="AE67" s="106"/>
      <c r="AF67" s="107"/>
      <c r="AG67" s="106"/>
      <c r="AH67" s="106"/>
      <c r="AI67" s="106"/>
      <c r="AJ67" s="106"/>
      <c r="AK67" s="106"/>
      <c r="AL67" s="116"/>
      <c r="AM67" s="118"/>
    </row>
    <row r="68" ht="22.5" customHeight="1">
      <c r="A68" s="60">
        <f t="shared" si="1"/>
        <v>26</v>
      </c>
      <c r="B68" s="63" t="s">
        <v>443</v>
      </c>
      <c r="C68" s="66" t="s">
        <v>638</v>
      </c>
      <c r="D68" s="589"/>
      <c r="E68" s="589"/>
      <c r="F68" s="301" t="s">
        <v>51</v>
      </c>
      <c r="G68" s="70" t="s">
        <v>487</v>
      </c>
      <c r="H68" s="71" t="s">
        <v>488</v>
      </c>
      <c r="I68" s="486"/>
      <c r="J68" s="77"/>
      <c r="K68" s="80">
        <v>45025.0</v>
      </c>
      <c r="L68" s="81">
        <v>45811.0</v>
      </c>
      <c r="M68" s="84">
        <v>45492.0</v>
      </c>
      <c r="N68" s="139" t="s">
        <v>104</v>
      </c>
      <c r="O68" s="88">
        <f t="shared" si="6"/>
        <v>5</v>
      </c>
      <c r="P68" s="90">
        <v>8.0</v>
      </c>
      <c r="Q68" s="92">
        <v>44562.0</v>
      </c>
      <c r="R68" s="98" t="b">
        <v>1</v>
      </c>
      <c r="S68" s="101">
        <v>44679.0</v>
      </c>
      <c r="T68" s="98" t="b">
        <v>1</v>
      </c>
      <c r="U68" s="101">
        <v>44876.0</v>
      </c>
      <c r="V68" s="98" t="b">
        <v>1</v>
      </c>
      <c r="W68" s="101"/>
      <c r="X68" s="309"/>
      <c r="Y68" s="106" t="b">
        <v>0</v>
      </c>
      <c r="Z68" s="107">
        <v>45313.0</v>
      </c>
      <c r="AA68" s="106" t="b">
        <v>1</v>
      </c>
      <c r="AB68" s="171">
        <v>45492.0</v>
      </c>
      <c r="AC68" s="106" t="b">
        <v>1</v>
      </c>
      <c r="AD68" s="171">
        <v>45629.0</v>
      </c>
      <c r="AE68" s="99" t="b">
        <v>0</v>
      </c>
      <c r="AF68" s="107">
        <v>45811.0</v>
      </c>
      <c r="AG68" s="106" t="b">
        <v>0</v>
      </c>
      <c r="AH68" s="106"/>
      <c r="AI68" s="106" t="b">
        <v>0</v>
      </c>
      <c r="AJ68" s="106"/>
      <c r="AK68" s="106" t="b">
        <v>0</v>
      </c>
      <c r="AL68" s="116"/>
      <c r="AM68" s="118"/>
    </row>
    <row r="69" ht="22.5" hidden="1" customHeight="1">
      <c r="A69" s="60">
        <f t="shared" si="1"/>
        <v>26</v>
      </c>
      <c r="B69" s="63" t="s">
        <v>446</v>
      </c>
      <c r="C69" s="66" t="s">
        <v>101</v>
      </c>
      <c r="D69" s="66" t="s">
        <v>643</v>
      </c>
      <c r="E69" s="66"/>
      <c r="F69" s="64" t="s">
        <v>51</v>
      </c>
      <c r="G69" s="70" t="s">
        <v>446</v>
      </c>
      <c r="H69" s="206" t="s">
        <v>644</v>
      </c>
      <c r="I69" s="486"/>
      <c r="J69" s="77"/>
      <c r="K69" s="80"/>
      <c r="L69" s="81">
        <v>46031.0</v>
      </c>
      <c r="M69" s="84">
        <v>45492.0</v>
      </c>
      <c r="N69" s="139" t="s">
        <v>645</v>
      </c>
      <c r="O69" s="88">
        <f t="shared" si="6"/>
        <v>1</v>
      </c>
      <c r="P69" s="90">
        <v>4.0</v>
      </c>
      <c r="Q69" s="107">
        <v>45492.0</v>
      </c>
      <c r="R69" s="106" t="b">
        <v>1</v>
      </c>
      <c r="S69" s="107">
        <v>45667.0</v>
      </c>
      <c r="T69" s="106" t="b">
        <v>0</v>
      </c>
      <c r="U69" s="107">
        <v>45849.0</v>
      </c>
      <c r="V69" s="130" t="b">
        <v>0</v>
      </c>
      <c r="W69" s="107"/>
      <c r="X69" s="109"/>
      <c r="Y69" s="106" t="b">
        <v>0</v>
      </c>
      <c r="Z69" s="107"/>
      <c r="AA69" s="106"/>
      <c r="AB69" s="107"/>
      <c r="AC69" s="106"/>
      <c r="AD69" s="107"/>
      <c r="AE69" s="106"/>
      <c r="AF69" s="107"/>
      <c r="AG69" s="106"/>
      <c r="AH69" s="106"/>
      <c r="AI69" s="106"/>
      <c r="AJ69" s="106"/>
      <c r="AK69" s="106"/>
      <c r="AL69" s="116"/>
      <c r="AM69" s="118"/>
    </row>
    <row r="70" ht="22.5" hidden="1" customHeight="1">
      <c r="A70" s="60">
        <f t="shared" si="1"/>
        <v>26</v>
      </c>
      <c r="B70" s="63" t="s">
        <v>454</v>
      </c>
      <c r="C70" s="66" t="s">
        <v>648</v>
      </c>
      <c r="D70" s="66"/>
      <c r="E70" s="66"/>
      <c r="F70" s="64" t="s">
        <v>51</v>
      </c>
      <c r="G70" s="70" t="s">
        <v>649</v>
      </c>
      <c r="H70" s="71" t="s">
        <v>650</v>
      </c>
      <c r="I70" s="486"/>
      <c r="J70" s="77"/>
      <c r="K70" s="80"/>
      <c r="L70" s="81">
        <v>45875.0</v>
      </c>
      <c r="M70" s="84">
        <v>45328.0</v>
      </c>
      <c r="N70" s="86"/>
      <c r="O70" s="88">
        <f t="shared" si="6"/>
        <v>3</v>
      </c>
      <c r="P70" s="90">
        <v>4.0</v>
      </c>
      <c r="Q70" s="92">
        <v>44833.0</v>
      </c>
      <c r="R70" s="98" t="b">
        <v>1</v>
      </c>
      <c r="S70" s="101">
        <v>45014.0</v>
      </c>
      <c r="T70" s="98" t="b">
        <v>1</v>
      </c>
      <c r="U70" s="101">
        <v>45328.0</v>
      </c>
      <c r="V70" s="98" t="b">
        <v>1</v>
      </c>
      <c r="W70" s="107"/>
      <c r="X70" s="109"/>
      <c r="Y70" s="106" t="b">
        <v>0</v>
      </c>
      <c r="Z70" s="107">
        <v>45694.0</v>
      </c>
      <c r="AA70" s="106" t="b">
        <v>0</v>
      </c>
      <c r="AB70" s="107">
        <v>45875.0</v>
      </c>
      <c r="AC70" s="164" t="b">
        <v>0</v>
      </c>
      <c r="AD70" s="107"/>
      <c r="AE70" s="106"/>
      <c r="AF70" s="107"/>
      <c r="AG70" s="106"/>
      <c r="AH70" s="106"/>
      <c r="AI70" s="106"/>
      <c r="AJ70" s="106"/>
      <c r="AK70" s="106"/>
      <c r="AL70" s="288"/>
      <c r="AM70" s="118"/>
    </row>
    <row r="71" ht="22.5" hidden="1" customHeight="1">
      <c r="A71" s="60">
        <f t="shared" si="1"/>
        <v>26</v>
      </c>
      <c r="B71" s="63" t="s">
        <v>653</v>
      </c>
      <c r="C71" s="66" t="s">
        <v>654</v>
      </c>
      <c r="D71" s="66"/>
      <c r="E71" s="66"/>
      <c r="F71" s="64" t="s">
        <v>51</v>
      </c>
      <c r="G71" s="70" t="s">
        <v>494</v>
      </c>
      <c r="H71" s="206" t="s">
        <v>655</v>
      </c>
      <c r="I71" s="433" t="s">
        <v>497</v>
      </c>
      <c r="J71" s="77"/>
      <c r="K71" s="80"/>
      <c r="L71" s="81">
        <v>45952.0</v>
      </c>
      <c r="M71" s="84">
        <v>45490.0</v>
      </c>
      <c r="N71" s="86"/>
      <c r="O71" s="88">
        <f t="shared" si="6"/>
        <v>1</v>
      </c>
      <c r="P71" s="90">
        <v>4.0</v>
      </c>
      <c r="Q71" s="92">
        <v>45490.0</v>
      </c>
      <c r="R71" s="98" t="b">
        <v>1</v>
      </c>
      <c r="S71" s="101">
        <v>45587.0</v>
      </c>
      <c r="T71" s="98" t="b">
        <v>0</v>
      </c>
      <c r="U71" s="101">
        <v>45769.0</v>
      </c>
      <c r="V71" s="130" t="b">
        <v>0</v>
      </c>
      <c r="W71" s="107"/>
      <c r="X71" s="109"/>
      <c r="Y71" s="106" t="b">
        <v>0</v>
      </c>
      <c r="Z71" s="107"/>
      <c r="AA71" s="106"/>
      <c r="AB71" s="107"/>
      <c r="AC71" s="106"/>
      <c r="AD71" s="107"/>
      <c r="AE71" s="106"/>
      <c r="AF71" s="107"/>
      <c r="AG71" s="106"/>
      <c r="AH71" s="106"/>
      <c r="AI71" s="106"/>
      <c r="AJ71" s="106"/>
      <c r="AK71" s="106"/>
      <c r="AL71" s="116"/>
      <c r="AM71" s="118"/>
    </row>
    <row r="72" ht="22.5" hidden="1" customHeight="1">
      <c r="A72" s="60">
        <f t="shared" si="1"/>
        <v>26</v>
      </c>
      <c r="B72" s="63" t="s">
        <v>475</v>
      </c>
      <c r="C72" s="66" t="s">
        <v>660</v>
      </c>
      <c r="D72" s="66"/>
      <c r="E72" s="66"/>
      <c r="F72" s="64" t="s">
        <v>51</v>
      </c>
      <c r="G72" s="70" t="s">
        <v>491</v>
      </c>
      <c r="H72" s="71" t="s">
        <v>661</v>
      </c>
      <c r="I72" s="74"/>
      <c r="J72" s="77"/>
      <c r="K72" s="80"/>
      <c r="L72" s="667" t="s">
        <v>219</v>
      </c>
      <c r="M72" s="84">
        <v>45324.0</v>
      </c>
      <c r="N72" s="668" t="s">
        <v>664</v>
      </c>
      <c r="O72" s="88">
        <f t="shared" si="6"/>
        <v>2</v>
      </c>
      <c r="P72" s="90">
        <v>4.0</v>
      </c>
      <c r="Q72" s="92">
        <v>45139.0</v>
      </c>
      <c r="R72" s="98" t="b">
        <v>1</v>
      </c>
      <c r="S72" s="101">
        <v>45324.0</v>
      </c>
      <c r="T72" s="98" t="b">
        <v>1</v>
      </c>
      <c r="U72" s="101">
        <v>45541.0</v>
      </c>
      <c r="V72" s="130" t="b">
        <v>0</v>
      </c>
      <c r="W72" s="101"/>
      <c r="X72" s="309"/>
      <c r="Y72" s="106" t="b">
        <v>0</v>
      </c>
      <c r="Z72" s="107">
        <v>45905.0</v>
      </c>
      <c r="AA72" s="106" t="b">
        <v>0</v>
      </c>
      <c r="AB72" s="101">
        <v>46087.0</v>
      </c>
      <c r="AC72" s="99" t="b">
        <v>0</v>
      </c>
      <c r="AD72" s="107">
        <v>46269.0</v>
      </c>
      <c r="AE72" s="106" t="b">
        <v>0</v>
      </c>
      <c r="AF72" s="107"/>
      <c r="AG72" s="106"/>
      <c r="AH72" s="106"/>
      <c r="AI72" s="106"/>
      <c r="AJ72" s="106"/>
      <c r="AK72" s="106"/>
      <c r="AL72" s="116"/>
      <c r="AM72" s="118"/>
    </row>
    <row r="73" ht="22.5" hidden="1" customHeight="1">
      <c r="A73" s="60">
        <f t="shared" si="1"/>
        <v>26</v>
      </c>
      <c r="B73" s="63" t="s">
        <v>478</v>
      </c>
      <c r="C73" s="66" t="s">
        <v>660</v>
      </c>
      <c r="D73" s="66"/>
      <c r="E73" s="66"/>
      <c r="F73" s="64" t="s">
        <v>51</v>
      </c>
      <c r="G73" s="70" t="s">
        <v>491</v>
      </c>
      <c r="H73" s="71" t="s">
        <v>661</v>
      </c>
      <c r="I73" s="74"/>
      <c r="J73" s="77"/>
      <c r="K73" s="80"/>
      <c r="L73" s="667" t="s">
        <v>219</v>
      </c>
      <c r="M73" s="84">
        <v>45254.0</v>
      </c>
      <c r="N73" s="668" t="s">
        <v>664</v>
      </c>
      <c r="O73" s="88">
        <f t="shared" si="6"/>
        <v>3</v>
      </c>
      <c r="P73" s="90">
        <v>4.0</v>
      </c>
      <c r="Q73" s="92">
        <v>44562.0</v>
      </c>
      <c r="R73" s="106" t="b">
        <v>1</v>
      </c>
      <c r="S73" s="101">
        <v>44562.0</v>
      </c>
      <c r="T73" s="106" t="b">
        <v>1</v>
      </c>
      <c r="U73" s="101">
        <v>44562.0</v>
      </c>
      <c r="V73" s="106" t="b">
        <v>1</v>
      </c>
      <c r="W73" s="107"/>
      <c r="X73" s="109"/>
      <c r="Y73" s="106" t="b">
        <v>0</v>
      </c>
      <c r="Z73" s="101">
        <v>45541.0</v>
      </c>
      <c r="AA73" s="99" t="b">
        <v>0</v>
      </c>
      <c r="AB73" s="101">
        <v>45723.0</v>
      </c>
      <c r="AC73" s="99" t="b">
        <v>0</v>
      </c>
      <c r="AD73" s="107">
        <v>45905.0</v>
      </c>
      <c r="AE73" s="106" t="b">
        <v>0</v>
      </c>
      <c r="AF73" s="101">
        <v>46087.0</v>
      </c>
      <c r="AG73" s="99" t="b">
        <v>0</v>
      </c>
      <c r="AH73" s="106"/>
      <c r="AI73" s="99" t="b">
        <v>0</v>
      </c>
      <c r="AJ73" s="106"/>
      <c r="AK73" s="99" t="b">
        <v>0</v>
      </c>
      <c r="AL73" s="679"/>
      <c r="AM73" s="146" t="s">
        <v>325</v>
      </c>
    </row>
    <row r="74" ht="22.5" hidden="1" customHeight="1">
      <c r="A74" s="60">
        <f t="shared" si="1"/>
        <v>26</v>
      </c>
      <c r="B74" s="63" t="s">
        <v>495</v>
      </c>
      <c r="C74" s="66" t="s">
        <v>660</v>
      </c>
      <c r="D74" s="66"/>
      <c r="E74" s="66"/>
      <c r="F74" s="64" t="s">
        <v>51</v>
      </c>
      <c r="G74" s="70" t="s">
        <v>491</v>
      </c>
      <c r="H74" s="71" t="s">
        <v>661</v>
      </c>
      <c r="I74" s="151"/>
      <c r="J74" s="77"/>
      <c r="K74" s="80"/>
      <c r="L74" s="667" t="s">
        <v>219</v>
      </c>
      <c r="M74" s="84">
        <v>45387.0</v>
      </c>
      <c r="N74" s="668" t="s">
        <v>664</v>
      </c>
      <c r="O74" s="88">
        <f t="shared" si="6"/>
        <v>1</v>
      </c>
      <c r="P74" s="90">
        <v>4.0</v>
      </c>
      <c r="Q74" s="92">
        <v>45387.0</v>
      </c>
      <c r="R74" s="98" t="b">
        <v>1</v>
      </c>
      <c r="S74" s="101">
        <v>45541.0</v>
      </c>
      <c r="T74" s="130" t="b">
        <v>0</v>
      </c>
      <c r="U74" s="101">
        <v>45723.0</v>
      </c>
      <c r="V74" s="130" t="b">
        <v>0</v>
      </c>
      <c r="W74" s="107"/>
      <c r="X74" s="109"/>
      <c r="Y74" s="106" t="b">
        <v>0</v>
      </c>
      <c r="Z74" s="101">
        <v>46087.0</v>
      </c>
      <c r="AA74" s="99" t="b">
        <v>0</v>
      </c>
      <c r="AB74" s="107">
        <v>46269.0</v>
      </c>
      <c r="AC74" s="106" t="b">
        <v>0</v>
      </c>
      <c r="AD74" s="101"/>
      <c r="AE74" s="106"/>
      <c r="AF74" s="107"/>
      <c r="AG74" s="106"/>
      <c r="AH74" s="106"/>
      <c r="AI74" s="106"/>
      <c r="AJ74" s="106"/>
      <c r="AK74" s="106"/>
      <c r="AL74" s="116"/>
      <c r="AM74" s="118"/>
    </row>
    <row r="75" ht="22.5" customHeight="1">
      <c r="A75" s="60">
        <f t="shared" si="1"/>
        <v>27</v>
      </c>
      <c r="B75" s="63" t="s">
        <v>92</v>
      </c>
      <c r="C75" s="66" t="s">
        <v>93</v>
      </c>
      <c r="D75" s="66"/>
      <c r="E75" s="331" t="s">
        <v>94</v>
      </c>
      <c r="F75" s="64" t="s">
        <v>51</v>
      </c>
      <c r="G75" s="70" t="s">
        <v>671</v>
      </c>
      <c r="H75" s="71" t="s">
        <v>672</v>
      </c>
      <c r="I75" s="74"/>
      <c r="J75" s="77"/>
      <c r="K75" s="80"/>
      <c r="L75" s="81">
        <v>45769.0</v>
      </c>
      <c r="M75" s="84">
        <v>45412.0</v>
      </c>
      <c r="N75" s="128" t="s">
        <v>415</v>
      </c>
      <c r="O75" s="88">
        <f t="shared" si="6"/>
        <v>2</v>
      </c>
      <c r="P75" s="90">
        <v>4.0</v>
      </c>
      <c r="Q75" s="92">
        <v>45226.0</v>
      </c>
      <c r="R75" s="98" t="b">
        <v>1</v>
      </c>
      <c r="S75" s="101">
        <v>45412.0</v>
      </c>
      <c r="T75" s="98" t="b">
        <v>1</v>
      </c>
      <c r="U75" s="101">
        <v>45587.0</v>
      </c>
      <c r="V75" s="130" t="b">
        <v>0</v>
      </c>
      <c r="W75" s="107"/>
      <c r="X75" s="109"/>
      <c r="Y75" s="106" t="b">
        <v>0</v>
      </c>
      <c r="Z75" s="107"/>
      <c r="AA75" s="106"/>
      <c r="AB75" s="107"/>
      <c r="AC75" s="106"/>
      <c r="AD75" s="107"/>
      <c r="AE75" s="106"/>
      <c r="AF75" s="107"/>
      <c r="AG75" s="106"/>
      <c r="AH75" s="106"/>
      <c r="AI75" s="106"/>
      <c r="AJ75" s="106"/>
      <c r="AK75" s="106"/>
      <c r="AL75" s="116"/>
      <c r="AM75" s="118"/>
    </row>
    <row r="76" ht="33.75" customHeight="1">
      <c r="A76" s="60">
        <f t="shared" si="1"/>
        <v>28</v>
      </c>
      <c r="B76" s="63" t="s">
        <v>490</v>
      </c>
      <c r="C76" s="66" t="s">
        <v>276</v>
      </c>
      <c r="D76" s="66"/>
      <c r="E76" s="66"/>
      <c r="F76" s="64" t="s">
        <v>51</v>
      </c>
      <c r="G76" s="703" t="s">
        <v>677</v>
      </c>
      <c r="H76" s="71">
        <v>9.89087897E8</v>
      </c>
      <c r="I76" s="74" t="s">
        <v>681</v>
      </c>
      <c r="J76" s="77"/>
      <c r="K76" s="80"/>
      <c r="L76" s="81">
        <v>45911.0</v>
      </c>
      <c r="M76" s="86">
        <v>45362.0</v>
      </c>
      <c r="N76" s="128" t="s">
        <v>282</v>
      </c>
      <c r="O76" s="88">
        <f t="shared" si="6"/>
        <v>1</v>
      </c>
      <c r="P76" s="90">
        <v>4.0</v>
      </c>
      <c r="Q76" s="101">
        <v>45362.0</v>
      </c>
      <c r="R76" s="98" t="b">
        <v>1</v>
      </c>
      <c r="S76" s="101">
        <v>45546.0</v>
      </c>
      <c r="T76" s="98" t="b">
        <v>0</v>
      </c>
      <c r="U76" s="101">
        <v>45727.0</v>
      </c>
      <c r="V76" s="130" t="b">
        <v>0</v>
      </c>
      <c r="W76" s="107"/>
      <c r="X76" s="109"/>
      <c r="Y76" s="106" t="b">
        <v>0</v>
      </c>
      <c r="Z76" s="107"/>
      <c r="AA76" s="106"/>
      <c r="AB76" s="107"/>
      <c r="AC76" s="106"/>
      <c r="AD76" s="107"/>
      <c r="AE76" s="106"/>
      <c r="AF76" s="107"/>
      <c r="AG76" s="106"/>
      <c r="AH76" s="106"/>
      <c r="AI76" s="106"/>
      <c r="AJ76" s="106"/>
      <c r="AK76" s="106"/>
      <c r="AL76" s="116"/>
      <c r="AM76" s="118"/>
    </row>
    <row r="77" ht="27.0" hidden="1" customHeight="1">
      <c r="A77" s="60">
        <f t="shared" si="1"/>
        <v>28</v>
      </c>
      <c r="B77" s="63" t="s">
        <v>500</v>
      </c>
      <c r="C77" s="66" t="s">
        <v>683</v>
      </c>
      <c r="D77" s="66"/>
      <c r="E77" s="66"/>
      <c r="F77" s="64" t="s">
        <v>51</v>
      </c>
      <c r="G77" s="70" t="s">
        <v>684</v>
      </c>
      <c r="H77" s="71" t="s">
        <v>685</v>
      </c>
      <c r="I77" s="74" t="s">
        <v>686</v>
      </c>
      <c r="J77" s="77"/>
      <c r="K77" s="80"/>
      <c r="L77" s="81">
        <v>45933.0</v>
      </c>
      <c r="M77" s="86">
        <v>45387.0</v>
      </c>
      <c r="N77" s="128" t="s">
        <v>687</v>
      </c>
      <c r="O77" s="88">
        <f t="shared" si="6"/>
        <v>1</v>
      </c>
      <c r="P77" s="90">
        <v>4.0</v>
      </c>
      <c r="Q77" s="92">
        <v>45387.0</v>
      </c>
      <c r="R77" s="98" t="b">
        <v>1</v>
      </c>
      <c r="S77" s="101">
        <v>45569.0</v>
      </c>
      <c r="T77" s="98" t="b">
        <v>0</v>
      </c>
      <c r="U77" s="101">
        <v>45751.0</v>
      </c>
      <c r="V77" s="130" t="b">
        <v>0</v>
      </c>
      <c r="W77" s="107"/>
      <c r="X77" s="109"/>
      <c r="Y77" s="106" t="b">
        <v>0</v>
      </c>
      <c r="Z77" s="107"/>
      <c r="AA77" s="106"/>
      <c r="AB77" s="107"/>
      <c r="AC77" s="106"/>
      <c r="AD77" s="107"/>
      <c r="AE77" s="106"/>
      <c r="AF77" s="107"/>
      <c r="AG77" s="106"/>
      <c r="AH77" s="106"/>
      <c r="AI77" s="106"/>
      <c r="AJ77" s="106"/>
      <c r="AK77" s="106"/>
      <c r="AL77" s="116"/>
      <c r="AM77" s="118"/>
    </row>
    <row r="78" ht="24.75" hidden="1" customHeight="1">
      <c r="A78" s="60">
        <f t="shared" si="1"/>
        <v>28</v>
      </c>
      <c r="B78" s="413" t="s">
        <v>502</v>
      </c>
      <c r="C78" s="385" t="s">
        <v>334</v>
      </c>
      <c r="D78" s="391"/>
      <c r="E78" s="391"/>
      <c r="F78" s="716" t="s">
        <v>55</v>
      </c>
      <c r="G78" s="391"/>
      <c r="H78" s="717"/>
      <c r="I78" s="719"/>
      <c r="J78" s="564"/>
      <c r="K78" s="393"/>
      <c r="L78" s="393"/>
      <c r="M78" s="721"/>
      <c r="N78" s="498"/>
      <c r="O78" s="88">
        <f t="shared" si="6"/>
        <v>0</v>
      </c>
      <c r="P78" s="90">
        <v>4.0</v>
      </c>
      <c r="Q78" s="92"/>
      <c r="R78" s="98" t="b">
        <v>0</v>
      </c>
      <c r="S78" s="101"/>
      <c r="T78" s="98" t="b">
        <v>0</v>
      </c>
      <c r="U78" s="101"/>
      <c r="V78" s="130" t="b">
        <v>0</v>
      </c>
      <c r="W78" s="107"/>
      <c r="X78" s="109"/>
      <c r="Y78" s="106" t="b">
        <v>0</v>
      </c>
      <c r="Z78" s="181"/>
      <c r="AA78" s="189"/>
      <c r="AB78" s="181"/>
      <c r="AC78" s="189"/>
      <c r="AD78" s="181"/>
      <c r="AE78" s="189"/>
      <c r="AF78" s="181"/>
      <c r="AG78" s="189"/>
      <c r="AH78" s="106"/>
      <c r="AI78" s="189"/>
      <c r="AJ78" s="106"/>
      <c r="AK78" s="189"/>
      <c r="AL78" s="727"/>
      <c r="AM78" s="118"/>
    </row>
    <row r="79" ht="22.5" hidden="1" customHeight="1">
      <c r="A79" s="60">
        <f t="shared" si="1"/>
        <v>28</v>
      </c>
      <c r="B79" s="332" t="s">
        <v>506</v>
      </c>
      <c r="C79" s="66" t="s">
        <v>111</v>
      </c>
      <c r="D79" s="66"/>
      <c r="E79" s="66"/>
      <c r="F79" s="64" t="s">
        <v>51</v>
      </c>
      <c r="G79" s="70" t="s">
        <v>508</v>
      </c>
      <c r="H79" s="71" t="s">
        <v>694</v>
      </c>
      <c r="I79" s="719"/>
      <c r="J79" s="77"/>
      <c r="K79" s="80"/>
      <c r="L79" s="81">
        <v>46031.0</v>
      </c>
      <c r="M79" s="84">
        <v>45305.0</v>
      </c>
      <c r="N79" s="128" t="s">
        <v>695</v>
      </c>
      <c r="O79" s="88">
        <f t="shared" si="6"/>
        <v>4</v>
      </c>
      <c r="P79" s="90">
        <v>6.0</v>
      </c>
      <c r="Q79" s="92">
        <v>44562.0</v>
      </c>
      <c r="R79" s="98" t="b">
        <v>1</v>
      </c>
      <c r="S79" s="101">
        <v>44562.0</v>
      </c>
      <c r="T79" s="98" t="b">
        <v>1</v>
      </c>
      <c r="U79" s="101">
        <v>45120.0</v>
      </c>
      <c r="V79" s="98" t="b">
        <v>1</v>
      </c>
      <c r="W79" s="112"/>
      <c r="X79" s="109"/>
      <c r="Y79" s="106" t="b">
        <v>0</v>
      </c>
      <c r="Z79" s="107">
        <v>45474.0</v>
      </c>
      <c r="AA79" s="106" t="b">
        <v>1</v>
      </c>
      <c r="AB79" s="112">
        <v>45667.0</v>
      </c>
      <c r="AC79" s="106" t="b">
        <v>0</v>
      </c>
      <c r="AD79" s="112">
        <v>45849.0</v>
      </c>
      <c r="AE79" s="106" t="b">
        <v>0</v>
      </c>
      <c r="AF79" s="112">
        <v>46031.0</v>
      </c>
      <c r="AG79" s="106" t="b">
        <v>0</v>
      </c>
      <c r="AH79" s="106"/>
      <c r="AI79" s="106" t="b">
        <v>0</v>
      </c>
      <c r="AJ79" s="106"/>
      <c r="AK79" s="106" t="b">
        <v>0</v>
      </c>
      <c r="AL79" s="288"/>
      <c r="AM79" s="245"/>
    </row>
    <row r="80" ht="22.5" customHeight="1">
      <c r="A80" s="60">
        <f t="shared" si="1"/>
        <v>29</v>
      </c>
      <c r="B80" s="63" t="s">
        <v>226</v>
      </c>
      <c r="C80" s="66" t="s">
        <v>48</v>
      </c>
      <c r="D80" s="589"/>
      <c r="E80" s="589"/>
      <c r="F80" s="301" t="s">
        <v>51</v>
      </c>
      <c r="G80" s="305"/>
      <c r="H80" s="307"/>
      <c r="I80" s="74"/>
      <c r="J80" s="77"/>
      <c r="K80" s="80"/>
      <c r="L80" s="667" t="s">
        <v>219</v>
      </c>
      <c r="M80" s="84"/>
      <c r="N80" s="86"/>
      <c r="O80" s="88">
        <f t="shared" si="6"/>
        <v>3</v>
      </c>
      <c r="P80" s="90">
        <v>4.0</v>
      </c>
      <c r="Q80" s="92">
        <v>44562.0</v>
      </c>
      <c r="R80" s="98" t="b">
        <v>1</v>
      </c>
      <c r="S80" s="101">
        <v>44623.0</v>
      </c>
      <c r="T80" s="98" t="b">
        <v>1</v>
      </c>
      <c r="U80" s="101">
        <v>45264.0</v>
      </c>
      <c r="V80" s="98" t="b">
        <v>1</v>
      </c>
      <c r="W80" s="107"/>
      <c r="X80" s="109"/>
      <c r="Y80" s="106" t="b">
        <v>0</v>
      </c>
      <c r="Z80" s="107"/>
      <c r="AA80" s="106"/>
      <c r="AB80" s="107"/>
      <c r="AC80" s="106"/>
      <c r="AD80" s="107"/>
      <c r="AE80" s="106"/>
      <c r="AF80" s="107"/>
      <c r="AG80" s="106"/>
      <c r="AH80" s="106"/>
      <c r="AI80" s="106"/>
      <c r="AJ80" s="106"/>
      <c r="AK80" s="106"/>
      <c r="AL80" s="116"/>
      <c r="AM80" s="245"/>
    </row>
    <row r="81" ht="22.5" hidden="1" customHeight="1">
      <c r="A81" s="60">
        <f t="shared" si="1"/>
        <v>29</v>
      </c>
      <c r="B81" s="63" t="s">
        <v>513</v>
      </c>
      <c r="C81" s="66" t="s">
        <v>702</v>
      </c>
      <c r="D81" s="186"/>
      <c r="E81" s="186"/>
      <c r="F81" s="64" t="s">
        <v>51</v>
      </c>
      <c r="G81" s="70" t="s">
        <v>514</v>
      </c>
      <c r="H81" s="71" t="s">
        <v>703</v>
      </c>
      <c r="I81" s="193" t="s">
        <v>704</v>
      </c>
      <c r="J81" s="735" t="s">
        <v>705</v>
      </c>
      <c r="K81" s="736"/>
      <c r="L81" s="738">
        <v>45585.0</v>
      </c>
      <c r="M81" s="739">
        <v>45317.0</v>
      </c>
      <c r="N81" s="740"/>
      <c r="O81" s="88">
        <f t="shared" si="6"/>
        <v>2</v>
      </c>
      <c r="P81" s="90">
        <v>4.0</v>
      </c>
      <c r="Q81" s="101">
        <v>45040.0</v>
      </c>
      <c r="R81" s="106" t="b">
        <v>1</v>
      </c>
      <c r="S81" s="101">
        <v>45317.0</v>
      </c>
      <c r="T81" s="98" t="b">
        <v>1</v>
      </c>
      <c r="U81" s="101">
        <v>45404.0</v>
      </c>
      <c r="V81" s="532" t="b">
        <v>0</v>
      </c>
      <c r="W81" s="107"/>
      <c r="X81" s="109"/>
      <c r="Y81" s="106" t="b">
        <v>0</v>
      </c>
      <c r="Z81" s="107"/>
      <c r="AA81" s="106"/>
      <c r="AB81" s="107"/>
      <c r="AC81" s="106"/>
      <c r="AD81" s="107"/>
      <c r="AE81" s="106"/>
      <c r="AF81" s="107"/>
      <c r="AG81" s="106"/>
      <c r="AH81" s="106"/>
      <c r="AI81" s="106"/>
      <c r="AJ81" s="106"/>
      <c r="AK81" s="106"/>
      <c r="AL81" s="288"/>
      <c r="AM81" s="245"/>
    </row>
    <row r="82" ht="22.5" customHeight="1">
      <c r="A82" s="60">
        <f t="shared" si="1"/>
        <v>30</v>
      </c>
      <c r="B82" s="355" t="s">
        <v>108</v>
      </c>
      <c r="C82" s="358" t="s">
        <v>109</v>
      </c>
      <c r="D82" s="358"/>
      <c r="E82" s="763" t="s">
        <v>110</v>
      </c>
      <c r="F82" s="64" t="s">
        <v>51</v>
      </c>
      <c r="G82" s="362" t="s">
        <v>722</v>
      </c>
      <c r="H82" s="364"/>
      <c r="I82" s="366" t="s">
        <v>118</v>
      </c>
      <c r="J82" s="766" t="s">
        <v>724</v>
      </c>
      <c r="K82" s="80"/>
      <c r="L82" s="81">
        <v>45867.0</v>
      </c>
      <c r="M82" s="84">
        <v>45320.0</v>
      </c>
      <c r="N82" s="768"/>
      <c r="O82" s="88">
        <f t="shared" si="6"/>
        <v>1</v>
      </c>
      <c r="P82" s="90">
        <v>4.0</v>
      </c>
      <c r="Q82" s="92">
        <v>45320.0</v>
      </c>
      <c r="R82" s="647" t="b">
        <v>1</v>
      </c>
      <c r="S82" s="101">
        <v>45502.0</v>
      </c>
      <c r="T82" s="649" t="b">
        <v>0</v>
      </c>
      <c r="U82" s="101">
        <v>45686.0</v>
      </c>
      <c r="V82" s="649" t="b">
        <v>0</v>
      </c>
      <c r="W82" s="107"/>
      <c r="X82" s="109"/>
      <c r="Y82" s="106" t="b">
        <v>0</v>
      </c>
      <c r="Z82" s="107"/>
      <c r="AA82" s="106"/>
      <c r="AB82" s="107"/>
      <c r="AC82" s="106"/>
      <c r="AD82" s="107"/>
      <c r="AE82" s="106"/>
      <c r="AF82" s="107"/>
      <c r="AG82" s="106"/>
      <c r="AH82" s="106"/>
      <c r="AI82" s="106"/>
      <c r="AJ82" s="106"/>
      <c r="AK82" s="106"/>
      <c r="AL82" s="116"/>
      <c r="AM82" s="118"/>
    </row>
    <row r="83" ht="22.5" customHeight="1">
      <c r="A83" s="60">
        <f t="shared" si="1"/>
        <v>31</v>
      </c>
      <c r="B83" s="63" t="s">
        <v>728</v>
      </c>
      <c r="C83" s="66" t="s">
        <v>334</v>
      </c>
      <c r="D83" s="66"/>
      <c r="E83" s="66"/>
      <c r="F83" s="64" t="s">
        <v>51</v>
      </c>
      <c r="G83" s="70" t="s">
        <v>729</v>
      </c>
      <c r="H83" s="364">
        <v>8.35295991E8</v>
      </c>
      <c r="I83" s="774" t="s">
        <v>730</v>
      </c>
      <c r="J83" s="776"/>
      <c r="K83" s="80"/>
      <c r="L83" s="81">
        <v>46028.0</v>
      </c>
      <c r="M83" s="84">
        <v>45468.0</v>
      </c>
      <c r="N83" s="668" t="s">
        <v>238</v>
      </c>
      <c r="O83" s="88">
        <f t="shared" si="6"/>
        <v>1</v>
      </c>
      <c r="P83" s="90">
        <v>4.0</v>
      </c>
      <c r="Q83" s="92">
        <v>45468.0</v>
      </c>
      <c r="R83" s="98" t="b">
        <v>1</v>
      </c>
      <c r="S83" s="101">
        <v>45660.0</v>
      </c>
      <c r="T83" s="649" t="b">
        <v>0</v>
      </c>
      <c r="U83" s="107">
        <v>45841.0</v>
      </c>
      <c r="V83" s="106" t="b">
        <v>0</v>
      </c>
      <c r="W83" s="101"/>
      <c r="X83" s="309"/>
      <c r="Y83" s="106" t="b">
        <v>0</v>
      </c>
      <c r="Z83" s="107"/>
      <c r="AA83" s="106"/>
      <c r="AB83" s="107"/>
      <c r="AC83" s="106"/>
      <c r="AD83" s="107"/>
      <c r="AE83" s="106"/>
      <c r="AF83" s="107"/>
      <c r="AG83" s="106"/>
      <c r="AH83" s="106"/>
      <c r="AI83" s="106"/>
      <c r="AJ83" s="106"/>
      <c r="AK83" s="106"/>
      <c r="AL83" s="116"/>
      <c r="AM83" s="118"/>
    </row>
    <row r="84" ht="22.5" hidden="1" customHeight="1">
      <c r="A84" s="60">
        <f t="shared" si="1"/>
        <v>31</v>
      </c>
      <c r="B84" s="780" t="s">
        <v>540</v>
      </c>
      <c r="C84" s="385" t="s">
        <v>735</v>
      </c>
      <c r="D84" s="391"/>
      <c r="E84" s="391"/>
      <c r="F84" s="716" t="s">
        <v>55</v>
      </c>
      <c r="G84" s="391"/>
      <c r="H84" s="717"/>
      <c r="I84" s="719"/>
      <c r="J84" s="564"/>
      <c r="K84" s="393"/>
      <c r="L84" s="393"/>
      <c r="M84" s="721"/>
      <c r="N84" s="498"/>
      <c r="O84" s="88">
        <f t="shared" si="6"/>
        <v>0</v>
      </c>
      <c r="P84" s="90">
        <v>4.0</v>
      </c>
      <c r="Q84" s="92"/>
      <c r="R84" s="98" t="b">
        <v>0</v>
      </c>
      <c r="S84" s="101"/>
      <c r="T84" s="98" t="b">
        <v>0</v>
      </c>
      <c r="U84" s="101"/>
      <c r="V84" s="130" t="b">
        <v>0</v>
      </c>
      <c r="W84" s="107"/>
      <c r="X84" s="109"/>
      <c r="Y84" s="106" t="b">
        <v>0</v>
      </c>
      <c r="Z84" s="181"/>
      <c r="AA84" s="189"/>
      <c r="AB84" s="181"/>
      <c r="AC84" s="189"/>
      <c r="AD84" s="181"/>
      <c r="AE84" s="189"/>
      <c r="AF84" s="181"/>
      <c r="AG84" s="189"/>
      <c r="AH84" s="189"/>
      <c r="AI84" s="189"/>
      <c r="AJ84" s="189"/>
      <c r="AK84" s="189"/>
      <c r="AL84" s="191"/>
      <c r="AM84" s="118"/>
    </row>
    <row r="85" ht="22.5" hidden="1" customHeight="1">
      <c r="A85" s="60">
        <f t="shared" si="1"/>
        <v>31</v>
      </c>
      <c r="B85" s="63" t="s">
        <v>550</v>
      </c>
      <c r="C85" s="66" t="s">
        <v>217</v>
      </c>
      <c r="D85" s="66" t="s">
        <v>739</v>
      </c>
      <c r="E85" s="66"/>
      <c r="F85" s="64" t="s">
        <v>51</v>
      </c>
      <c r="G85" s="70" t="s">
        <v>740</v>
      </c>
      <c r="H85" s="71" t="s">
        <v>741</v>
      </c>
      <c r="I85" s="389" t="s">
        <v>208</v>
      </c>
      <c r="J85" s="77"/>
      <c r="K85" s="298"/>
      <c r="L85" s="300">
        <v>45601.0</v>
      </c>
      <c r="M85" s="84">
        <v>45450.0</v>
      </c>
      <c r="N85" s="128" t="s">
        <v>743</v>
      </c>
      <c r="O85" s="88">
        <f t="shared" si="6"/>
        <v>3</v>
      </c>
      <c r="P85" s="90">
        <v>4.0</v>
      </c>
      <c r="Q85" s="92">
        <v>44942.0</v>
      </c>
      <c r="R85" s="98" t="b">
        <v>1</v>
      </c>
      <c r="S85" s="101">
        <v>45268.0</v>
      </c>
      <c r="T85" s="98" t="b">
        <v>1</v>
      </c>
      <c r="U85" s="101">
        <v>45449.0</v>
      </c>
      <c r="V85" s="98" t="b">
        <v>1</v>
      </c>
      <c r="W85" s="107"/>
      <c r="X85" s="109"/>
      <c r="Y85" s="106" t="b">
        <v>0</v>
      </c>
      <c r="Z85" s="107"/>
      <c r="AA85" s="106"/>
      <c r="AB85" s="107"/>
      <c r="AC85" s="106"/>
      <c r="AD85" s="107"/>
      <c r="AE85" s="106"/>
      <c r="AF85" s="107"/>
      <c r="AG85" s="106"/>
      <c r="AH85" s="106"/>
      <c r="AI85" s="106"/>
      <c r="AJ85" s="106"/>
      <c r="AK85" s="106"/>
      <c r="AL85" s="288"/>
      <c r="AM85" s="118"/>
    </row>
    <row r="86" ht="22.5" hidden="1" customHeight="1">
      <c r="A86" s="60">
        <f t="shared" si="1"/>
        <v>31</v>
      </c>
      <c r="B86" s="63" t="s">
        <v>546</v>
      </c>
      <c r="C86" s="66" t="s">
        <v>111</v>
      </c>
      <c r="D86" s="796" t="s">
        <v>739</v>
      </c>
      <c r="E86" s="66"/>
      <c r="F86" s="64" t="s">
        <v>51</v>
      </c>
      <c r="G86" s="548" t="s">
        <v>526</v>
      </c>
      <c r="H86" s="71" t="s">
        <v>527</v>
      </c>
      <c r="I86" s="486"/>
      <c r="J86" s="77"/>
      <c r="K86" s="80">
        <v>44960.0</v>
      </c>
      <c r="L86" s="81">
        <v>45702.0</v>
      </c>
      <c r="M86" s="84">
        <v>45325.0</v>
      </c>
      <c r="N86" s="128" t="s">
        <v>746</v>
      </c>
      <c r="O86" s="88">
        <f t="shared" si="6"/>
        <v>3</v>
      </c>
      <c r="P86" s="90">
        <v>6.0</v>
      </c>
      <c r="Q86" s="92">
        <v>44873.0</v>
      </c>
      <c r="R86" s="98" t="b">
        <v>1</v>
      </c>
      <c r="S86" s="101">
        <v>44973.0</v>
      </c>
      <c r="T86" s="98" t="b">
        <v>1</v>
      </c>
      <c r="U86" s="101">
        <v>45325.0</v>
      </c>
      <c r="V86" s="98" t="b">
        <v>1</v>
      </c>
      <c r="W86" s="107"/>
      <c r="X86" s="109"/>
      <c r="Y86" s="106" t="b">
        <v>0</v>
      </c>
      <c r="Z86" s="107">
        <v>45702.0</v>
      </c>
      <c r="AA86" s="106" t="b">
        <v>0</v>
      </c>
      <c r="AB86" s="107">
        <v>45877.0</v>
      </c>
      <c r="AC86" s="106" t="b">
        <v>0</v>
      </c>
      <c r="AD86" s="107"/>
      <c r="AE86" s="106"/>
      <c r="AF86" s="107"/>
      <c r="AG86" s="106"/>
      <c r="AH86" s="106"/>
      <c r="AI86" s="106"/>
      <c r="AJ86" s="106"/>
      <c r="AK86" s="106"/>
      <c r="AL86" s="116"/>
      <c r="AM86" s="118"/>
    </row>
    <row r="87" ht="22.5" hidden="1" customHeight="1">
      <c r="A87" s="60">
        <f t="shared" si="1"/>
        <v>31</v>
      </c>
      <c r="B87" s="355" t="s">
        <v>553</v>
      </c>
      <c r="C87" s="802" t="s">
        <v>111</v>
      </c>
      <c r="D87" s="358" t="s">
        <v>739</v>
      </c>
      <c r="E87" s="358"/>
      <c r="F87" s="645" t="s">
        <v>51</v>
      </c>
      <c r="G87" s="362"/>
      <c r="H87" s="364"/>
      <c r="I87" s="364" t="s">
        <v>749</v>
      </c>
      <c r="J87" s="368" t="s">
        <v>750</v>
      </c>
      <c r="K87" s="80"/>
      <c r="L87" s="81">
        <v>45643.0</v>
      </c>
      <c r="M87" s="84">
        <v>45315.0</v>
      </c>
      <c r="N87" s="128" t="s">
        <v>746</v>
      </c>
      <c r="O87" s="88">
        <f t="shared" si="6"/>
        <v>2</v>
      </c>
      <c r="P87" s="90">
        <v>4.0</v>
      </c>
      <c r="Q87" s="101">
        <v>45133.0</v>
      </c>
      <c r="R87" s="647" t="b">
        <v>1</v>
      </c>
      <c r="S87" s="101">
        <v>45315.0</v>
      </c>
      <c r="T87" s="647" t="b">
        <v>1</v>
      </c>
      <c r="U87" s="101">
        <v>45513.0</v>
      </c>
      <c r="V87" s="647" t="b">
        <v>0</v>
      </c>
      <c r="W87" s="107"/>
      <c r="X87" s="109"/>
      <c r="Y87" s="106" t="b">
        <v>0</v>
      </c>
      <c r="Z87" s="107"/>
      <c r="AA87" s="106"/>
      <c r="AB87" s="107"/>
      <c r="AC87" s="106"/>
      <c r="AD87" s="107"/>
      <c r="AE87" s="106"/>
      <c r="AF87" s="107"/>
      <c r="AG87" s="106"/>
      <c r="AH87" s="106"/>
      <c r="AI87" s="106"/>
      <c r="AJ87" s="106"/>
      <c r="AK87" s="106"/>
      <c r="AL87" s="288"/>
      <c r="AM87" s="118"/>
    </row>
    <row r="88" ht="22.5" hidden="1" customHeight="1">
      <c r="A88" s="60">
        <f t="shared" si="1"/>
        <v>31</v>
      </c>
      <c r="B88" s="355" t="s">
        <v>542</v>
      </c>
      <c r="C88" s="804" t="s">
        <v>111</v>
      </c>
      <c r="D88" s="804" t="s">
        <v>739</v>
      </c>
      <c r="E88" s="804"/>
      <c r="F88" s="805" t="s">
        <v>51</v>
      </c>
      <c r="G88" s="355" t="s">
        <v>281</v>
      </c>
      <c r="H88" s="806"/>
      <c r="I88" s="774"/>
      <c r="J88" s="368"/>
      <c r="K88" s="80">
        <v>45429.0</v>
      </c>
      <c r="L88" s="81">
        <v>45968.0</v>
      </c>
      <c r="M88" s="84">
        <v>45440.0</v>
      </c>
      <c r="N88" s="128" t="s">
        <v>743</v>
      </c>
      <c r="O88" s="88">
        <f t="shared" si="6"/>
        <v>3</v>
      </c>
      <c r="P88" s="90">
        <v>6.0</v>
      </c>
      <c r="Q88" s="559">
        <v>44784.0</v>
      </c>
      <c r="R88" s="647" t="b">
        <v>1</v>
      </c>
      <c r="S88" s="101">
        <v>45048.0</v>
      </c>
      <c r="T88" s="647" t="b">
        <v>1</v>
      </c>
      <c r="U88" s="101">
        <v>45440.0</v>
      </c>
      <c r="V88" s="647" t="b">
        <v>1</v>
      </c>
      <c r="W88" s="101"/>
      <c r="X88" s="309"/>
      <c r="Y88" s="106" t="b">
        <v>0</v>
      </c>
      <c r="Z88" s="101">
        <v>45783.0</v>
      </c>
      <c r="AA88" s="106" t="b">
        <v>0</v>
      </c>
      <c r="AB88" s="101">
        <v>45968.0</v>
      </c>
      <c r="AC88" s="106" t="b">
        <v>0</v>
      </c>
      <c r="AD88" s="107"/>
      <c r="AE88" s="106"/>
      <c r="AF88" s="107"/>
      <c r="AG88" s="106"/>
      <c r="AH88" s="106"/>
      <c r="AI88" s="106"/>
      <c r="AJ88" s="106"/>
      <c r="AK88" s="106"/>
      <c r="AL88" s="116"/>
      <c r="AM88" s="118"/>
    </row>
    <row r="89" ht="22.5" customHeight="1">
      <c r="A89" s="60">
        <f t="shared" si="1"/>
        <v>32</v>
      </c>
      <c r="B89" s="355" t="s">
        <v>541</v>
      </c>
      <c r="C89" s="808" t="s">
        <v>332</v>
      </c>
      <c r="D89" s="809"/>
      <c r="E89" s="809"/>
      <c r="F89" s="228" t="s">
        <v>55</v>
      </c>
      <c r="G89" s="810"/>
      <c r="H89" s="811" t="s">
        <v>761</v>
      </c>
      <c r="I89" s="774"/>
      <c r="J89" s="368"/>
      <c r="K89" s="80"/>
      <c r="L89" s="521">
        <v>45087.0</v>
      </c>
      <c r="M89" s="84"/>
      <c r="N89" s="86"/>
      <c r="O89" s="88">
        <f t="shared" si="6"/>
        <v>3</v>
      </c>
      <c r="P89" s="234">
        <v>2.0</v>
      </c>
      <c r="Q89" s="576">
        <v>44904.0</v>
      </c>
      <c r="R89" s="814" t="b">
        <v>1</v>
      </c>
      <c r="S89" s="242">
        <v>45087.0</v>
      </c>
      <c r="T89" s="814" t="b">
        <v>1</v>
      </c>
      <c r="U89" s="242"/>
      <c r="V89" s="814"/>
      <c r="W89" s="242"/>
      <c r="X89" s="817"/>
      <c r="Y89" s="106" t="b">
        <v>1</v>
      </c>
      <c r="Z89" s="242"/>
      <c r="AA89" s="237"/>
      <c r="AB89" s="242"/>
      <c r="AC89" s="237"/>
      <c r="AD89" s="242"/>
      <c r="AE89" s="237"/>
      <c r="AF89" s="242"/>
      <c r="AG89" s="237"/>
      <c r="AH89" s="237"/>
      <c r="AI89" s="237"/>
      <c r="AJ89" s="237"/>
      <c r="AK89" s="237"/>
      <c r="AL89" s="578"/>
      <c r="AM89" s="118"/>
    </row>
    <row r="90" ht="22.5" hidden="1" customHeight="1">
      <c r="A90" s="60">
        <f t="shared" si="1"/>
        <v>32</v>
      </c>
      <c r="B90" s="355" t="s">
        <v>569</v>
      </c>
      <c r="C90" s="822" t="s">
        <v>47</v>
      </c>
      <c r="D90" s="358"/>
      <c r="E90" s="763" t="s">
        <v>766</v>
      </c>
      <c r="F90" s="64" t="s">
        <v>51</v>
      </c>
      <c r="G90" s="362" t="s">
        <v>756</v>
      </c>
      <c r="H90" s="364" t="s">
        <v>758</v>
      </c>
      <c r="I90" s="774"/>
      <c r="J90" s="368"/>
      <c r="K90" s="80"/>
      <c r="L90" s="81">
        <v>45765.0</v>
      </c>
      <c r="M90" s="84">
        <v>45362.0</v>
      </c>
      <c r="N90" s="128" t="s">
        <v>768</v>
      </c>
      <c r="O90" s="88">
        <f t="shared" si="6"/>
        <v>2</v>
      </c>
      <c r="P90" s="90">
        <v>4.0</v>
      </c>
      <c r="Q90" s="92">
        <v>45227.0</v>
      </c>
      <c r="R90" s="647" t="b">
        <v>1</v>
      </c>
      <c r="S90" s="101">
        <v>45393.0</v>
      </c>
      <c r="T90" s="647" t="b">
        <v>1</v>
      </c>
      <c r="U90" s="101">
        <v>45583.0</v>
      </c>
      <c r="V90" s="649" t="b">
        <v>0</v>
      </c>
      <c r="W90" s="107"/>
      <c r="X90" s="109"/>
      <c r="Y90" s="106" t="b">
        <v>0</v>
      </c>
      <c r="Z90" s="107"/>
      <c r="AA90" s="106"/>
      <c r="AB90" s="107"/>
      <c r="AC90" s="106"/>
      <c r="AD90" s="107"/>
      <c r="AE90" s="106"/>
      <c r="AF90" s="107"/>
      <c r="AG90" s="106"/>
      <c r="AH90" s="106"/>
      <c r="AI90" s="106"/>
      <c r="AJ90" s="106"/>
      <c r="AK90" s="106"/>
      <c r="AL90" s="116"/>
      <c r="AM90" s="118"/>
    </row>
    <row r="91" ht="22.5" hidden="1" customHeight="1">
      <c r="A91" s="60">
        <f t="shared" si="1"/>
        <v>32</v>
      </c>
      <c r="B91" s="355" t="s">
        <v>573</v>
      </c>
      <c r="C91" s="358" t="s">
        <v>772</v>
      </c>
      <c r="D91" s="358"/>
      <c r="E91" s="358"/>
      <c r="F91" s="645" t="s">
        <v>51</v>
      </c>
      <c r="G91" s="362" t="s">
        <v>756</v>
      </c>
      <c r="H91" s="364" t="s">
        <v>758</v>
      </c>
      <c r="I91" s="774"/>
      <c r="J91" s="368"/>
      <c r="K91" s="80"/>
      <c r="L91" s="81">
        <v>45947.0</v>
      </c>
      <c r="M91" s="84">
        <v>45362.0</v>
      </c>
      <c r="N91" s="128" t="s">
        <v>768</v>
      </c>
      <c r="O91" s="88">
        <f t="shared" si="6"/>
        <v>1</v>
      </c>
      <c r="P91" s="90">
        <v>4.0</v>
      </c>
      <c r="Q91" s="92">
        <v>45393.0</v>
      </c>
      <c r="R91" s="647" t="b">
        <v>1</v>
      </c>
      <c r="S91" s="101">
        <v>45583.0</v>
      </c>
      <c r="T91" s="647" t="b">
        <v>0</v>
      </c>
      <c r="U91" s="101">
        <v>45765.0</v>
      </c>
      <c r="V91" s="649" t="b">
        <v>0</v>
      </c>
      <c r="W91" s="107"/>
      <c r="X91" s="109"/>
      <c r="Y91" s="106" t="b">
        <v>0</v>
      </c>
      <c r="Z91" s="107"/>
      <c r="AA91" s="106"/>
      <c r="AB91" s="107"/>
      <c r="AC91" s="106"/>
      <c r="AD91" s="107"/>
      <c r="AE91" s="106"/>
      <c r="AF91" s="107"/>
      <c r="AG91" s="106"/>
      <c r="AH91" s="106"/>
      <c r="AI91" s="106"/>
      <c r="AJ91" s="106"/>
      <c r="AK91" s="106"/>
      <c r="AL91" s="116"/>
      <c r="AM91" s="118"/>
    </row>
    <row r="92" ht="22.5" hidden="1" customHeight="1">
      <c r="A92" s="60">
        <f t="shared" si="1"/>
        <v>32</v>
      </c>
      <c r="B92" s="847" t="s">
        <v>547</v>
      </c>
      <c r="C92" s="66" t="s">
        <v>774</v>
      </c>
      <c r="D92" s="66"/>
      <c r="E92" s="66"/>
      <c r="F92" s="64" t="s">
        <v>51</v>
      </c>
      <c r="G92" s="849" t="s">
        <v>548</v>
      </c>
      <c r="H92" s="364" t="s">
        <v>549</v>
      </c>
      <c r="I92" s="850"/>
      <c r="J92" s="368"/>
      <c r="K92" s="80"/>
      <c r="L92" s="81">
        <v>45597.0</v>
      </c>
      <c r="M92" s="84">
        <v>45419.0</v>
      </c>
      <c r="N92" s="128" t="s">
        <v>775</v>
      </c>
      <c r="O92" s="88">
        <f t="shared" si="6"/>
        <v>4</v>
      </c>
      <c r="P92" s="90">
        <v>6.0</v>
      </c>
      <c r="Q92" s="92">
        <v>44562.0</v>
      </c>
      <c r="R92" s="647" t="b">
        <v>1</v>
      </c>
      <c r="S92" s="101">
        <v>44562.0</v>
      </c>
      <c r="T92" s="647" t="b">
        <v>1</v>
      </c>
      <c r="U92" s="101">
        <v>45017.0</v>
      </c>
      <c r="V92" s="647" t="b">
        <v>1</v>
      </c>
      <c r="W92" s="107"/>
      <c r="X92" s="109"/>
      <c r="Y92" s="106" t="b">
        <v>0</v>
      </c>
      <c r="Z92" s="107">
        <v>45415.0</v>
      </c>
      <c r="AA92" s="106" t="b">
        <v>1</v>
      </c>
      <c r="AB92" s="107">
        <v>45597.0</v>
      </c>
      <c r="AC92" s="106" t="b">
        <v>0</v>
      </c>
      <c r="AD92" s="107"/>
      <c r="AE92" s="106"/>
      <c r="AF92" s="107"/>
      <c r="AG92" s="106"/>
      <c r="AH92" s="106"/>
      <c r="AI92" s="106"/>
      <c r="AJ92" s="106"/>
      <c r="AK92" s="106"/>
      <c r="AL92" s="116"/>
      <c r="AM92" s="220" t="s">
        <v>204</v>
      </c>
    </row>
    <row r="93" ht="22.5" hidden="1" customHeight="1">
      <c r="A93" s="60">
        <f t="shared" si="1"/>
        <v>32</v>
      </c>
      <c r="B93" s="355" t="s">
        <v>778</v>
      </c>
      <c r="C93" s="358"/>
      <c r="D93" s="358"/>
      <c r="E93" s="358"/>
      <c r="F93" s="645" t="s">
        <v>55</v>
      </c>
      <c r="G93" s="362"/>
      <c r="H93" s="364"/>
      <c r="I93" s="774"/>
      <c r="J93" s="860"/>
      <c r="K93" s="80"/>
      <c r="L93" s="81">
        <v>45764.0</v>
      </c>
      <c r="M93" s="84"/>
      <c r="N93" s="86"/>
      <c r="O93" s="88">
        <f t="shared" si="6"/>
        <v>0</v>
      </c>
      <c r="P93" s="90">
        <v>4.0</v>
      </c>
      <c r="Q93" s="92">
        <v>45621.0</v>
      </c>
      <c r="R93" s="647" t="b">
        <v>0</v>
      </c>
      <c r="S93" s="101">
        <v>45794.0</v>
      </c>
      <c r="T93" s="647" t="b">
        <v>0</v>
      </c>
      <c r="U93" s="101">
        <v>45986.0</v>
      </c>
      <c r="V93" s="649" t="b">
        <v>0</v>
      </c>
      <c r="W93" s="101"/>
      <c r="X93" s="309"/>
      <c r="Y93" s="106" t="b">
        <v>0</v>
      </c>
      <c r="Z93" s="101"/>
      <c r="AA93" s="99"/>
      <c r="AB93" s="101"/>
      <c r="AC93" s="99"/>
      <c r="AD93" s="101"/>
      <c r="AE93" s="99"/>
      <c r="AF93" s="101"/>
      <c r="AG93" s="99"/>
      <c r="AH93" s="99"/>
      <c r="AI93" s="99"/>
      <c r="AJ93" s="99"/>
      <c r="AK93" s="99"/>
      <c r="AL93" s="116"/>
      <c r="AM93" s="118"/>
    </row>
    <row r="94" ht="22.5" customHeight="1">
      <c r="A94" s="60">
        <f t="shared" si="1"/>
        <v>33</v>
      </c>
      <c r="B94" s="355" t="s">
        <v>596</v>
      </c>
      <c r="C94" s="358" t="s">
        <v>782</v>
      </c>
      <c r="D94" s="358"/>
      <c r="E94" s="358"/>
      <c r="F94" s="645" t="s">
        <v>51</v>
      </c>
      <c r="G94" s="362" t="s">
        <v>783</v>
      </c>
      <c r="H94" s="364" t="s">
        <v>784</v>
      </c>
      <c r="I94" s="774" t="s">
        <v>785</v>
      </c>
      <c r="J94" s="368"/>
      <c r="K94" s="80"/>
      <c r="L94" s="81">
        <v>46010.0</v>
      </c>
      <c r="M94" s="84">
        <v>45474.0</v>
      </c>
      <c r="N94" s="128" t="s">
        <v>589</v>
      </c>
      <c r="O94" s="673">
        <f t="shared" si="6"/>
        <v>1</v>
      </c>
      <c r="P94" s="90">
        <v>4.0</v>
      </c>
      <c r="Q94" s="92">
        <v>45474.0</v>
      </c>
      <c r="R94" s="647" t="b">
        <v>1</v>
      </c>
      <c r="S94" s="107">
        <v>45646.0</v>
      </c>
      <c r="T94" s="647" t="b">
        <v>0</v>
      </c>
      <c r="U94" s="101">
        <v>45828.0</v>
      </c>
      <c r="V94" s="649" t="b">
        <v>0</v>
      </c>
      <c r="W94" s="107"/>
      <c r="X94" s="109"/>
      <c r="Y94" s="106" t="b">
        <v>0</v>
      </c>
      <c r="Z94" s="107"/>
      <c r="AA94" s="106"/>
      <c r="AB94" s="107"/>
      <c r="AC94" s="106"/>
      <c r="AD94" s="107"/>
      <c r="AE94" s="106"/>
      <c r="AF94" s="107"/>
      <c r="AG94" s="106"/>
      <c r="AH94" s="99"/>
      <c r="AI94" s="99"/>
      <c r="AJ94" s="99"/>
      <c r="AK94" s="99"/>
      <c r="AL94" s="862"/>
      <c r="AM94" s="118"/>
    </row>
    <row r="95" ht="22.5" customHeight="1">
      <c r="A95" s="60">
        <f t="shared" si="1"/>
        <v>34</v>
      </c>
      <c r="B95" s="355" t="s">
        <v>552</v>
      </c>
      <c r="C95" s="358" t="s">
        <v>788</v>
      </c>
      <c r="D95" s="358"/>
      <c r="E95" s="358"/>
      <c r="F95" s="645" t="s">
        <v>51</v>
      </c>
      <c r="G95" s="362" t="s">
        <v>789</v>
      </c>
      <c r="H95" s="865" t="s">
        <v>790</v>
      </c>
      <c r="I95" s="774"/>
      <c r="J95" s="368"/>
      <c r="K95" s="80"/>
      <c r="L95" s="81">
        <v>45876.0</v>
      </c>
      <c r="M95" s="84">
        <v>45330.0</v>
      </c>
      <c r="N95" s="86"/>
      <c r="O95" s="673">
        <f t="shared" si="6"/>
        <v>1</v>
      </c>
      <c r="P95" s="90">
        <v>4.0</v>
      </c>
      <c r="Q95" s="261">
        <v>45330.0</v>
      </c>
      <c r="R95" s="321" t="b">
        <v>1</v>
      </c>
      <c r="S95" s="261">
        <v>45512.0</v>
      </c>
      <c r="T95" s="649" t="b">
        <v>0</v>
      </c>
      <c r="U95" s="101">
        <v>45695.0</v>
      </c>
      <c r="V95" s="649" t="b">
        <v>0</v>
      </c>
      <c r="W95" s="107"/>
      <c r="X95" s="109"/>
      <c r="Y95" s="106" t="b">
        <v>0</v>
      </c>
      <c r="Z95" s="107"/>
      <c r="AA95" s="106"/>
      <c r="AB95" s="107"/>
      <c r="AC95" s="106"/>
      <c r="AD95" s="107"/>
      <c r="AE95" s="106"/>
      <c r="AF95" s="107"/>
      <c r="AG95" s="106"/>
      <c r="AH95" s="99"/>
      <c r="AI95" s="99"/>
      <c r="AJ95" s="99"/>
      <c r="AK95" s="99"/>
      <c r="AL95" s="862"/>
      <c r="AM95" s="118"/>
    </row>
    <row r="96" ht="22.5" customHeight="1">
      <c r="A96" s="60">
        <f>SUBTOTAL(3,$B$3:B97)</f>
        <v>35</v>
      </c>
      <c r="B96" s="355" t="s">
        <v>554</v>
      </c>
      <c r="C96" s="358" t="s">
        <v>95</v>
      </c>
      <c r="D96" s="358"/>
      <c r="E96" s="358"/>
      <c r="F96" s="645" t="s">
        <v>51</v>
      </c>
      <c r="G96" s="870" t="s">
        <v>794</v>
      </c>
      <c r="H96" s="364" t="s">
        <v>795</v>
      </c>
      <c r="I96" s="871" t="s">
        <v>796</v>
      </c>
      <c r="J96" s="368"/>
      <c r="K96" s="80"/>
      <c r="L96" s="81">
        <v>45758.0</v>
      </c>
      <c r="M96" s="84">
        <v>45394.0</v>
      </c>
      <c r="N96" s="128" t="s">
        <v>797</v>
      </c>
      <c r="O96" s="673">
        <f t="shared" si="6"/>
        <v>3</v>
      </c>
      <c r="P96" s="90">
        <v>4.0</v>
      </c>
      <c r="Q96" s="261">
        <v>45219.0</v>
      </c>
      <c r="R96" s="321" t="b">
        <v>1</v>
      </c>
      <c r="S96" s="261">
        <v>45394.0</v>
      </c>
      <c r="T96" s="321" t="b">
        <v>1</v>
      </c>
      <c r="U96" s="261">
        <v>45576.0</v>
      </c>
      <c r="V96" s="877" t="b">
        <v>0</v>
      </c>
      <c r="W96" s="107"/>
      <c r="X96" s="109"/>
      <c r="Y96" s="106" t="b">
        <v>1</v>
      </c>
      <c r="Z96" s="107"/>
      <c r="AA96" s="106"/>
      <c r="AB96" s="107"/>
      <c r="AC96" s="106"/>
      <c r="AD96" s="107"/>
      <c r="AE96" s="106"/>
      <c r="AF96" s="107"/>
      <c r="AG96" s="106"/>
      <c r="AH96" s="99"/>
      <c r="AI96" s="99"/>
      <c r="AJ96" s="99"/>
      <c r="AK96" s="99"/>
      <c r="AL96" s="880"/>
      <c r="AM96" s="118"/>
    </row>
    <row r="97" ht="22.5" hidden="1" customHeight="1">
      <c r="A97" s="60">
        <f t="shared" ref="A97:A153" si="7">SUBTOTAL(3,$B$3:B97)</f>
        <v>35</v>
      </c>
      <c r="B97" s="355" t="s">
        <v>603</v>
      </c>
      <c r="C97" s="358" t="s">
        <v>111</v>
      </c>
      <c r="D97" s="358"/>
      <c r="E97" s="358"/>
      <c r="F97" s="645" t="s">
        <v>51</v>
      </c>
      <c r="G97" s="362" t="s">
        <v>804</v>
      </c>
      <c r="H97" s="364">
        <v>6.17901261E8</v>
      </c>
      <c r="I97" s="850"/>
      <c r="J97" s="368"/>
      <c r="K97" s="80"/>
      <c r="L97" s="81">
        <v>45775.0</v>
      </c>
      <c r="M97" s="84">
        <v>45411.0</v>
      </c>
      <c r="N97" s="128" t="s">
        <v>805</v>
      </c>
      <c r="O97" s="673">
        <f t="shared" si="6"/>
        <v>2</v>
      </c>
      <c r="P97" s="90">
        <v>4.0</v>
      </c>
      <c r="Q97" s="261">
        <v>45216.0</v>
      </c>
      <c r="R97" s="321" t="b">
        <v>1</v>
      </c>
      <c r="S97" s="261">
        <v>45411.0</v>
      </c>
      <c r="T97" s="321" t="b">
        <v>1</v>
      </c>
      <c r="U97" s="264">
        <v>45593.0</v>
      </c>
      <c r="V97" s="321" t="b">
        <v>0</v>
      </c>
      <c r="W97" s="264"/>
      <c r="X97" s="109"/>
      <c r="Y97" s="106" t="b">
        <v>0</v>
      </c>
      <c r="Z97" s="107"/>
      <c r="AA97" s="106"/>
      <c r="AB97" s="107"/>
      <c r="AC97" s="106"/>
      <c r="AD97" s="107"/>
      <c r="AE97" s="106"/>
      <c r="AF97" s="107"/>
      <c r="AG97" s="106"/>
      <c r="AH97" s="99"/>
      <c r="AI97" s="99"/>
      <c r="AJ97" s="99"/>
      <c r="AK97" s="99"/>
      <c r="AL97" s="862"/>
      <c r="AM97" s="118"/>
    </row>
    <row r="98" ht="22.5" hidden="1" customHeight="1">
      <c r="A98" s="60">
        <f t="shared" si="7"/>
        <v>35</v>
      </c>
      <c r="B98" s="355" t="s">
        <v>609</v>
      </c>
      <c r="C98" s="358" t="s">
        <v>111</v>
      </c>
      <c r="D98" s="884" t="s">
        <v>516</v>
      </c>
      <c r="E98" s="358"/>
      <c r="F98" s="645" t="s">
        <v>55</v>
      </c>
      <c r="G98" s="362" t="s">
        <v>445</v>
      </c>
      <c r="H98" s="364" t="s">
        <v>763</v>
      </c>
      <c r="I98" s="774" t="s">
        <v>115</v>
      </c>
      <c r="J98" s="368"/>
      <c r="K98" s="80"/>
      <c r="L98" s="521">
        <v>45039.0</v>
      </c>
      <c r="M98" s="84">
        <v>45039.0</v>
      </c>
      <c r="N98" s="86"/>
      <c r="O98" s="673">
        <f t="shared" si="6"/>
        <v>2</v>
      </c>
      <c r="P98" s="886">
        <v>2.0</v>
      </c>
      <c r="Q98" s="261">
        <v>44562.0</v>
      </c>
      <c r="R98" s="321" t="b">
        <v>1</v>
      </c>
      <c r="S98" s="261">
        <v>45008.0</v>
      </c>
      <c r="T98" s="321" t="b">
        <v>1</v>
      </c>
      <c r="U98" s="261"/>
      <c r="V98" s="336"/>
      <c r="W98" s="264"/>
      <c r="X98" s="109"/>
      <c r="Y98" s="106" t="b">
        <v>0</v>
      </c>
      <c r="Z98" s="107"/>
      <c r="AA98" s="106"/>
      <c r="AB98" s="107"/>
      <c r="AC98" s="106"/>
      <c r="AD98" s="107"/>
      <c r="AE98" s="106"/>
      <c r="AF98" s="107"/>
      <c r="AG98" s="106"/>
      <c r="AH98" s="99"/>
      <c r="AI98" s="99"/>
      <c r="AJ98" s="99"/>
      <c r="AK98" s="99"/>
      <c r="AL98" s="890"/>
      <c r="AM98" s="118"/>
    </row>
    <row r="99" ht="22.5" hidden="1" customHeight="1">
      <c r="A99" s="60">
        <f t="shared" si="7"/>
        <v>35</v>
      </c>
      <c r="B99" s="355" t="s">
        <v>609</v>
      </c>
      <c r="C99" s="358" t="s">
        <v>498</v>
      </c>
      <c r="D99" s="358"/>
      <c r="E99" s="358"/>
      <c r="F99" s="645" t="s">
        <v>786</v>
      </c>
      <c r="G99" s="362" t="s">
        <v>293</v>
      </c>
      <c r="H99" s="364"/>
      <c r="I99" s="774"/>
      <c r="J99" s="368"/>
      <c r="K99" s="80"/>
      <c r="L99" s="521">
        <v>45295.0</v>
      </c>
      <c r="M99" s="84"/>
      <c r="N99" s="86"/>
      <c r="O99" s="673">
        <f t="shared" si="6"/>
        <v>2</v>
      </c>
      <c r="P99" s="886">
        <v>2.0</v>
      </c>
      <c r="Q99" s="261">
        <v>45007.0</v>
      </c>
      <c r="R99" s="321" t="b">
        <v>1</v>
      </c>
      <c r="S99" s="261">
        <v>45295.0</v>
      </c>
      <c r="T99" s="321" t="b">
        <v>1</v>
      </c>
      <c r="U99" s="261"/>
      <c r="V99" s="323" t="b">
        <v>0</v>
      </c>
      <c r="W99" s="264"/>
      <c r="X99" s="109"/>
      <c r="Y99" s="106" t="b">
        <v>0</v>
      </c>
      <c r="Z99" s="264"/>
      <c r="AA99" s="98"/>
      <c r="AB99" s="264"/>
      <c r="AC99" s="321"/>
      <c r="AD99" s="264"/>
      <c r="AE99" s="98"/>
      <c r="AF99" s="107"/>
      <c r="AG99" s="106"/>
      <c r="AH99" s="99"/>
      <c r="AI99" s="99"/>
      <c r="AJ99" s="99"/>
      <c r="AK99" s="99"/>
      <c r="AL99" s="880"/>
      <c r="AM99" s="118"/>
    </row>
    <row r="100" ht="22.5" hidden="1" customHeight="1">
      <c r="A100" s="60">
        <f t="shared" si="7"/>
        <v>35</v>
      </c>
      <c r="B100" s="63" t="s">
        <v>610</v>
      </c>
      <c r="C100" s="900"/>
      <c r="D100" s="358"/>
      <c r="E100" s="358"/>
      <c r="F100" s="645"/>
      <c r="G100" s="362" t="s">
        <v>814</v>
      </c>
      <c r="H100" s="364">
        <v>8.6632462E8</v>
      </c>
      <c r="I100" s="226"/>
      <c r="J100" s="226"/>
      <c r="K100" s="80"/>
      <c r="L100" s="81">
        <v>46001.0</v>
      </c>
      <c r="M100" s="84"/>
      <c r="N100" s="86"/>
      <c r="O100" s="673">
        <v>0.0</v>
      </c>
      <c r="P100" s="886">
        <v>4.0</v>
      </c>
      <c r="Q100" s="261">
        <v>45453.0</v>
      </c>
      <c r="R100" s="321" t="b">
        <v>0</v>
      </c>
      <c r="S100" s="261">
        <v>45636.0</v>
      </c>
      <c r="T100" s="321" t="b">
        <v>0</v>
      </c>
      <c r="U100" s="261">
        <v>45818.0</v>
      </c>
      <c r="V100" s="323" t="b">
        <v>0</v>
      </c>
      <c r="W100" s="264"/>
      <c r="X100" s="109"/>
      <c r="Y100" s="106" t="b">
        <v>0</v>
      </c>
      <c r="Z100" s="261"/>
      <c r="AA100" s="323"/>
      <c r="AB100" s="261"/>
      <c r="AC100" s="323"/>
      <c r="AD100" s="261"/>
      <c r="AE100" s="130"/>
      <c r="AF100" s="261"/>
      <c r="AG100" s="106"/>
      <c r="AH100" s="99"/>
      <c r="AI100" s="99"/>
      <c r="AJ100" s="99"/>
      <c r="AK100" s="99"/>
      <c r="AL100" s="70"/>
      <c r="AM100" s="98" t="b">
        <v>0</v>
      </c>
    </row>
    <row r="101" ht="27.75" hidden="1" customHeight="1">
      <c r="A101" s="60">
        <f t="shared" si="7"/>
        <v>35</v>
      </c>
      <c r="B101" s="908" t="s">
        <v>618</v>
      </c>
      <c r="C101" s="900" t="s">
        <v>510</v>
      </c>
      <c r="D101" s="358"/>
      <c r="E101" s="358"/>
      <c r="F101" s="912" t="s">
        <v>51</v>
      </c>
      <c r="G101" s="362" t="s">
        <v>818</v>
      </c>
      <c r="H101" s="364">
        <v>9.35031341E8</v>
      </c>
      <c r="I101" s="226" t="s">
        <v>819</v>
      </c>
      <c r="J101" s="226"/>
      <c r="K101" s="80"/>
      <c r="L101" s="81">
        <v>45932.0</v>
      </c>
      <c r="M101" s="84"/>
      <c r="N101" s="86"/>
      <c r="O101" s="920">
        <f t="shared" ref="O101:O110" si="8">COUNTIFS(Q101:AL101,"True")</f>
        <v>0</v>
      </c>
      <c r="P101" s="922">
        <v>4.0</v>
      </c>
      <c r="Q101" s="261">
        <v>45414.0</v>
      </c>
      <c r="R101" s="321" t="b">
        <v>0</v>
      </c>
      <c r="S101" s="261">
        <v>45567.0</v>
      </c>
      <c r="T101" s="323" t="b">
        <v>0</v>
      </c>
      <c r="U101" s="261">
        <v>45749.0</v>
      </c>
      <c r="V101" s="323" t="b">
        <v>0</v>
      </c>
      <c r="W101" s="264"/>
      <c r="X101" s="109"/>
      <c r="Y101" s="106" t="b">
        <v>0</v>
      </c>
      <c r="Z101" s="261"/>
      <c r="AA101" s="323"/>
      <c r="AB101" s="261"/>
      <c r="AC101" s="130"/>
      <c r="AD101" s="261"/>
      <c r="AE101" s="99"/>
      <c r="AF101" s="101"/>
      <c r="AG101" s="99"/>
      <c r="AH101" s="99"/>
      <c r="AI101" s="99"/>
      <c r="AJ101" s="99"/>
      <c r="AK101" s="99"/>
      <c r="AL101" s="929"/>
      <c r="AM101" s="118"/>
    </row>
    <row r="102" ht="22.5" hidden="1" customHeight="1">
      <c r="A102" s="60">
        <f t="shared" si="7"/>
        <v>35</v>
      </c>
      <c r="B102" s="930" t="s">
        <v>622</v>
      </c>
      <c r="C102" s="639" t="s">
        <v>498</v>
      </c>
      <c r="D102" s="931"/>
      <c r="E102" s="931"/>
      <c r="F102" s="933" t="s">
        <v>55</v>
      </c>
      <c r="G102" s="931"/>
      <c r="H102" s="934"/>
      <c r="I102" s="935"/>
      <c r="J102" s="935"/>
      <c r="K102" s="393"/>
      <c r="L102" s="393"/>
      <c r="M102" s="721"/>
      <c r="N102" s="498"/>
      <c r="O102" s="673">
        <f t="shared" si="8"/>
        <v>0</v>
      </c>
      <c r="P102" s="886">
        <v>4.0</v>
      </c>
      <c r="Q102" s="261"/>
      <c r="R102" s="321" t="b">
        <v>0</v>
      </c>
      <c r="S102" s="261"/>
      <c r="T102" s="321" t="b">
        <v>0</v>
      </c>
      <c r="U102" s="261"/>
      <c r="V102" s="323" t="b">
        <v>0</v>
      </c>
      <c r="W102" s="264"/>
      <c r="X102" s="109"/>
      <c r="Y102" s="106" t="b">
        <v>0</v>
      </c>
      <c r="Z102" s="181"/>
      <c r="AA102" s="189"/>
      <c r="AB102" s="181"/>
      <c r="AC102" s="189"/>
      <c r="AD102" s="181"/>
      <c r="AE102" s="189"/>
      <c r="AF102" s="181"/>
      <c r="AG102" s="189"/>
      <c r="AH102" s="99"/>
      <c r="AI102" s="99"/>
      <c r="AJ102" s="99"/>
      <c r="AK102" s="99"/>
      <c r="AL102" s="516"/>
      <c r="AM102" s="118"/>
    </row>
    <row r="103" ht="22.5" hidden="1" customHeight="1">
      <c r="A103" s="60">
        <f t="shared" si="7"/>
        <v>35</v>
      </c>
      <c r="B103" s="355" t="s">
        <v>567</v>
      </c>
      <c r="C103" s="358" t="s">
        <v>828</v>
      </c>
      <c r="D103" s="941"/>
      <c r="E103" s="941"/>
      <c r="F103" s="942" t="s">
        <v>51</v>
      </c>
      <c r="G103" s="362" t="s">
        <v>829</v>
      </c>
      <c r="H103" s="943"/>
      <c r="I103" s="774"/>
      <c r="J103" s="368"/>
      <c r="K103" s="80"/>
      <c r="L103" s="521">
        <v>45216.0</v>
      </c>
      <c r="M103" s="84">
        <v>45216.0</v>
      </c>
      <c r="N103" s="86"/>
      <c r="O103" s="673">
        <f t="shared" si="8"/>
        <v>2</v>
      </c>
      <c r="P103" s="886">
        <v>2.0</v>
      </c>
      <c r="Q103" s="261">
        <v>44880.0</v>
      </c>
      <c r="R103" s="321" t="b">
        <v>1</v>
      </c>
      <c r="S103" s="261">
        <v>45216.0</v>
      </c>
      <c r="T103" s="321" t="b">
        <v>1</v>
      </c>
      <c r="U103" s="261"/>
      <c r="V103" s="321"/>
      <c r="W103" s="264"/>
      <c r="X103" s="109"/>
      <c r="Y103" s="106" t="b">
        <v>0</v>
      </c>
      <c r="Z103" s="107"/>
      <c r="AA103" s="106"/>
      <c r="AB103" s="107"/>
      <c r="AC103" s="106"/>
      <c r="AD103" s="107"/>
      <c r="AE103" s="106"/>
      <c r="AF103" s="107"/>
      <c r="AG103" s="106"/>
      <c r="AH103" s="99"/>
      <c r="AI103" s="99"/>
      <c r="AJ103" s="99"/>
      <c r="AK103" s="99"/>
      <c r="AL103" s="880"/>
      <c r="AM103" s="118"/>
    </row>
    <row r="104" ht="22.5" customHeight="1">
      <c r="A104" s="60">
        <f t="shared" si="7"/>
        <v>36</v>
      </c>
      <c r="B104" s="355" t="s">
        <v>632</v>
      </c>
      <c r="C104" s="358" t="s">
        <v>834</v>
      </c>
      <c r="D104" s="358"/>
      <c r="E104" s="358"/>
      <c r="F104" s="645" t="s">
        <v>51</v>
      </c>
      <c r="G104" s="362" t="s">
        <v>835</v>
      </c>
      <c r="H104" s="364">
        <v>8.05539255E8</v>
      </c>
      <c r="I104" s="366" t="s">
        <v>836</v>
      </c>
      <c r="J104" s="368"/>
      <c r="K104" s="80"/>
      <c r="L104" s="81">
        <v>45600.0</v>
      </c>
      <c r="M104" s="84">
        <v>45244.0</v>
      </c>
      <c r="N104" s="86"/>
      <c r="O104" s="673">
        <f t="shared" si="8"/>
        <v>2</v>
      </c>
      <c r="P104" s="886">
        <v>4.0</v>
      </c>
      <c r="Q104" s="261">
        <v>45069.0</v>
      </c>
      <c r="R104" s="321" t="b">
        <v>1</v>
      </c>
      <c r="S104" s="261">
        <v>45244.0</v>
      </c>
      <c r="T104" s="321" t="b">
        <v>1</v>
      </c>
      <c r="U104" s="261">
        <v>45426.0</v>
      </c>
      <c r="V104" s="323" t="b">
        <v>0</v>
      </c>
      <c r="W104" s="264"/>
      <c r="X104" s="109"/>
      <c r="Y104" s="106" t="b">
        <v>0</v>
      </c>
      <c r="Z104" s="107"/>
      <c r="AA104" s="106"/>
      <c r="AB104" s="107"/>
      <c r="AC104" s="106"/>
      <c r="AD104" s="107"/>
      <c r="AE104" s="106"/>
      <c r="AF104" s="107"/>
      <c r="AG104" s="106"/>
      <c r="AH104" s="99"/>
      <c r="AI104" s="99"/>
      <c r="AJ104" s="99"/>
      <c r="AK104" s="99"/>
      <c r="AL104" s="862"/>
      <c r="AM104" s="118"/>
    </row>
    <row r="105" ht="22.5" hidden="1" customHeight="1">
      <c r="A105" s="60">
        <f t="shared" si="7"/>
        <v>36</v>
      </c>
      <c r="B105" s="355" t="s">
        <v>839</v>
      </c>
      <c r="C105" s="358" t="s">
        <v>217</v>
      </c>
      <c r="D105" s="358" t="s">
        <v>840</v>
      </c>
      <c r="E105" s="941"/>
      <c r="F105" s="942" t="s">
        <v>51</v>
      </c>
      <c r="G105" s="953"/>
      <c r="H105" s="364" t="s">
        <v>320</v>
      </c>
      <c r="I105" s="774"/>
      <c r="J105" s="368"/>
      <c r="K105" s="80"/>
      <c r="L105" s="81">
        <v>45627.0</v>
      </c>
      <c r="M105" s="84">
        <v>45419.0</v>
      </c>
      <c r="N105" s="128" t="s">
        <v>743</v>
      </c>
      <c r="O105" s="673">
        <f t="shared" si="8"/>
        <v>4</v>
      </c>
      <c r="P105" s="886">
        <v>6.0</v>
      </c>
      <c r="Q105" s="261">
        <v>44603.0</v>
      </c>
      <c r="R105" s="321" t="b">
        <v>1</v>
      </c>
      <c r="S105" s="261">
        <v>44677.0</v>
      </c>
      <c r="T105" s="321" t="b">
        <v>1</v>
      </c>
      <c r="U105" s="261">
        <v>45042.0</v>
      </c>
      <c r="V105" s="321" t="b">
        <v>1</v>
      </c>
      <c r="W105" s="264"/>
      <c r="X105" s="109"/>
      <c r="Y105" s="106" t="b">
        <v>0</v>
      </c>
      <c r="Z105" s="107">
        <v>45422.0</v>
      </c>
      <c r="AA105" s="106" t="b">
        <v>1</v>
      </c>
      <c r="AB105" s="107">
        <v>45601.0</v>
      </c>
      <c r="AC105" s="106" t="b">
        <v>0</v>
      </c>
      <c r="AD105" s="107"/>
      <c r="AE105" s="106"/>
      <c r="AF105" s="107"/>
      <c r="AG105" s="106"/>
      <c r="AH105" s="99"/>
      <c r="AI105" s="99"/>
      <c r="AJ105" s="99"/>
      <c r="AK105" s="99"/>
      <c r="AL105" s="880"/>
      <c r="AM105" s="118"/>
    </row>
    <row r="106" ht="22.5" hidden="1" customHeight="1">
      <c r="A106" s="60">
        <f t="shared" si="7"/>
        <v>36</v>
      </c>
      <c r="B106" s="355" t="s">
        <v>646</v>
      </c>
      <c r="C106" s="358" t="s">
        <v>844</v>
      </c>
      <c r="D106" s="358" t="s">
        <v>845</v>
      </c>
      <c r="E106" s="358"/>
      <c r="F106" s="645" t="s">
        <v>51</v>
      </c>
      <c r="G106" s="362" t="s">
        <v>846</v>
      </c>
      <c r="H106" s="364" t="s">
        <v>848</v>
      </c>
      <c r="I106" s="850"/>
      <c r="J106" s="368"/>
      <c r="K106" s="80"/>
      <c r="L106" s="81">
        <v>45827.0</v>
      </c>
      <c r="M106" s="84">
        <v>45485.0</v>
      </c>
      <c r="N106" s="86"/>
      <c r="O106" s="673">
        <f t="shared" si="8"/>
        <v>2</v>
      </c>
      <c r="P106" s="886">
        <v>4.0</v>
      </c>
      <c r="Q106" s="261">
        <v>45301.0</v>
      </c>
      <c r="R106" s="524" t="b">
        <v>1</v>
      </c>
      <c r="S106" s="261">
        <v>45485.0</v>
      </c>
      <c r="T106" s="524" t="b">
        <v>1</v>
      </c>
      <c r="U106" s="261">
        <v>45645.0</v>
      </c>
      <c r="V106" s="526" t="b">
        <v>0</v>
      </c>
      <c r="W106" s="264"/>
      <c r="X106" s="109"/>
      <c r="Y106" s="106" t="b">
        <v>0</v>
      </c>
      <c r="Z106" s="107"/>
      <c r="AA106" s="106"/>
      <c r="AB106" s="107"/>
      <c r="AC106" s="106"/>
      <c r="AD106" s="107"/>
      <c r="AE106" s="106"/>
      <c r="AF106" s="107"/>
      <c r="AG106" s="106"/>
      <c r="AH106" s="99"/>
      <c r="AI106" s="99"/>
      <c r="AJ106" s="99"/>
      <c r="AK106" s="99"/>
      <c r="AL106" s="862"/>
      <c r="AM106" s="118"/>
    </row>
    <row r="107" ht="22.5" hidden="1" customHeight="1">
      <c r="A107" s="60">
        <f t="shared" si="7"/>
        <v>36</v>
      </c>
      <c r="B107" s="355" t="s">
        <v>651</v>
      </c>
      <c r="C107" s="358" t="s">
        <v>498</v>
      </c>
      <c r="D107" s="358" t="s">
        <v>845</v>
      </c>
      <c r="E107" s="358"/>
      <c r="F107" s="645" t="s">
        <v>51</v>
      </c>
      <c r="G107" s="362" t="s">
        <v>850</v>
      </c>
      <c r="H107" s="871"/>
      <c r="I107" s="961" t="s">
        <v>851</v>
      </c>
      <c r="J107" s="368"/>
      <c r="K107" s="80"/>
      <c r="L107" s="81">
        <v>45976.0</v>
      </c>
      <c r="M107" s="84"/>
      <c r="N107" s="86"/>
      <c r="O107" s="673">
        <f t="shared" si="8"/>
        <v>0</v>
      </c>
      <c r="P107" s="886">
        <v>4.0</v>
      </c>
      <c r="Q107" s="261">
        <v>45472.0</v>
      </c>
      <c r="R107" s="321" t="b">
        <v>0</v>
      </c>
      <c r="S107" s="264">
        <v>45610.0</v>
      </c>
      <c r="T107" s="321" t="b">
        <v>0</v>
      </c>
      <c r="U107" s="261">
        <v>45791.0</v>
      </c>
      <c r="V107" s="323" t="b">
        <v>0</v>
      </c>
      <c r="W107" s="264"/>
      <c r="X107" s="109"/>
      <c r="Y107" s="106" t="b">
        <v>0</v>
      </c>
      <c r="Z107" s="261">
        <v>46156.0</v>
      </c>
      <c r="AA107" s="164" t="b">
        <v>0</v>
      </c>
      <c r="AB107" s="264">
        <v>46341.0</v>
      </c>
      <c r="AC107" s="164" t="b">
        <v>0</v>
      </c>
      <c r="AD107" s="107"/>
      <c r="AE107" s="106"/>
      <c r="AF107" s="107"/>
      <c r="AG107" s="106"/>
      <c r="AH107" s="99"/>
      <c r="AI107" s="99"/>
      <c r="AJ107" s="99"/>
      <c r="AK107" s="99"/>
      <c r="AL107" s="862"/>
      <c r="AM107" s="118"/>
    </row>
    <row r="108" ht="22.5" hidden="1" customHeight="1">
      <c r="A108" s="60">
        <f t="shared" si="7"/>
        <v>36</v>
      </c>
      <c r="B108" s="355" t="s">
        <v>659</v>
      </c>
      <c r="C108" s="358" t="s">
        <v>498</v>
      </c>
      <c r="D108" s="358" t="s">
        <v>845</v>
      </c>
      <c r="E108" s="358"/>
      <c r="F108" s="645" t="s">
        <v>55</v>
      </c>
      <c r="G108" s="362"/>
      <c r="H108" s="364" t="s">
        <v>855</v>
      </c>
      <c r="I108" s="850" t="s">
        <v>856</v>
      </c>
      <c r="J108" s="860"/>
      <c r="K108" s="80"/>
      <c r="L108" s="81"/>
      <c r="M108" s="84"/>
      <c r="N108" s="86"/>
      <c r="O108" s="673">
        <f t="shared" si="8"/>
        <v>0</v>
      </c>
      <c r="P108" s="886">
        <v>4.0</v>
      </c>
      <c r="Q108" s="261"/>
      <c r="R108" s="321" t="b">
        <v>0</v>
      </c>
      <c r="S108" s="261"/>
      <c r="T108" s="321" t="b">
        <v>0</v>
      </c>
      <c r="U108" s="261"/>
      <c r="V108" s="323" t="b">
        <v>0</v>
      </c>
      <c r="W108" s="264"/>
      <c r="X108" s="109"/>
      <c r="Y108" s="106" t="b">
        <v>0</v>
      </c>
      <c r="Z108" s="101"/>
      <c r="AA108" s="99"/>
      <c r="AB108" s="101"/>
      <c r="AC108" s="99"/>
      <c r="AD108" s="101"/>
      <c r="AE108" s="99"/>
      <c r="AF108" s="101"/>
      <c r="AG108" s="99"/>
      <c r="AH108" s="99"/>
      <c r="AI108" s="99"/>
      <c r="AJ108" s="99"/>
      <c r="AK108" s="99"/>
      <c r="AL108" s="862"/>
      <c r="AM108" s="118"/>
    </row>
    <row r="109" ht="22.5" hidden="1" customHeight="1">
      <c r="A109" s="60">
        <f t="shared" si="7"/>
        <v>36</v>
      </c>
      <c r="B109" s="355" t="s">
        <v>568</v>
      </c>
      <c r="C109" s="358" t="s">
        <v>858</v>
      </c>
      <c r="D109" s="358"/>
      <c r="E109" s="358"/>
      <c r="F109" s="645" t="s">
        <v>51</v>
      </c>
      <c r="G109" s="362" t="s">
        <v>859</v>
      </c>
      <c r="H109" s="364"/>
      <c r="I109" s="969" t="s">
        <v>860</v>
      </c>
      <c r="J109" s="368" t="s">
        <v>861</v>
      </c>
      <c r="K109" s="80"/>
      <c r="L109" s="81">
        <v>45902.0</v>
      </c>
      <c r="M109" s="84"/>
      <c r="N109" s="86"/>
      <c r="O109" s="673">
        <f t="shared" si="8"/>
        <v>0</v>
      </c>
      <c r="P109" s="886">
        <v>4.0</v>
      </c>
      <c r="Q109" s="261">
        <v>45355.0</v>
      </c>
      <c r="R109" s="323" t="b">
        <v>0</v>
      </c>
      <c r="S109" s="261">
        <v>45540.0</v>
      </c>
      <c r="T109" s="323" t="b">
        <v>0</v>
      </c>
      <c r="U109" s="261">
        <v>45720.0</v>
      </c>
      <c r="V109" s="323" t="b">
        <v>0</v>
      </c>
      <c r="W109" s="264"/>
      <c r="X109" s="109"/>
      <c r="Y109" s="106" t="b">
        <v>0</v>
      </c>
      <c r="Z109" s="107"/>
      <c r="AA109" s="106"/>
      <c r="AB109" s="107"/>
      <c r="AC109" s="106"/>
      <c r="AD109" s="107"/>
      <c r="AE109" s="106"/>
      <c r="AF109" s="107"/>
      <c r="AG109" s="106"/>
      <c r="AH109" s="99"/>
      <c r="AI109" s="99"/>
      <c r="AJ109" s="99"/>
      <c r="AK109" s="99"/>
      <c r="AL109" s="862"/>
      <c r="AM109" s="118"/>
    </row>
    <row r="110" ht="22.5" hidden="1" customHeight="1">
      <c r="A110" s="60">
        <f t="shared" si="7"/>
        <v>36</v>
      </c>
      <c r="B110" s="355" t="s">
        <v>129</v>
      </c>
      <c r="C110" s="970" t="s">
        <v>131</v>
      </c>
      <c r="D110" s="971"/>
      <c r="E110" s="971"/>
      <c r="F110" s="972" t="s">
        <v>51</v>
      </c>
      <c r="G110" s="355" t="s">
        <v>140</v>
      </c>
      <c r="H110" s="973" t="s">
        <v>141</v>
      </c>
      <c r="I110" s="774" t="s">
        <v>863</v>
      </c>
      <c r="J110" s="368"/>
      <c r="K110" s="80"/>
      <c r="L110" s="493">
        <v>45455.0</v>
      </c>
      <c r="M110" s="974">
        <v>45272.0</v>
      </c>
      <c r="N110" s="139" t="s">
        <v>146</v>
      </c>
      <c r="O110" s="673">
        <f t="shared" si="8"/>
        <v>3</v>
      </c>
      <c r="P110" s="886">
        <v>4.0</v>
      </c>
      <c r="Q110" s="976">
        <v>44881.0</v>
      </c>
      <c r="R110" s="321" t="b">
        <v>1</v>
      </c>
      <c r="S110" s="261">
        <v>45037.0</v>
      </c>
      <c r="T110" s="321" t="b">
        <v>1</v>
      </c>
      <c r="U110" s="261">
        <v>45272.0</v>
      </c>
      <c r="V110" s="321" t="b">
        <v>1</v>
      </c>
      <c r="W110" s="264"/>
      <c r="X110" s="109"/>
      <c r="Y110" s="106" t="b">
        <v>0</v>
      </c>
      <c r="Z110" s="261"/>
      <c r="AA110" s="106" t="b">
        <v>0</v>
      </c>
      <c r="AB110" s="979"/>
      <c r="AC110" s="106" t="b">
        <v>0</v>
      </c>
      <c r="AD110" s="261"/>
      <c r="AE110" s="106"/>
      <c r="AF110" s="107"/>
      <c r="AG110" s="106"/>
      <c r="AH110" s="99"/>
      <c r="AI110" s="99"/>
      <c r="AJ110" s="99"/>
      <c r="AK110" s="99"/>
      <c r="AL110" s="862"/>
      <c r="AM110" s="118"/>
    </row>
    <row r="111" ht="22.5" hidden="1" customHeight="1">
      <c r="A111" s="60">
        <f t="shared" si="7"/>
        <v>36</v>
      </c>
      <c r="B111" s="355" t="s">
        <v>667</v>
      </c>
      <c r="C111" s="980" t="s">
        <v>629</v>
      </c>
      <c r="D111" s="980" t="s">
        <v>629</v>
      </c>
      <c r="E111" s="980"/>
      <c r="F111" s="981"/>
      <c r="G111" s="982"/>
      <c r="H111" s="983"/>
      <c r="I111" s="985"/>
      <c r="J111" s="986"/>
      <c r="K111" s="987"/>
      <c r="L111" s="989"/>
      <c r="M111" s="992"/>
      <c r="N111" s="993"/>
      <c r="O111" s="996">
        <v>0.0</v>
      </c>
      <c r="P111" s="998">
        <v>4.0</v>
      </c>
      <c r="Q111" s="999">
        <v>45454.0</v>
      </c>
      <c r="R111" s="1000" t="b">
        <v>0</v>
      </c>
      <c r="S111" s="999">
        <v>45637.0</v>
      </c>
      <c r="T111" s="1000" t="b">
        <v>0</v>
      </c>
      <c r="U111" s="999">
        <v>45819.0</v>
      </c>
      <c r="V111" s="1003" t="b">
        <v>0</v>
      </c>
      <c r="W111" s="264"/>
      <c r="X111" s="109"/>
      <c r="Y111" s="106" t="b">
        <v>0</v>
      </c>
      <c r="Z111" s="1004"/>
      <c r="AA111" s="1005"/>
      <c r="AB111" s="1004"/>
      <c r="AC111" s="1005"/>
      <c r="AD111" s="1004"/>
      <c r="AE111" s="1005"/>
      <c r="AF111" s="1004"/>
      <c r="AG111" s="1005"/>
      <c r="AH111" s="99"/>
      <c r="AI111" s="99"/>
      <c r="AJ111" s="99"/>
      <c r="AK111" s="99"/>
      <c r="AL111" s="1006"/>
      <c r="AM111" s="1007"/>
    </row>
    <row r="112" ht="22.5" hidden="1" customHeight="1">
      <c r="A112" s="60">
        <f t="shared" si="7"/>
        <v>36</v>
      </c>
      <c r="B112" s="355" t="s">
        <v>670</v>
      </c>
      <c r="C112" s="358" t="s">
        <v>276</v>
      </c>
      <c r="D112" s="358" t="s">
        <v>868</v>
      </c>
      <c r="E112" s="358"/>
      <c r="F112" s="645" t="s">
        <v>51</v>
      </c>
      <c r="G112" s="362" t="s">
        <v>869</v>
      </c>
      <c r="H112" s="364" t="s">
        <v>870</v>
      </c>
      <c r="I112" s="1008" t="s">
        <v>872</v>
      </c>
      <c r="J112" s="368"/>
      <c r="K112" s="80"/>
      <c r="L112" s="81">
        <v>45832.0</v>
      </c>
      <c r="M112" s="84">
        <v>45320.0</v>
      </c>
      <c r="N112" s="86"/>
      <c r="O112" s="673">
        <f t="shared" ref="O112:O141" si="9">COUNTIFS(Q112:AL112,"True")</f>
        <v>1</v>
      </c>
      <c r="P112" s="886">
        <v>4.0</v>
      </c>
      <c r="Q112" s="261">
        <v>45320.0</v>
      </c>
      <c r="R112" s="321" t="b">
        <v>1</v>
      </c>
      <c r="S112" s="261">
        <v>45465.0</v>
      </c>
      <c r="T112" s="323" t="b">
        <v>0</v>
      </c>
      <c r="U112" s="261">
        <v>45650.0</v>
      </c>
      <c r="V112" s="323" t="b">
        <v>0</v>
      </c>
      <c r="W112" s="264"/>
      <c r="X112" s="109"/>
      <c r="Y112" s="106" t="b">
        <v>0</v>
      </c>
      <c r="Z112" s="107"/>
      <c r="AA112" s="106"/>
      <c r="AB112" s="107"/>
      <c r="AC112" s="106"/>
      <c r="AD112" s="107"/>
      <c r="AE112" s="106"/>
      <c r="AF112" s="107"/>
      <c r="AG112" s="106"/>
      <c r="AH112" s="99"/>
      <c r="AI112" s="99"/>
      <c r="AJ112" s="99"/>
      <c r="AK112" s="99"/>
      <c r="AL112" s="862"/>
      <c r="AM112" s="118"/>
    </row>
    <row r="113" ht="26.25" hidden="1" customHeight="1">
      <c r="A113" s="60">
        <f t="shared" si="7"/>
        <v>36</v>
      </c>
      <c r="B113" s="355" t="s">
        <v>673</v>
      </c>
      <c r="C113" s="358" t="s">
        <v>498</v>
      </c>
      <c r="D113" s="66"/>
      <c r="E113" s="358"/>
      <c r="F113" s="942" t="s">
        <v>51</v>
      </c>
      <c r="G113" s="953"/>
      <c r="H113" s="364" t="s">
        <v>876</v>
      </c>
      <c r="I113" s="774" t="s">
        <v>877</v>
      </c>
      <c r="J113" s="368"/>
      <c r="K113" s="80"/>
      <c r="L113" s="81">
        <v>45849.0</v>
      </c>
      <c r="M113" s="84">
        <v>45295.0</v>
      </c>
      <c r="N113" s="139" t="s">
        <v>645</v>
      </c>
      <c r="O113" s="673">
        <f t="shared" si="9"/>
        <v>3</v>
      </c>
      <c r="P113" s="886">
        <v>6.0</v>
      </c>
      <c r="Q113" s="261">
        <v>44883.0</v>
      </c>
      <c r="R113" s="321" t="b">
        <v>1</v>
      </c>
      <c r="S113" s="101">
        <v>44655.0</v>
      </c>
      <c r="T113" s="98" t="b">
        <v>1</v>
      </c>
      <c r="U113" s="101">
        <v>45295.0</v>
      </c>
      <c r="V113" s="321" t="b">
        <v>1</v>
      </c>
      <c r="W113" s="107"/>
      <c r="X113" s="109"/>
      <c r="Y113" s="106" t="b">
        <v>0</v>
      </c>
      <c r="Z113" s="107">
        <v>45667.0</v>
      </c>
      <c r="AA113" s="106" t="b">
        <v>0</v>
      </c>
      <c r="AB113" s="107">
        <v>45849.0</v>
      </c>
      <c r="AC113" s="106" t="b">
        <v>0</v>
      </c>
      <c r="AD113" s="107"/>
      <c r="AE113" s="106"/>
      <c r="AF113" s="107"/>
      <c r="AG113" s="106"/>
      <c r="AH113" s="99"/>
      <c r="AI113" s="99"/>
      <c r="AJ113" s="99"/>
      <c r="AK113" s="99"/>
      <c r="AL113" s="862"/>
      <c r="AM113" s="118"/>
    </row>
    <row r="114" ht="22.5" customHeight="1">
      <c r="A114" s="60">
        <f t="shared" si="7"/>
        <v>37</v>
      </c>
      <c r="B114" s="355" t="s">
        <v>580</v>
      </c>
      <c r="C114" s="358" t="s">
        <v>217</v>
      </c>
      <c r="D114" s="358"/>
      <c r="E114" s="358"/>
      <c r="F114" s="645" t="s">
        <v>51</v>
      </c>
      <c r="G114" s="362" t="s">
        <v>880</v>
      </c>
      <c r="H114" s="364" t="s">
        <v>881</v>
      </c>
      <c r="I114" s="774"/>
      <c r="J114" s="368"/>
      <c r="K114" s="80"/>
      <c r="L114" s="81">
        <v>45649.0</v>
      </c>
      <c r="M114" s="84">
        <v>45320.0</v>
      </c>
      <c r="N114" s="139" t="s">
        <v>882</v>
      </c>
      <c r="O114" s="673">
        <f t="shared" si="9"/>
        <v>3</v>
      </c>
      <c r="P114" s="886">
        <v>4.0</v>
      </c>
      <c r="Q114" s="261">
        <v>45107.0</v>
      </c>
      <c r="R114" s="321" t="b">
        <v>1</v>
      </c>
      <c r="S114" s="261">
        <v>45320.0</v>
      </c>
      <c r="T114" s="321" t="b">
        <v>1</v>
      </c>
      <c r="U114" s="261">
        <v>45474.0</v>
      </c>
      <c r="V114" s="321" t="b">
        <v>1</v>
      </c>
      <c r="W114" s="264"/>
      <c r="X114" s="109"/>
      <c r="Y114" s="106" t="b">
        <v>0</v>
      </c>
      <c r="Z114" s="264"/>
      <c r="AA114" s="99"/>
      <c r="AB114" s="264"/>
      <c r="AC114" s="106"/>
      <c r="AD114" s="107"/>
      <c r="AE114" s="106"/>
      <c r="AF114" s="107"/>
      <c r="AG114" s="106"/>
      <c r="AH114" s="99"/>
      <c r="AI114" s="99"/>
      <c r="AJ114" s="99"/>
      <c r="AK114" s="99"/>
      <c r="AL114" s="1022"/>
      <c r="AM114" s="118"/>
    </row>
    <row r="115" ht="22.5" hidden="1" customHeight="1">
      <c r="A115" s="60">
        <f t="shared" si="7"/>
        <v>37</v>
      </c>
      <c r="B115" s="355" t="s">
        <v>886</v>
      </c>
      <c r="C115" s="1023" t="s">
        <v>498</v>
      </c>
      <c r="D115" s="358"/>
      <c r="E115" s="358"/>
      <c r="F115" s="645" t="s">
        <v>51</v>
      </c>
      <c r="G115" s="362" t="s">
        <v>887</v>
      </c>
      <c r="H115" s="364" t="s">
        <v>888</v>
      </c>
      <c r="I115" s="366" t="s">
        <v>172</v>
      </c>
      <c r="J115" s="368"/>
      <c r="K115" s="80"/>
      <c r="L115" s="81">
        <v>45849.0</v>
      </c>
      <c r="M115" s="84">
        <v>45485.0</v>
      </c>
      <c r="N115" s="139" t="s">
        <v>645</v>
      </c>
      <c r="O115" s="673">
        <f t="shared" si="9"/>
        <v>2</v>
      </c>
      <c r="P115" s="886">
        <v>4.0</v>
      </c>
      <c r="Q115" s="261">
        <v>45306.0</v>
      </c>
      <c r="R115" s="321" t="b">
        <v>1</v>
      </c>
      <c r="S115" s="107">
        <v>45485.0</v>
      </c>
      <c r="T115" s="106" t="b">
        <v>1</v>
      </c>
      <c r="U115" s="107">
        <v>45667.0</v>
      </c>
      <c r="V115" s="106" t="b">
        <v>0</v>
      </c>
      <c r="W115" s="107"/>
      <c r="X115" s="109"/>
      <c r="Y115" s="106" t="b">
        <v>0</v>
      </c>
      <c r="Z115" s="107"/>
      <c r="AA115" s="99"/>
      <c r="AB115" s="107"/>
      <c r="AC115" s="106"/>
      <c r="AD115" s="107"/>
      <c r="AE115" s="106"/>
      <c r="AF115" s="107"/>
      <c r="AG115" s="106"/>
      <c r="AH115" s="99"/>
      <c r="AI115" s="99"/>
      <c r="AJ115" s="99"/>
      <c r="AK115" s="99"/>
      <c r="AL115" s="862"/>
      <c r="AM115" s="118"/>
    </row>
    <row r="116" ht="22.5" hidden="1" customHeight="1">
      <c r="A116" s="60">
        <f t="shared" si="7"/>
        <v>37</v>
      </c>
      <c r="B116" s="355" t="s">
        <v>692</v>
      </c>
      <c r="C116" s="358" t="s">
        <v>498</v>
      </c>
      <c r="D116" s="358"/>
      <c r="E116" s="358"/>
      <c r="F116" s="645" t="s">
        <v>51</v>
      </c>
      <c r="G116" s="362" t="s">
        <v>890</v>
      </c>
      <c r="H116" s="364" t="s">
        <v>891</v>
      </c>
      <c r="I116" s="774" t="s">
        <v>892</v>
      </c>
      <c r="J116" s="860"/>
      <c r="K116" s="80"/>
      <c r="L116" s="81">
        <v>46125.0</v>
      </c>
      <c r="M116" s="84"/>
      <c r="N116" s="86"/>
      <c r="O116" s="673">
        <f t="shared" si="9"/>
        <v>0</v>
      </c>
      <c r="P116" s="886">
        <v>4.0</v>
      </c>
      <c r="Q116" s="261">
        <v>45548.0</v>
      </c>
      <c r="R116" s="323" t="b">
        <v>0</v>
      </c>
      <c r="S116" s="261">
        <v>45730.0</v>
      </c>
      <c r="T116" s="106" t="b">
        <v>0</v>
      </c>
      <c r="U116" s="264">
        <v>45912.0</v>
      </c>
      <c r="V116" s="321" t="b">
        <v>0</v>
      </c>
      <c r="W116" s="264"/>
      <c r="X116" s="109"/>
      <c r="Y116" s="106" t="b">
        <v>0</v>
      </c>
      <c r="Z116" s="101"/>
      <c r="AA116" s="99"/>
      <c r="AB116" s="101"/>
      <c r="AC116" s="99"/>
      <c r="AD116" s="101"/>
      <c r="AE116" s="99"/>
      <c r="AF116" s="101"/>
      <c r="AG116" s="99"/>
      <c r="AH116" s="99"/>
      <c r="AI116" s="99"/>
      <c r="AJ116" s="99"/>
      <c r="AK116" s="99"/>
      <c r="AL116" s="862"/>
      <c r="AM116" s="118"/>
    </row>
    <row r="117" ht="22.5" hidden="1" customHeight="1">
      <c r="A117" s="60">
        <f t="shared" si="7"/>
        <v>37</v>
      </c>
      <c r="B117" s="355" t="s">
        <v>592</v>
      </c>
      <c r="C117" s="1024" t="s">
        <v>47</v>
      </c>
      <c r="D117" s="1025"/>
      <c r="E117" s="1025"/>
      <c r="F117" s="1026" t="s">
        <v>51</v>
      </c>
      <c r="G117" s="643" t="s">
        <v>594</v>
      </c>
      <c r="H117" s="1027">
        <v>6.28251979E8</v>
      </c>
      <c r="I117" s="774" t="s">
        <v>172</v>
      </c>
      <c r="J117" s="368"/>
      <c r="K117" s="80"/>
      <c r="L117" s="493">
        <v>45511.0</v>
      </c>
      <c r="M117" s="84">
        <v>45329.0</v>
      </c>
      <c r="N117" s="86"/>
      <c r="O117" s="673">
        <f t="shared" si="9"/>
        <v>5</v>
      </c>
      <c r="P117" s="1028">
        <v>6.0</v>
      </c>
      <c r="Q117" s="264">
        <v>44562.0</v>
      </c>
      <c r="R117" s="336" t="b">
        <v>1</v>
      </c>
      <c r="S117" s="107">
        <v>44679.0</v>
      </c>
      <c r="T117" s="339" t="b">
        <v>1</v>
      </c>
      <c r="U117" s="107">
        <v>44971.0</v>
      </c>
      <c r="V117" s="336" t="b">
        <v>1</v>
      </c>
      <c r="W117" s="107"/>
      <c r="X117" s="109"/>
      <c r="Y117" s="106" t="b">
        <v>0</v>
      </c>
      <c r="Z117" s="107">
        <v>45329.0</v>
      </c>
      <c r="AA117" s="164" t="b">
        <v>1</v>
      </c>
      <c r="AB117" s="107">
        <v>45493.0</v>
      </c>
      <c r="AC117" s="164" t="b">
        <v>1</v>
      </c>
      <c r="AD117" s="101"/>
      <c r="AE117" s="99"/>
      <c r="AF117" s="101"/>
      <c r="AG117" s="99"/>
      <c r="AH117" s="99"/>
      <c r="AI117" s="99"/>
      <c r="AJ117" s="99"/>
      <c r="AK117" s="99"/>
      <c r="AL117" s="1029"/>
      <c r="AM117" s="118"/>
    </row>
    <row r="118" ht="22.5" hidden="1" customHeight="1">
      <c r="A118" s="60">
        <f t="shared" si="7"/>
        <v>37</v>
      </c>
      <c r="B118" s="355" t="s">
        <v>897</v>
      </c>
      <c r="C118" s="358" t="s">
        <v>898</v>
      </c>
      <c r="D118" s="358"/>
      <c r="E118" s="358"/>
      <c r="F118" s="645" t="s">
        <v>51</v>
      </c>
      <c r="G118" s="362" t="s">
        <v>899</v>
      </c>
      <c r="H118" s="364">
        <v>8.3650888E8</v>
      </c>
      <c r="I118" s="774"/>
      <c r="J118" s="368"/>
      <c r="K118" s="80"/>
      <c r="L118" s="81">
        <v>45936.0</v>
      </c>
      <c r="M118" s="84">
        <v>45328.0</v>
      </c>
      <c r="N118" s="86"/>
      <c r="O118" s="673">
        <f t="shared" si="9"/>
        <v>3</v>
      </c>
      <c r="P118" s="886">
        <v>4.0</v>
      </c>
      <c r="Q118" s="261">
        <v>44833.0</v>
      </c>
      <c r="R118" s="321" t="b">
        <v>1</v>
      </c>
      <c r="S118" s="261">
        <v>45014.0</v>
      </c>
      <c r="T118" s="98" t="b">
        <v>1</v>
      </c>
      <c r="U118" s="261">
        <v>45328.0</v>
      </c>
      <c r="V118" s="321" t="b">
        <v>1</v>
      </c>
      <c r="W118" s="264"/>
      <c r="X118" s="109"/>
      <c r="Y118" s="106" t="b">
        <v>0</v>
      </c>
      <c r="Z118" s="107">
        <v>45694.0</v>
      </c>
      <c r="AA118" s="106" t="b">
        <v>0</v>
      </c>
      <c r="AB118" s="107">
        <v>45875.0</v>
      </c>
      <c r="AC118" s="164" t="b">
        <v>0</v>
      </c>
      <c r="AD118" s="107"/>
      <c r="AE118" s="106"/>
      <c r="AF118" s="107"/>
      <c r="AG118" s="106"/>
      <c r="AH118" s="99"/>
      <c r="AI118" s="99"/>
      <c r="AJ118" s="99"/>
      <c r="AK118" s="99"/>
      <c r="AL118" s="880"/>
      <c r="AM118" s="118"/>
    </row>
    <row r="119" ht="22.5" hidden="1" customHeight="1">
      <c r="A119" s="60">
        <f t="shared" si="7"/>
        <v>37</v>
      </c>
      <c r="B119" s="355" t="s">
        <v>716</v>
      </c>
      <c r="C119" s="804" t="s">
        <v>111</v>
      </c>
      <c r="D119" s="808"/>
      <c r="E119" s="808"/>
      <c r="F119" s="821" t="s">
        <v>51</v>
      </c>
      <c r="G119" s="825" t="s">
        <v>329</v>
      </c>
      <c r="H119" s="811"/>
      <c r="I119" s="1031"/>
      <c r="J119" s="1032"/>
      <c r="K119" s="1033"/>
      <c r="L119" s="521">
        <v>45345.0</v>
      </c>
      <c r="M119" s="302">
        <v>45345.0</v>
      </c>
      <c r="N119" s="1034"/>
      <c r="O119" s="574">
        <f t="shared" si="9"/>
        <v>2</v>
      </c>
      <c r="P119" s="1035">
        <v>2.0</v>
      </c>
      <c r="Q119" s="1036">
        <v>44963.0</v>
      </c>
      <c r="R119" s="237" t="b">
        <v>1</v>
      </c>
      <c r="S119" s="242">
        <v>45345.0</v>
      </c>
      <c r="T119" s="237" t="b">
        <v>1</v>
      </c>
      <c r="U119" s="261"/>
      <c r="V119" s="321"/>
      <c r="W119" s="264"/>
      <c r="X119" s="109"/>
      <c r="Y119" s="106" t="b">
        <v>0</v>
      </c>
      <c r="Z119" s="264"/>
      <c r="AA119" s="106"/>
      <c r="AB119" s="264"/>
      <c r="AC119" s="164"/>
      <c r="AD119" s="242"/>
      <c r="AE119" s="237"/>
      <c r="AF119" s="242"/>
      <c r="AG119" s="237"/>
      <c r="AH119" s="99"/>
      <c r="AI119" s="99"/>
      <c r="AJ119" s="99"/>
      <c r="AK119" s="99"/>
      <c r="AL119" s="1037"/>
      <c r="AM119" s="118"/>
    </row>
    <row r="120" ht="22.5" customHeight="1">
      <c r="A120" s="60">
        <f t="shared" si="7"/>
        <v>38</v>
      </c>
      <c r="B120" s="355" t="s">
        <v>604</v>
      </c>
      <c r="C120" s="1039" t="s">
        <v>906</v>
      </c>
      <c r="D120" s="1039"/>
      <c r="E120" s="1039"/>
      <c r="F120" s="1040" t="s">
        <v>555</v>
      </c>
      <c r="G120" s="1041" t="s">
        <v>605</v>
      </c>
      <c r="H120" s="1042">
        <v>8.17369884E8</v>
      </c>
      <c r="I120" s="1043"/>
      <c r="J120" s="1045"/>
      <c r="K120" s="910" t="s">
        <v>105</v>
      </c>
      <c r="L120" s="1046">
        <v>45114.0</v>
      </c>
      <c r="M120" s="1047">
        <v>45114.0</v>
      </c>
      <c r="N120" s="1048"/>
      <c r="O120" s="1049">
        <f t="shared" si="9"/>
        <v>3</v>
      </c>
      <c r="P120" s="1051">
        <v>4.0</v>
      </c>
      <c r="Q120" s="1052">
        <v>44564.0</v>
      </c>
      <c r="R120" s="1053" t="b">
        <v>1</v>
      </c>
      <c r="S120" s="1054">
        <v>44713.0</v>
      </c>
      <c r="T120" s="1055" t="b">
        <v>1</v>
      </c>
      <c r="U120" s="1054">
        <v>44931.0</v>
      </c>
      <c r="V120" s="1053" t="b">
        <v>1</v>
      </c>
      <c r="W120" s="1054"/>
      <c r="X120" s="109"/>
      <c r="Y120" s="106" t="b">
        <v>0</v>
      </c>
      <c r="Z120" s="1054"/>
      <c r="AA120" s="1057"/>
      <c r="AB120" s="1054"/>
      <c r="AC120" s="1057"/>
      <c r="AD120" s="1054"/>
      <c r="AE120" s="1057"/>
      <c r="AF120" s="1054"/>
      <c r="AG120" s="1057"/>
      <c r="AH120" s="99"/>
      <c r="AI120" s="99"/>
      <c r="AJ120" s="99"/>
      <c r="AK120" s="99"/>
      <c r="AL120" s="1058"/>
      <c r="AM120" s="118"/>
    </row>
    <row r="121" ht="22.5" customHeight="1">
      <c r="A121" s="60">
        <f t="shared" si="7"/>
        <v>39</v>
      </c>
      <c r="B121" s="1059" t="s">
        <v>745</v>
      </c>
      <c r="C121" s="358" t="s">
        <v>137</v>
      </c>
      <c r="D121" s="358"/>
      <c r="E121" s="763" t="s">
        <v>138</v>
      </c>
      <c r="F121" s="645" t="s">
        <v>51</v>
      </c>
      <c r="G121" s="362"/>
      <c r="H121" s="364" t="s">
        <v>913</v>
      </c>
      <c r="I121" s="74" t="s">
        <v>914</v>
      </c>
      <c r="J121" s="368"/>
      <c r="K121" s="80"/>
      <c r="L121" s="81">
        <v>46140.0</v>
      </c>
      <c r="M121" s="84">
        <v>45414.0</v>
      </c>
      <c r="N121" s="128" t="s">
        <v>415</v>
      </c>
      <c r="O121" s="673">
        <f t="shared" si="9"/>
        <v>2</v>
      </c>
      <c r="P121" s="886">
        <v>6.0</v>
      </c>
      <c r="Q121" s="261">
        <v>45226.0</v>
      </c>
      <c r="R121" s="321" t="b">
        <v>1</v>
      </c>
      <c r="S121" s="261">
        <v>45414.0</v>
      </c>
      <c r="T121" s="321" t="b">
        <v>1</v>
      </c>
      <c r="U121" s="261">
        <v>45587.0</v>
      </c>
      <c r="V121" s="323" t="b">
        <v>0</v>
      </c>
      <c r="W121" s="264"/>
      <c r="X121" s="109"/>
      <c r="Y121" s="106" t="b">
        <v>0</v>
      </c>
      <c r="Z121" s="101">
        <v>45958.0</v>
      </c>
      <c r="AA121" s="106" t="b">
        <v>0</v>
      </c>
      <c r="AB121" s="107">
        <v>46140.0</v>
      </c>
      <c r="AC121" s="106" t="b">
        <v>0</v>
      </c>
      <c r="AD121" s="107"/>
      <c r="AE121" s="106"/>
      <c r="AF121" s="107"/>
      <c r="AG121" s="106"/>
      <c r="AH121" s="99"/>
      <c r="AI121" s="99"/>
      <c r="AJ121" s="99"/>
      <c r="AK121" s="99"/>
      <c r="AL121" s="862"/>
      <c r="AM121" s="118"/>
    </row>
    <row r="122" ht="22.5" hidden="1" customHeight="1">
      <c r="A122" s="60">
        <f t="shared" si="7"/>
        <v>39</v>
      </c>
      <c r="B122" s="355" t="s">
        <v>748</v>
      </c>
      <c r="C122" s="358" t="s">
        <v>465</v>
      </c>
      <c r="D122" s="358"/>
      <c r="E122" s="358"/>
      <c r="F122" s="645" t="s">
        <v>51</v>
      </c>
      <c r="G122" s="362"/>
      <c r="H122" s="364"/>
      <c r="I122" s="74"/>
      <c r="J122" s="368"/>
      <c r="K122" s="80"/>
      <c r="L122" s="81">
        <v>45942.0</v>
      </c>
      <c r="M122" s="84">
        <v>45339.0</v>
      </c>
      <c r="N122" s="139" t="s">
        <v>922</v>
      </c>
      <c r="O122" s="673">
        <f t="shared" si="9"/>
        <v>1</v>
      </c>
      <c r="P122" s="886">
        <v>4.0</v>
      </c>
      <c r="Q122" s="261">
        <v>45429.0</v>
      </c>
      <c r="R122" s="321" t="b">
        <v>1</v>
      </c>
      <c r="S122" s="261">
        <v>45517.0</v>
      </c>
      <c r="T122" s="323" t="b">
        <v>0</v>
      </c>
      <c r="U122" s="264">
        <v>45699.0</v>
      </c>
      <c r="V122" s="321" t="b">
        <v>0</v>
      </c>
      <c r="W122" s="261"/>
      <c r="X122" s="309"/>
      <c r="Y122" s="106" t="b">
        <v>0</v>
      </c>
      <c r="Z122" s="101">
        <v>46063.0</v>
      </c>
      <c r="AA122" s="164" t="b">
        <v>0</v>
      </c>
      <c r="AB122" s="107"/>
      <c r="AC122" s="106"/>
      <c r="AD122" s="107"/>
      <c r="AE122" s="106"/>
      <c r="AF122" s="107"/>
      <c r="AG122" s="106"/>
      <c r="AH122" s="99"/>
      <c r="AI122" s="99"/>
      <c r="AJ122" s="99"/>
      <c r="AK122" s="99"/>
      <c r="AL122" s="862"/>
      <c r="AM122" s="118"/>
    </row>
    <row r="123" ht="22.5" customHeight="1">
      <c r="A123" s="60">
        <f t="shared" si="7"/>
        <v>40</v>
      </c>
      <c r="B123" s="355" t="s">
        <v>149</v>
      </c>
      <c r="C123" s="808" t="s">
        <v>111</v>
      </c>
      <c r="D123" s="808"/>
      <c r="E123" s="1071" t="s">
        <v>150</v>
      </c>
      <c r="F123" s="821" t="s">
        <v>51</v>
      </c>
      <c r="G123" s="825" t="s">
        <v>926</v>
      </c>
      <c r="H123" s="811" t="s">
        <v>927</v>
      </c>
      <c r="I123" s="74" t="s">
        <v>928</v>
      </c>
      <c r="J123" s="368" t="s">
        <v>929</v>
      </c>
      <c r="K123" s="80"/>
      <c r="L123" s="81">
        <v>45817.0</v>
      </c>
      <c r="M123" s="84">
        <v>45450.0</v>
      </c>
      <c r="N123" s="86"/>
      <c r="O123" s="673">
        <f t="shared" si="9"/>
        <v>2</v>
      </c>
      <c r="P123" s="1035">
        <v>4.0</v>
      </c>
      <c r="Q123" s="1036">
        <v>45268.0</v>
      </c>
      <c r="R123" s="1072" t="b">
        <v>1</v>
      </c>
      <c r="S123" s="1073">
        <v>45450.0</v>
      </c>
      <c r="T123" s="1072" t="b">
        <v>1</v>
      </c>
      <c r="U123" s="1036">
        <v>45632.0</v>
      </c>
      <c r="V123" s="1074" t="b">
        <v>0</v>
      </c>
      <c r="W123" s="1036"/>
      <c r="X123" s="109"/>
      <c r="Y123" s="106" t="b">
        <v>0</v>
      </c>
      <c r="Z123" s="242"/>
      <c r="AA123" s="106"/>
      <c r="AB123" s="242"/>
      <c r="AC123" s="237"/>
      <c r="AD123" s="242"/>
      <c r="AE123" s="237"/>
      <c r="AF123" s="242"/>
      <c r="AG123" s="237"/>
      <c r="AH123" s="99"/>
      <c r="AI123" s="99"/>
      <c r="AJ123" s="99"/>
      <c r="AK123" s="99"/>
      <c r="AL123" s="1077"/>
      <c r="AM123" s="118"/>
    </row>
    <row r="124" ht="22.5" customHeight="1">
      <c r="A124" s="60">
        <f t="shared" si="7"/>
        <v>41</v>
      </c>
      <c r="B124" s="355" t="s">
        <v>767</v>
      </c>
      <c r="C124" s="358" t="s">
        <v>933</v>
      </c>
      <c r="D124" s="358"/>
      <c r="E124" s="358"/>
      <c r="F124" s="645" t="s">
        <v>51</v>
      </c>
      <c r="G124" s="362" t="s">
        <v>934</v>
      </c>
      <c r="H124" s="364" t="s">
        <v>935</v>
      </c>
      <c r="I124" s="433" t="s">
        <v>936</v>
      </c>
      <c r="J124" s="368"/>
      <c r="K124" s="80"/>
      <c r="L124" s="81">
        <v>46010.0</v>
      </c>
      <c r="M124" s="84">
        <v>45464.0</v>
      </c>
      <c r="N124" s="139" t="s">
        <v>937</v>
      </c>
      <c r="O124" s="673">
        <f t="shared" si="9"/>
        <v>1</v>
      </c>
      <c r="P124" s="886">
        <v>4.0</v>
      </c>
      <c r="Q124" s="261">
        <v>45464.0</v>
      </c>
      <c r="R124" s="321" t="b">
        <v>1</v>
      </c>
      <c r="S124" s="261">
        <v>45646.0</v>
      </c>
      <c r="T124" s="321" t="b">
        <v>0</v>
      </c>
      <c r="U124" s="261">
        <v>45828.0</v>
      </c>
      <c r="V124" s="323" t="b">
        <v>0</v>
      </c>
      <c r="W124" s="264"/>
      <c r="X124" s="109"/>
      <c r="Y124" s="106" t="b">
        <v>0</v>
      </c>
      <c r="Z124" s="107"/>
      <c r="AA124" s="106"/>
      <c r="AB124" s="107"/>
      <c r="AC124" s="106"/>
      <c r="AD124" s="107"/>
      <c r="AE124" s="106"/>
      <c r="AF124" s="107"/>
      <c r="AG124" s="106"/>
      <c r="AH124" s="99"/>
      <c r="AI124" s="99"/>
      <c r="AJ124" s="99"/>
      <c r="AK124" s="99"/>
      <c r="AL124" s="862"/>
      <c r="AM124" s="118"/>
    </row>
    <row r="125" ht="22.5" customHeight="1">
      <c r="A125" s="60">
        <f t="shared" si="7"/>
        <v>42</v>
      </c>
      <c r="B125" s="355" t="s">
        <v>771</v>
      </c>
      <c r="C125" s="358" t="s">
        <v>465</v>
      </c>
      <c r="D125" s="358"/>
      <c r="E125" s="358" t="s">
        <v>939</v>
      </c>
      <c r="F125" s="645" t="s">
        <v>51</v>
      </c>
      <c r="G125" s="362" t="s">
        <v>523</v>
      </c>
      <c r="H125" s="364" t="s">
        <v>524</v>
      </c>
      <c r="I125" s="157" t="s">
        <v>940</v>
      </c>
      <c r="J125" s="368"/>
      <c r="K125" s="80"/>
      <c r="L125" s="81">
        <v>45699.0</v>
      </c>
      <c r="M125" s="84">
        <v>45329.0</v>
      </c>
      <c r="N125" s="139" t="s">
        <v>922</v>
      </c>
      <c r="O125" s="673">
        <f t="shared" si="9"/>
        <v>2</v>
      </c>
      <c r="P125" s="886">
        <v>4.0</v>
      </c>
      <c r="Q125" s="261">
        <v>45153.0</v>
      </c>
      <c r="R125" s="321" t="b">
        <v>1</v>
      </c>
      <c r="S125" s="261">
        <v>45329.0</v>
      </c>
      <c r="T125" s="321" t="b">
        <v>1</v>
      </c>
      <c r="U125" s="261">
        <v>45517.0</v>
      </c>
      <c r="V125" s="323" t="b">
        <v>0</v>
      </c>
      <c r="W125" s="264"/>
      <c r="X125" s="109"/>
      <c r="Y125" s="106" t="b">
        <v>0</v>
      </c>
      <c r="Z125" s="107"/>
      <c r="AA125" s="106"/>
      <c r="AB125" s="107"/>
      <c r="AC125" s="106"/>
      <c r="AD125" s="107"/>
      <c r="AE125" s="106"/>
      <c r="AF125" s="107"/>
      <c r="AG125" s="106"/>
      <c r="AH125" s="99"/>
      <c r="AI125" s="99"/>
      <c r="AJ125" s="99"/>
      <c r="AK125" s="99"/>
      <c r="AL125" s="862"/>
      <c r="AM125" s="118"/>
    </row>
    <row r="126" ht="27.75" customHeight="1">
      <c r="A126" s="60">
        <f t="shared" si="7"/>
        <v>43</v>
      </c>
      <c r="B126" s="355" t="s">
        <v>773</v>
      </c>
      <c r="C126" s="358" t="s">
        <v>111</v>
      </c>
      <c r="D126" s="358"/>
      <c r="E126" s="358"/>
      <c r="F126" s="645" t="s">
        <v>51</v>
      </c>
      <c r="G126" s="362" t="s">
        <v>942</v>
      </c>
      <c r="H126" s="364">
        <v>6.11735011E8</v>
      </c>
      <c r="I126" s="774"/>
      <c r="J126" s="368"/>
      <c r="K126" s="80"/>
      <c r="L126" s="81">
        <v>46035.0</v>
      </c>
      <c r="M126" s="84">
        <v>45483.0</v>
      </c>
      <c r="N126" s="139" t="s">
        <v>271</v>
      </c>
      <c r="O126" s="673">
        <f t="shared" si="9"/>
        <v>1</v>
      </c>
      <c r="P126" s="886">
        <v>4.0</v>
      </c>
      <c r="Q126" s="1086">
        <v>45483.0</v>
      </c>
      <c r="R126" s="647" t="b">
        <v>1</v>
      </c>
      <c r="S126" s="1086">
        <v>45671.0</v>
      </c>
      <c r="T126" s="647" t="b">
        <v>0</v>
      </c>
      <c r="U126" s="1086">
        <v>45846.0</v>
      </c>
      <c r="V126" s="649" t="b">
        <v>0</v>
      </c>
      <c r="W126" s="1088"/>
      <c r="X126" s="109"/>
      <c r="Y126" s="106" t="b">
        <v>0</v>
      </c>
      <c r="Z126" s="1089"/>
      <c r="AA126" s="651"/>
      <c r="AB126" s="1089"/>
      <c r="AC126" s="651"/>
      <c r="AD126" s="1089"/>
      <c r="AE126" s="651"/>
      <c r="AF126" s="1089"/>
      <c r="AG126" s="651"/>
      <c r="AH126" s="99"/>
      <c r="AI126" s="99"/>
      <c r="AJ126" s="99"/>
      <c r="AK126" s="99"/>
      <c r="AL126" s="862"/>
      <c r="AM126" s="118"/>
    </row>
    <row r="127" ht="28.5" customHeight="1">
      <c r="A127" s="60">
        <f t="shared" si="7"/>
        <v>44</v>
      </c>
      <c r="B127" s="1091" t="s">
        <v>166</v>
      </c>
      <c r="C127" s="122" t="s">
        <v>47</v>
      </c>
      <c r="D127" s="66"/>
      <c r="E127" s="331" t="s">
        <v>946</v>
      </c>
      <c r="F127" s="64" t="s">
        <v>55</v>
      </c>
      <c r="G127" s="70" t="s">
        <v>947</v>
      </c>
      <c r="H127" s="71" t="s">
        <v>948</v>
      </c>
      <c r="I127" s="74" t="s">
        <v>949</v>
      </c>
      <c r="J127" s="77"/>
      <c r="K127" s="80"/>
      <c r="L127" s="81">
        <v>46133.0</v>
      </c>
      <c r="M127" s="84">
        <v>45398.0</v>
      </c>
      <c r="N127" s="128" t="s">
        <v>258</v>
      </c>
      <c r="O127" s="88">
        <f t="shared" si="9"/>
        <v>2</v>
      </c>
      <c r="P127" s="922">
        <v>6.0</v>
      </c>
      <c r="Q127" s="261">
        <v>45226.0</v>
      </c>
      <c r="R127" s="98" t="b">
        <v>1</v>
      </c>
      <c r="S127" s="261">
        <v>45392.0</v>
      </c>
      <c r="T127" s="98" t="b">
        <v>1</v>
      </c>
      <c r="U127" s="264">
        <v>45580.0</v>
      </c>
      <c r="V127" s="98" t="b">
        <v>0</v>
      </c>
      <c r="W127" s="261"/>
      <c r="X127" s="109"/>
      <c r="Y127" s="106" t="b">
        <v>0</v>
      </c>
      <c r="Z127" s="274">
        <v>45951.0</v>
      </c>
      <c r="AA127" s="1097" t="b">
        <v>0</v>
      </c>
      <c r="AB127" s="171">
        <v>46133.0</v>
      </c>
      <c r="AC127" s="1100" t="b">
        <v>0</v>
      </c>
      <c r="AD127" s="274"/>
      <c r="AE127" s="1097"/>
      <c r="AF127" s="274"/>
      <c r="AG127" s="1097"/>
      <c r="AH127" s="99"/>
      <c r="AI127" s="99"/>
      <c r="AJ127" s="99"/>
      <c r="AK127" s="99"/>
      <c r="AL127" s="217"/>
      <c r="AM127" s="118"/>
    </row>
    <row r="128" ht="27.75" hidden="1" customHeight="1">
      <c r="A128" s="60">
        <f t="shared" si="7"/>
        <v>44</v>
      </c>
      <c r="B128" s="908" t="s">
        <v>777</v>
      </c>
      <c r="C128" s="900" t="s">
        <v>683</v>
      </c>
      <c r="D128" s="900"/>
      <c r="E128" s="900"/>
      <c r="F128" s="912" t="s">
        <v>51</v>
      </c>
      <c r="G128" s="1102" t="s">
        <v>777</v>
      </c>
      <c r="H128" s="1103" t="s">
        <v>950</v>
      </c>
      <c r="I128" s="1104"/>
      <c r="J128" s="1105"/>
      <c r="K128" s="80"/>
      <c r="L128" s="81">
        <v>45933.0</v>
      </c>
      <c r="M128" s="84">
        <v>45387.0</v>
      </c>
      <c r="N128" s="128" t="s">
        <v>687</v>
      </c>
      <c r="O128" s="920">
        <f t="shared" si="9"/>
        <v>1</v>
      </c>
      <c r="P128" s="922">
        <v>4.0</v>
      </c>
      <c r="Q128" s="261">
        <v>45387.0</v>
      </c>
      <c r="R128" s="98" t="b">
        <v>1</v>
      </c>
      <c r="S128" s="261">
        <v>45569.0</v>
      </c>
      <c r="T128" s="98" t="b">
        <v>0</v>
      </c>
      <c r="U128" s="261">
        <v>45751.0</v>
      </c>
      <c r="V128" s="130" t="b">
        <v>0</v>
      </c>
      <c r="W128" s="264"/>
      <c r="X128" s="109"/>
      <c r="Y128" s="106" t="b">
        <v>0</v>
      </c>
      <c r="Z128" s="107"/>
      <c r="AA128" s="106"/>
      <c r="AB128" s="107"/>
      <c r="AC128" s="106"/>
      <c r="AD128" s="107"/>
      <c r="AE128" s="106"/>
      <c r="AF128" s="107"/>
      <c r="AG128" s="106"/>
      <c r="AH128" s="99"/>
      <c r="AI128" s="99"/>
      <c r="AJ128" s="99"/>
      <c r="AK128" s="99"/>
      <c r="AL128" s="929"/>
      <c r="AM128" s="118"/>
    </row>
    <row r="129" ht="27.75" customHeight="1">
      <c r="A129" s="60">
        <f t="shared" si="7"/>
        <v>45</v>
      </c>
      <c r="B129" s="1112" t="s">
        <v>608</v>
      </c>
      <c r="C129" s="1115" t="s">
        <v>498</v>
      </c>
      <c r="D129" s="900"/>
      <c r="E129" s="900"/>
      <c r="F129" s="912" t="s">
        <v>51</v>
      </c>
      <c r="G129" s="1118" t="s">
        <v>957</v>
      </c>
      <c r="H129" s="1121" t="s">
        <v>958</v>
      </c>
      <c r="I129" s="1104" t="s">
        <v>960</v>
      </c>
      <c r="J129" s="1123"/>
      <c r="K129" s="80"/>
      <c r="L129" s="81">
        <v>45859.0</v>
      </c>
      <c r="M129" s="543">
        <v>45495.0</v>
      </c>
      <c r="N129" s="128" t="s">
        <v>963</v>
      </c>
      <c r="O129" s="920">
        <f t="shared" si="9"/>
        <v>2</v>
      </c>
      <c r="P129" s="922">
        <v>4.0</v>
      </c>
      <c r="Q129" s="261">
        <v>45306.0</v>
      </c>
      <c r="R129" s="98" t="b">
        <v>1</v>
      </c>
      <c r="S129" s="261">
        <v>45495.0</v>
      </c>
      <c r="T129" s="98" t="b">
        <v>1</v>
      </c>
      <c r="U129" s="261">
        <v>45677.0</v>
      </c>
      <c r="V129" s="130" t="b">
        <v>0</v>
      </c>
      <c r="W129" s="264"/>
      <c r="X129" s="109"/>
      <c r="Y129" s="106" t="b">
        <v>0</v>
      </c>
      <c r="Z129" s="107"/>
      <c r="AA129" s="106"/>
      <c r="AB129" s="107"/>
      <c r="AC129" s="106"/>
      <c r="AD129" s="107"/>
      <c r="AE129" s="106"/>
      <c r="AF129" s="107"/>
      <c r="AG129" s="106"/>
      <c r="AH129" s="99"/>
      <c r="AI129" s="99"/>
      <c r="AJ129" s="99"/>
      <c r="AK129" s="99"/>
      <c r="AL129" s="929"/>
      <c r="AM129" s="118"/>
    </row>
    <row r="130" ht="27.75" customHeight="1">
      <c r="A130" s="60">
        <f t="shared" si="7"/>
        <v>46</v>
      </c>
      <c r="B130" s="63" t="s">
        <v>611</v>
      </c>
      <c r="C130" s="553" t="s">
        <v>498</v>
      </c>
      <c r="D130" s="66"/>
      <c r="E130" s="66"/>
      <c r="F130" s="64" t="s">
        <v>51</v>
      </c>
      <c r="G130" s="70" t="s">
        <v>957</v>
      </c>
      <c r="H130" s="71" t="s">
        <v>958</v>
      </c>
      <c r="I130" s="1104" t="s">
        <v>960</v>
      </c>
      <c r="J130" s="541"/>
      <c r="K130" s="80"/>
      <c r="L130" s="81">
        <v>45859.0</v>
      </c>
      <c r="M130" s="543">
        <v>45495.0</v>
      </c>
      <c r="N130" s="128" t="s">
        <v>963</v>
      </c>
      <c r="O130" s="920">
        <f t="shared" si="9"/>
        <v>2</v>
      </c>
      <c r="P130" s="922">
        <v>4.0</v>
      </c>
      <c r="Q130" s="261">
        <v>45306.0</v>
      </c>
      <c r="R130" s="98" t="b">
        <v>1</v>
      </c>
      <c r="S130" s="261">
        <v>45495.0</v>
      </c>
      <c r="T130" s="98" t="b">
        <v>1</v>
      </c>
      <c r="U130" s="261">
        <v>45677.0</v>
      </c>
      <c r="V130" s="130" t="b">
        <v>0</v>
      </c>
      <c r="W130" s="264"/>
      <c r="X130" s="109"/>
      <c r="Y130" s="106" t="b">
        <v>0</v>
      </c>
      <c r="Z130" s="107"/>
      <c r="AA130" s="106"/>
      <c r="AB130" s="107"/>
      <c r="AC130" s="106"/>
      <c r="AD130" s="107"/>
      <c r="AE130" s="106"/>
      <c r="AF130" s="107"/>
      <c r="AG130" s="106"/>
      <c r="AH130" s="99"/>
      <c r="AI130" s="99"/>
      <c r="AJ130" s="99"/>
      <c r="AK130" s="99"/>
      <c r="AL130" s="929"/>
      <c r="AM130" s="118"/>
    </row>
    <row r="131" ht="27.75" hidden="1" customHeight="1">
      <c r="A131" s="60">
        <f t="shared" si="7"/>
        <v>46</v>
      </c>
      <c r="B131" s="63" t="s">
        <v>787</v>
      </c>
      <c r="C131" s="66" t="s">
        <v>970</v>
      </c>
      <c r="D131" s="66"/>
      <c r="E131" s="66"/>
      <c r="F131" s="64" t="s">
        <v>51</v>
      </c>
      <c r="G131" s="70" t="s">
        <v>971</v>
      </c>
      <c r="H131" s="71">
        <v>6.2245846E8</v>
      </c>
      <c r="I131" s="1135" t="s">
        <v>972</v>
      </c>
      <c r="J131" s="541"/>
      <c r="K131" s="80"/>
      <c r="L131" s="81">
        <v>45950.0</v>
      </c>
      <c r="M131" s="543">
        <v>45457.0</v>
      </c>
      <c r="N131" s="86"/>
      <c r="O131" s="88">
        <f t="shared" si="9"/>
        <v>1</v>
      </c>
      <c r="P131" s="90">
        <v>4.0</v>
      </c>
      <c r="Q131" s="92">
        <v>45457.0</v>
      </c>
      <c r="R131" s="98" t="b">
        <v>1</v>
      </c>
      <c r="S131" s="101">
        <v>45585.0</v>
      </c>
      <c r="T131" s="98" t="b">
        <v>0</v>
      </c>
      <c r="U131" s="101">
        <v>45767.0</v>
      </c>
      <c r="V131" s="130" t="b">
        <v>0</v>
      </c>
      <c r="W131" s="107"/>
      <c r="X131" s="109"/>
      <c r="Y131" s="106" t="b">
        <v>0</v>
      </c>
      <c r="Z131" s="107"/>
      <c r="AA131" s="106"/>
      <c r="AB131" s="107"/>
      <c r="AC131" s="106"/>
      <c r="AD131" s="107"/>
      <c r="AE131" s="106"/>
      <c r="AF131" s="107"/>
      <c r="AG131" s="106"/>
      <c r="AH131" s="99"/>
      <c r="AI131" s="99"/>
      <c r="AJ131" s="99"/>
      <c r="AK131" s="99"/>
      <c r="AL131" s="929"/>
      <c r="AM131" s="118"/>
    </row>
    <row r="132" ht="27.75" hidden="1" customHeight="1">
      <c r="A132" s="60">
        <f t="shared" si="7"/>
        <v>46</v>
      </c>
      <c r="B132" s="63" t="s">
        <v>791</v>
      </c>
      <c r="C132" s="66" t="s">
        <v>654</v>
      </c>
      <c r="D132" s="589"/>
      <c r="E132" s="589"/>
      <c r="F132" s="301" t="s">
        <v>51</v>
      </c>
      <c r="G132" s="305"/>
      <c r="H132" s="71" t="s">
        <v>538</v>
      </c>
      <c r="I132" s="1136" t="s">
        <v>974</v>
      </c>
      <c r="J132" s="541"/>
      <c r="K132" s="80"/>
      <c r="L132" s="521">
        <v>45470.0</v>
      </c>
      <c r="M132" s="543">
        <v>45253.0</v>
      </c>
      <c r="N132" s="128" t="s">
        <v>560</v>
      </c>
      <c r="O132" s="88">
        <f t="shared" si="9"/>
        <v>3</v>
      </c>
      <c r="P132" s="90">
        <v>4.0</v>
      </c>
      <c r="Q132" s="92">
        <v>44880.0</v>
      </c>
      <c r="R132" s="98" t="b">
        <v>1</v>
      </c>
      <c r="S132" s="92">
        <v>45017.0</v>
      </c>
      <c r="T132" s="647" t="b">
        <v>1</v>
      </c>
      <c r="U132" s="92">
        <v>45253.0</v>
      </c>
      <c r="V132" s="98" t="b">
        <v>1</v>
      </c>
      <c r="W132" s="92"/>
      <c r="X132" s="309"/>
      <c r="Y132" s="106" t="b">
        <v>0</v>
      </c>
      <c r="Z132" s="112"/>
      <c r="AA132" s="103"/>
      <c r="AB132" s="107"/>
      <c r="AC132" s="106"/>
      <c r="AD132" s="101"/>
      <c r="AE132" s="106"/>
      <c r="AF132" s="101"/>
      <c r="AG132" s="106"/>
      <c r="AH132" s="99"/>
      <c r="AI132" s="99"/>
      <c r="AJ132" s="99"/>
      <c r="AK132" s="99"/>
      <c r="AL132" s="1141"/>
      <c r="AM132" s="118"/>
    </row>
    <row r="133" ht="27.75" hidden="1" customHeight="1">
      <c r="A133" s="60">
        <f t="shared" si="7"/>
        <v>46</v>
      </c>
      <c r="B133" s="63" t="s">
        <v>793</v>
      </c>
      <c r="C133" s="66" t="s">
        <v>976</v>
      </c>
      <c r="D133" s="66"/>
      <c r="E133" s="66"/>
      <c r="F133" s="64" t="s">
        <v>51</v>
      </c>
      <c r="G133" s="70" t="s">
        <v>977</v>
      </c>
      <c r="H133" s="71"/>
      <c r="I133" s="1135" t="s">
        <v>978</v>
      </c>
      <c r="J133" s="541"/>
      <c r="K133" s="80"/>
      <c r="L133" s="81">
        <v>45933.0</v>
      </c>
      <c r="M133" s="543">
        <v>45387.0</v>
      </c>
      <c r="N133" s="128" t="s">
        <v>687</v>
      </c>
      <c r="O133" s="88">
        <f t="shared" si="9"/>
        <v>1</v>
      </c>
      <c r="P133" s="90">
        <v>4.0</v>
      </c>
      <c r="Q133" s="92">
        <v>45387.0</v>
      </c>
      <c r="R133" s="98" t="b">
        <v>1</v>
      </c>
      <c r="S133" s="92">
        <v>45569.0</v>
      </c>
      <c r="T133" s="647" t="b">
        <v>0</v>
      </c>
      <c r="U133" s="92">
        <v>45751.0</v>
      </c>
      <c r="V133" s="130" t="b">
        <v>0</v>
      </c>
      <c r="W133" s="112"/>
      <c r="X133" s="109"/>
      <c r="Y133" s="106" t="b">
        <v>0</v>
      </c>
      <c r="Z133" s="112"/>
      <c r="AA133" s="103"/>
      <c r="AB133" s="107"/>
      <c r="AC133" s="106"/>
      <c r="AD133" s="107"/>
      <c r="AE133" s="106"/>
      <c r="AF133" s="107"/>
      <c r="AG133" s="106"/>
      <c r="AH133" s="99"/>
      <c r="AI133" s="99"/>
      <c r="AJ133" s="99"/>
      <c r="AK133" s="99"/>
      <c r="AL133" s="929"/>
      <c r="AM133" s="118"/>
    </row>
    <row r="134" ht="27.75" hidden="1" customHeight="1">
      <c r="A134" s="60">
        <f t="shared" si="7"/>
        <v>46</v>
      </c>
      <c r="B134" s="63" t="s">
        <v>798</v>
      </c>
      <c r="C134" s="66"/>
      <c r="D134" s="66" t="s">
        <v>979</v>
      </c>
      <c r="E134" s="66"/>
      <c r="F134" s="64" t="s">
        <v>51</v>
      </c>
      <c r="G134" s="70"/>
      <c r="H134" s="206" t="s">
        <v>980</v>
      </c>
      <c r="I134" s="1135" t="s">
        <v>981</v>
      </c>
      <c r="J134" s="541"/>
      <c r="K134" s="80"/>
      <c r="L134" s="81">
        <v>46014.0</v>
      </c>
      <c r="M134" s="543">
        <v>45468.0</v>
      </c>
      <c r="N134" s="139" t="s">
        <v>744</v>
      </c>
      <c r="O134" s="1144">
        <f t="shared" si="9"/>
        <v>3</v>
      </c>
      <c r="P134" s="90">
        <v>6.0</v>
      </c>
      <c r="Q134" s="101">
        <v>44562.0</v>
      </c>
      <c r="R134" s="1145" t="b">
        <v>1</v>
      </c>
      <c r="S134" s="1147">
        <v>44562.0</v>
      </c>
      <c r="T134" s="1145" t="b">
        <v>1</v>
      </c>
      <c r="U134" s="101">
        <v>45468.0</v>
      </c>
      <c r="V134" s="106" t="b">
        <v>1</v>
      </c>
      <c r="W134" s="107"/>
      <c r="X134" s="109"/>
      <c r="Y134" s="106" t="b">
        <v>0</v>
      </c>
      <c r="Z134" s="92">
        <v>45832.0</v>
      </c>
      <c r="AA134" s="103" t="b">
        <v>0</v>
      </c>
      <c r="AB134" s="107">
        <v>46014.0</v>
      </c>
      <c r="AC134" s="164" t="b">
        <v>0</v>
      </c>
      <c r="AD134" s="107"/>
      <c r="AE134" s="106"/>
      <c r="AF134" s="107"/>
      <c r="AG134" s="106"/>
      <c r="AH134" s="99"/>
      <c r="AI134" s="99"/>
      <c r="AJ134" s="99"/>
      <c r="AK134" s="99"/>
      <c r="AL134" s="929"/>
      <c r="AM134" s="118"/>
    </row>
    <row r="135" ht="27.75" customHeight="1">
      <c r="A135" s="60">
        <f t="shared" si="7"/>
        <v>47</v>
      </c>
      <c r="B135" s="63" t="s">
        <v>619</v>
      </c>
      <c r="C135" s="66" t="s">
        <v>47</v>
      </c>
      <c r="D135" s="66"/>
      <c r="E135" s="66"/>
      <c r="F135" s="64" t="s">
        <v>51</v>
      </c>
      <c r="G135" s="70" t="s">
        <v>988</v>
      </c>
      <c r="H135" s="71" t="s">
        <v>989</v>
      </c>
      <c r="I135" s="1104"/>
      <c r="J135" s="541"/>
      <c r="K135" s="80"/>
      <c r="L135" s="81">
        <v>45790.0</v>
      </c>
      <c r="M135" s="543">
        <v>45426.0</v>
      </c>
      <c r="N135" s="128" t="s">
        <v>289</v>
      </c>
      <c r="O135" s="88">
        <f t="shared" si="9"/>
        <v>2</v>
      </c>
      <c r="P135" s="90">
        <v>4.0</v>
      </c>
      <c r="Q135" s="101">
        <v>45299.0</v>
      </c>
      <c r="R135" s="647" t="b">
        <v>1</v>
      </c>
      <c r="S135" s="101">
        <v>45426.0</v>
      </c>
      <c r="T135" s="647" t="b">
        <v>1</v>
      </c>
      <c r="U135" s="101">
        <v>45608.0</v>
      </c>
      <c r="V135" s="99" t="b">
        <v>0</v>
      </c>
      <c r="W135" s="107"/>
      <c r="X135" s="109"/>
      <c r="Y135" s="106" t="b">
        <v>0</v>
      </c>
      <c r="Z135" s="112"/>
      <c r="AA135" s="103"/>
      <c r="AB135" s="107"/>
      <c r="AC135" s="106"/>
      <c r="AD135" s="107"/>
      <c r="AE135" s="106"/>
      <c r="AF135" s="107"/>
      <c r="AG135" s="106"/>
      <c r="AH135" s="99"/>
      <c r="AI135" s="99"/>
      <c r="AJ135" s="99"/>
      <c r="AK135" s="99"/>
      <c r="AL135" s="929"/>
      <c r="AM135" s="118"/>
    </row>
    <row r="136" ht="27.75" customHeight="1">
      <c r="A136" s="60">
        <f t="shared" si="7"/>
        <v>48</v>
      </c>
      <c r="B136" s="63" t="s">
        <v>623</v>
      </c>
      <c r="C136" s="1155" t="s">
        <v>95</v>
      </c>
      <c r="D136" s="66"/>
      <c r="E136" s="66"/>
      <c r="F136" s="64" t="s">
        <v>51</v>
      </c>
      <c r="G136" s="70" t="s">
        <v>991</v>
      </c>
      <c r="H136" s="71">
        <v>9.18144495E8</v>
      </c>
      <c r="I136" s="1104"/>
      <c r="J136" s="541"/>
      <c r="K136" s="80"/>
      <c r="L136" s="81">
        <v>45825.0</v>
      </c>
      <c r="M136" s="543">
        <v>45490.0</v>
      </c>
      <c r="N136" s="86"/>
      <c r="O136" s="88">
        <f t="shared" si="9"/>
        <v>2</v>
      </c>
      <c r="P136" s="90">
        <v>4.0</v>
      </c>
      <c r="Q136" s="101">
        <v>45308.0</v>
      </c>
      <c r="R136" s="647" t="b">
        <v>1</v>
      </c>
      <c r="S136" s="101">
        <v>45490.0</v>
      </c>
      <c r="T136" s="647" t="b">
        <v>1</v>
      </c>
      <c r="U136" s="101">
        <v>45674.0</v>
      </c>
      <c r="V136" s="99" t="b">
        <v>0</v>
      </c>
      <c r="W136" s="107"/>
      <c r="X136" s="109"/>
      <c r="Y136" s="106" t="b">
        <v>0</v>
      </c>
      <c r="Z136" s="112"/>
      <c r="AA136" s="103"/>
      <c r="AB136" s="107"/>
      <c r="AC136" s="106"/>
      <c r="AD136" s="107"/>
      <c r="AE136" s="106"/>
      <c r="AF136" s="107"/>
      <c r="AG136" s="106"/>
      <c r="AH136" s="99"/>
      <c r="AI136" s="99"/>
      <c r="AJ136" s="99"/>
      <c r="AK136" s="99"/>
      <c r="AL136" s="929"/>
      <c r="AM136" s="118"/>
    </row>
    <row r="137" ht="27.75" customHeight="1">
      <c r="A137" s="60">
        <f t="shared" si="7"/>
        <v>49</v>
      </c>
      <c r="B137" s="63" t="s">
        <v>806</v>
      </c>
      <c r="C137" s="122" t="s">
        <v>472</v>
      </c>
      <c r="D137" s="900"/>
      <c r="E137" s="66"/>
      <c r="F137" s="64" t="s">
        <v>51</v>
      </c>
      <c r="G137" s="70" t="s">
        <v>351</v>
      </c>
      <c r="H137" s="71" t="s">
        <v>992</v>
      </c>
      <c r="I137" s="1104"/>
      <c r="J137" s="541"/>
      <c r="K137" s="80"/>
      <c r="L137" s="81">
        <v>45604.0</v>
      </c>
      <c r="M137" s="543">
        <v>45422.0</v>
      </c>
      <c r="N137" s="128" t="s">
        <v>69</v>
      </c>
      <c r="O137" s="88">
        <f t="shared" si="9"/>
        <v>4</v>
      </c>
      <c r="P137" s="90">
        <v>4.0</v>
      </c>
      <c r="Q137" s="92">
        <v>44922.0</v>
      </c>
      <c r="R137" s="647" t="b">
        <v>1</v>
      </c>
      <c r="S137" s="92">
        <v>45246.0</v>
      </c>
      <c r="T137" s="647" t="b">
        <v>1</v>
      </c>
      <c r="U137" s="92">
        <v>45422.0</v>
      </c>
      <c r="V137" s="106" t="b">
        <v>1</v>
      </c>
      <c r="W137" s="112"/>
      <c r="X137" s="109"/>
      <c r="Y137" s="106" t="b">
        <v>1</v>
      </c>
      <c r="Z137" s="112"/>
      <c r="AA137" s="103"/>
      <c r="AB137" s="107"/>
      <c r="AC137" s="106"/>
      <c r="AD137" s="107"/>
      <c r="AE137" s="106"/>
      <c r="AF137" s="107"/>
      <c r="AG137" s="106"/>
      <c r="AH137" s="99"/>
      <c r="AI137" s="99"/>
      <c r="AJ137" s="99"/>
      <c r="AK137" s="99"/>
      <c r="AL137" s="1157"/>
      <c r="AM137" s="118"/>
    </row>
    <row r="138" ht="27.75" hidden="1" customHeight="1">
      <c r="A138" s="60">
        <f t="shared" si="7"/>
        <v>49</v>
      </c>
      <c r="B138" s="63" t="s">
        <v>808</v>
      </c>
      <c r="C138" s="66" t="s">
        <v>199</v>
      </c>
      <c r="D138" s="66" t="s">
        <v>993</v>
      </c>
      <c r="E138" s="66"/>
      <c r="F138" s="64" t="s">
        <v>51</v>
      </c>
      <c r="G138" s="70" t="s">
        <v>994</v>
      </c>
      <c r="H138" s="71">
        <v>8.67778043E8</v>
      </c>
      <c r="I138" s="1104"/>
      <c r="J138" s="541"/>
      <c r="K138" s="80"/>
      <c r="L138" s="81">
        <v>45910.0</v>
      </c>
      <c r="M138" s="543">
        <v>45350.0</v>
      </c>
      <c r="N138" s="86"/>
      <c r="O138" s="88">
        <f t="shared" si="9"/>
        <v>1</v>
      </c>
      <c r="P138" s="90">
        <v>4.0</v>
      </c>
      <c r="Q138" s="101">
        <v>45362.0</v>
      </c>
      <c r="R138" s="647" t="b">
        <v>1</v>
      </c>
      <c r="S138" s="101">
        <v>45546.0</v>
      </c>
      <c r="T138" s="647" t="b">
        <v>0</v>
      </c>
      <c r="U138" s="101">
        <v>45726.0</v>
      </c>
      <c r="V138" s="99" t="b">
        <v>0</v>
      </c>
      <c r="W138" s="107"/>
      <c r="X138" s="109"/>
      <c r="Y138" s="106" t="b">
        <v>0</v>
      </c>
      <c r="Z138" s="92"/>
      <c r="AA138" s="1159"/>
      <c r="AB138" s="101"/>
      <c r="AC138" s="99"/>
      <c r="AD138" s="101"/>
      <c r="AE138" s="99"/>
      <c r="AF138" s="101"/>
      <c r="AG138" s="99"/>
      <c r="AH138" s="99"/>
      <c r="AI138" s="99"/>
      <c r="AJ138" s="99"/>
      <c r="AK138" s="99"/>
      <c r="AL138" s="929"/>
      <c r="AM138" s="118"/>
    </row>
    <row r="139" ht="27.75" hidden="1" customHeight="1">
      <c r="A139" s="60">
        <f t="shared" si="7"/>
        <v>49</v>
      </c>
      <c r="B139" s="63" t="s">
        <v>809</v>
      </c>
      <c r="C139" s="66" t="s">
        <v>996</v>
      </c>
      <c r="D139" s="900"/>
      <c r="E139" s="66"/>
      <c r="F139" s="64" t="s">
        <v>51</v>
      </c>
      <c r="G139" s="70" t="s">
        <v>899</v>
      </c>
      <c r="H139" s="71">
        <v>8.3650888E8</v>
      </c>
      <c r="I139" s="1104"/>
      <c r="J139" s="473"/>
      <c r="K139" s="80"/>
      <c r="L139" s="81">
        <v>45875.0</v>
      </c>
      <c r="M139" s="543">
        <v>45328.0</v>
      </c>
      <c r="N139" s="86"/>
      <c r="O139" s="88">
        <f t="shared" si="9"/>
        <v>3</v>
      </c>
      <c r="P139" s="90">
        <v>4.0</v>
      </c>
      <c r="Q139" s="92">
        <v>44832.0</v>
      </c>
      <c r="R139" s="106" t="b">
        <v>1</v>
      </c>
      <c r="S139" s="101">
        <v>45014.0</v>
      </c>
      <c r="T139" s="106" t="b">
        <v>1</v>
      </c>
      <c r="U139" s="101">
        <v>45328.0</v>
      </c>
      <c r="V139" s="106" t="b">
        <v>1</v>
      </c>
      <c r="W139" s="107"/>
      <c r="X139" s="109"/>
      <c r="Y139" s="106" t="b">
        <v>0</v>
      </c>
      <c r="Z139" s="264">
        <v>45694.0</v>
      </c>
      <c r="AA139" s="64" t="b">
        <v>0</v>
      </c>
      <c r="AB139" s="107">
        <v>45875.0</v>
      </c>
      <c r="AC139" s="164" t="b">
        <v>0</v>
      </c>
      <c r="AD139" s="107"/>
      <c r="AE139" s="106"/>
      <c r="AF139" s="107"/>
      <c r="AG139" s="106"/>
      <c r="AH139" s="99"/>
      <c r="AI139" s="99"/>
      <c r="AJ139" s="99"/>
      <c r="AK139" s="99"/>
      <c r="AL139" s="1157"/>
      <c r="AM139" s="118"/>
    </row>
    <row r="140" ht="27.75" hidden="1" customHeight="1">
      <c r="A140" s="60">
        <f t="shared" si="7"/>
        <v>49</v>
      </c>
      <c r="B140" s="63" t="s">
        <v>810</v>
      </c>
      <c r="C140" s="66" t="s">
        <v>77</v>
      </c>
      <c r="D140" s="66" t="s">
        <v>999</v>
      </c>
      <c r="E140" s="66"/>
      <c r="F140" s="64" t="s">
        <v>51</v>
      </c>
      <c r="G140" s="70" t="s">
        <v>1000</v>
      </c>
      <c r="H140" s="206" t="s">
        <v>1001</v>
      </c>
      <c r="I140" s="1104" t="s">
        <v>1002</v>
      </c>
      <c r="J140" s="473"/>
      <c r="K140" s="80">
        <v>45340.0</v>
      </c>
      <c r="L140" s="81">
        <v>46045.0</v>
      </c>
      <c r="M140" s="543"/>
      <c r="N140" s="139" t="s">
        <v>1003</v>
      </c>
      <c r="O140" s="88">
        <f t="shared" si="9"/>
        <v>0</v>
      </c>
      <c r="P140" s="90">
        <v>4.0</v>
      </c>
      <c r="Q140" s="92">
        <v>45499.0</v>
      </c>
      <c r="R140" s="99" t="b">
        <v>0</v>
      </c>
      <c r="S140" s="101">
        <v>45681.0</v>
      </c>
      <c r="T140" s="99" t="b">
        <v>0</v>
      </c>
      <c r="U140" s="264">
        <v>45863.0</v>
      </c>
      <c r="V140" s="99" t="b">
        <v>0</v>
      </c>
      <c r="W140" s="264"/>
      <c r="X140" s="109"/>
      <c r="Y140" s="106" t="b">
        <v>0</v>
      </c>
      <c r="Z140" s="261"/>
      <c r="AA140" s="1165"/>
      <c r="AB140" s="101"/>
      <c r="AC140" s="99"/>
      <c r="AD140" s="101"/>
      <c r="AE140" s="99"/>
      <c r="AF140" s="101"/>
      <c r="AG140" s="99"/>
      <c r="AH140" s="99"/>
      <c r="AI140" s="99"/>
      <c r="AJ140" s="99"/>
      <c r="AK140" s="99"/>
      <c r="AL140" s="929"/>
      <c r="AM140" s="118"/>
    </row>
    <row r="141" ht="27.75" hidden="1" customHeight="1">
      <c r="A141" s="60">
        <f t="shared" si="7"/>
        <v>49</v>
      </c>
      <c r="B141" s="63" t="s">
        <v>811</v>
      </c>
      <c r="C141" s="66" t="s">
        <v>276</v>
      </c>
      <c r="D141" s="66" t="s">
        <v>1004</v>
      </c>
      <c r="E141" s="66"/>
      <c r="F141" s="64" t="s">
        <v>55</v>
      </c>
      <c r="G141" s="70"/>
      <c r="H141" s="71"/>
      <c r="I141" s="1104"/>
      <c r="J141" s="1167"/>
      <c r="K141" s="80"/>
      <c r="L141" s="81">
        <v>46157.0</v>
      </c>
      <c r="M141" s="543"/>
      <c r="N141" s="86"/>
      <c r="O141" s="88">
        <f t="shared" si="9"/>
        <v>0</v>
      </c>
      <c r="P141" s="90">
        <v>4.0</v>
      </c>
      <c r="Q141" s="92">
        <v>45611.0</v>
      </c>
      <c r="R141" s="106" t="b">
        <v>0</v>
      </c>
      <c r="S141" s="101">
        <v>45793.0</v>
      </c>
      <c r="T141" s="106" t="b">
        <v>0</v>
      </c>
      <c r="U141" s="261">
        <v>45978.0</v>
      </c>
      <c r="V141" s="99" t="b">
        <v>0</v>
      </c>
      <c r="W141" s="261"/>
      <c r="X141" s="309"/>
      <c r="Y141" s="106" t="b">
        <v>0</v>
      </c>
      <c r="Z141" s="261"/>
      <c r="AA141" s="1165"/>
      <c r="AB141" s="101"/>
      <c r="AC141" s="99"/>
      <c r="AD141" s="101"/>
      <c r="AE141" s="99"/>
      <c r="AF141" s="101"/>
      <c r="AG141" s="99"/>
      <c r="AH141" s="99"/>
      <c r="AI141" s="99"/>
      <c r="AJ141" s="99"/>
      <c r="AK141" s="99"/>
      <c r="AL141" s="929"/>
      <c r="AM141" s="118"/>
    </row>
    <row r="142" ht="27.75" hidden="1" customHeight="1">
      <c r="A142" s="60">
        <f t="shared" si="7"/>
        <v>49</v>
      </c>
      <c r="B142" s="63" t="s">
        <v>812</v>
      </c>
      <c r="C142" s="66" t="s">
        <v>1006</v>
      </c>
      <c r="D142" s="66" t="s">
        <v>1006</v>
      </c>
      <c r="E142" s="66" t="s">
        <v>1007</v>
      </c>
      <c r="F142" s="64" t="s">
        <v>51</v>
      </c>
      <c r="G142" s="70" t="s">
        <v>1008</v>
      </c>
      <c r="H142" s="71"/>
      <c r="I142" s="1104"/>
      <c r="J142" s="1167" t="s">
        <v>1009</v>
      </c>
      <c r="K142" s="80"/>
      <c r="L142" s="81">
        <v>45461.0</v>
      </c>
      <c r="M142" s="543">
        <v>45247.0</v>
      </c>
      <c r="N142" s="668" t="s">
        <v>1010</v>
      </c>
      <c r="O142" s="88">
        <v>1.0</v>
      </c>
      <c r="P142" s="90">
        <v>2.0</v>
      </c>
      <c r="Q142" s="92">
        <v>45247.0</v>
      </c>
      <c r="R142" s="106" t="b">
        <v>1</v>
      </c>
      <c r="S142" s="101">
        <v>45461.0</v>
      </c>
      <c r="T142" s="106" t="b">
        <v>0</v>
      </c>
      <c r="U142" s="261"/>
      <c r="V142" s="99"/>
      <c r="W142" s="264"/>
      <c r="X142" s="109"/>
      <c r="Y142" s="106" t="b">
        <v>0</v>
      </c>
      <c r="Z142" s="261"/>
      <c r="AA142" s="1165"/>
      <c r="AB142" s="101"/>
      <c r="AC142" s="99"/>
      <c r="AD142" s="101"/>
      <c r="AE142" s="99"/>
      <c r="AF142" s="101"/>
      <c r="AG142" s="99"/>
      <c r="AH142" s="99"/>
      <c r="AI142" s="99"/>
      <c r="AJ142" s="99"/>
      <c r="AK142" s="99"/>
      <c r="AL142" s="929"/>
      <c r="AM142" s="118"/>
    </row>
    <row r="143" ht="27.75" hidden="1" customHeight="1">
      <c r="A143" s="60">
        <f t="shared" si="7"/>
        <v>49</v>
      </c>
      <c r="B143" s="63" t="s">
        <v>813</v>
      </c>
      <c r="C143" s="66" t="s">
        <v>1006</v>
      </c>
      <c r="D143" s="66" t="s">
        <v>1006</v>
      </c>
      <c r="E143" s="66" t="s">
        <v>1021</v>
      </c>
      <c r="F143" s="64" t="s">
        <v>51</v>
      </c>
      <c r="G143" s="70" t="s">
        <v>1008</v>
      </c>
      <c r="H143" s="71"/>
      <c r="I143" s="1104"/>
      <c r="J143" s="1167" t="s">
        <v>1009</v>
      </c>
      <c r="K143" s="80"/>
      <c r="L143" s="81">
        <v>45461.0</v>
      </c>
      <c r="M143" s="543">
        <v>45247.0</v>
      </c>
      <c r="N143" s="668" t="s">
        <v>1010</v>
      </c>
      <c r="O143" s="88">
        <v>1.0</v>
      </c>
      <c r="P143" s="90">
        <v>2.0</v>
      </c>
      <c r="Q143" s="101">
        <v>45247.0</v>
      </c>
      <c r="R143" s="106" t="b">
        <v>1</v>
      </c>
      <c r="S143" s="261">
        <v>45461.0</v>
      </c>
      <c r="T143" s="106" t="b">
        <v>0</v>
      </c>
      <c r="U143" s="261"/>
      <c r="V143" s="99" t="b">
        <v>0</v>
      </c>
      <c r="W143" s="264"/>
      <c r="X143" s="109"/>
      <c r="Y143" s="106" t="b">
        <v>0</v>
      </c>
      <c r="Z143" s="261"/>
      <c r="AA143" s="1165"/>
      <c r="AB143" s="101"/>
      <c r="AC143" s="99"/>
      <c r="AD143" s="101"/>
      <c r="AE143" s="99"/>
      <c r="AF143" s="101"/>
      <c r="AG143" s="99"/>
      <c r="AH143" s="99"/>
      <c r="AI143" s="99"/>
      <c r="AJ143" s="99"/>
      <c r="AK143" s="99"/>
      <c r="AL143" s="929"/>
      <c r="AM143" s="118"/>
    </row>
    <row r="144" ht="27.75" hidden="1" customHeight="1">
      <c r="A144" s="60">
        <f t="shared" si="7"/>
        <v>49</v>
      </c>
      <c r="B144" s="63" t="s">
        <v>815</v>
      </c>
      <c r="C144" s="66" t="s">
        <v>1006</v>
      </c>
      <c r="D144" s="66" t="s">
        <v>1006</v>
      </c>
      <c r="E144" s="66" t="s">
        <v>1025</v>
      </c>
      <c r="F144" s="64" t="s">
        <v>51</v>
      </c>
      <c r="G144" s="70" t="s">
        <v>1008</v>
      </c>
      <c r="H144" s="71"/>
      <c r="I144" s="1104"/>
      <c r="J144" s="1167" t="s">
        <v>1009</v>
      </c>
      <c r="K144" s="80"/>
      <c r="L144" s="81">
        <v>45461.0</v>
      </c>
      <c r="M144" s="543">
        <v>45247.0</v>
      </c>
      <c r="N144" s="668" t="s">
        <v>1010</v>
      </c>
      <c r="O144" s="88">
        <v>1.0</v>
      </c>
      <c r="P144" s="90">
        <v>1.0</v>
      </c>
      <c r="Q144" s="101">
        <v>45247.0</v>
      </c>
      <c r="R144" s="106" t="b">
        <v>1</v>
      </c>
      <c r="S144" s="261">
        <v>45461.0</v>
      </c>
      <c r="T144" s="106" t="b">
        <v>0</v>
      </c>
      <c r="U144" s="261"/>
      <c r="V144" s="99" t="b">
        <v>0</v>
      </c>
      <c r="W144" s="264"/>
      <c r="X144" s="109"/>
      <c r="Y144" s="106" t="b">
        <v>0</v>
      </c>
      <c r="Z144" s="261"/>
      <c r="AA144" s="1165"/>
      <c r="AB144" s="101"/>
      <c r="AC144" s="99"/>
      <c r="AD144" s="101"/>
      <c r="AE144" s="99"/>
      <c r="AF144" s="101"/>
      <c r="AG144" s="99"/>
      <c r="AH144" s="99"/>
      <c r="AI144" s="99"/>
      <c r="AJ144" s="99"/>
      <c r="AK144" s="99"/>
      <c r="AL144" s="929"/>
      <c r="AM144" s="118"/>
    </row>
    <row r="145" ht="27.75" hidden="1" customHeight="1">
      <c r="A145" s="60">
        <f t="shared" si="7"/>
        <v>49</v>
      </c>
      <c r="B145" s="63" t="s">
        <v>822</v>
      </c>
      <c r="C145" s="66" t="s">
        <v>307</v>
      </c>
      <c r="D145" s="66"/>
      <c r="E145" s="66"/>
      <c r="F145" s="64" t="s">
        <v>51</v>
      </c>
      <c r="G145" s="70" t="s">
        <v>1028</v>
      </c>
      <c r="H145" s="71" t="s">
        <v>1029</v>
      </c>
      <c r="I145" s="1104" t="s">
        <v>1030</v>
      </c>
      <c r="J145" s="473"/>
      <c r="K145" s="80"/>
      <c r="L145" s="81">
        <v>45940.0</v>
      </c>
      <c r="M145" s="543">
        <v>45394.0</v>
      </c>
      <c r="N145" s="128" t="s">
        <v>797</v>
      </c>
      <c r="O145" s="88">
        <f t="shared" ref="O145:O168" si="10">COUNTIFS(Q145:AL145,"True")</f>
        <v>1</v>
      </c>
      <c r="P145" s="90">
        <v>4.0</v>
      </c>
      <c r="Q145" s="92">
        <v>45394.0</v>
      </c>
      <c r="R145" s="106" t="b">
        <v>1</v>
      </c>
      <c r="S145" s="101">
        <v>45576.0</v>
      </c>
      <c r="T145" s="106" t="b">
        <v>0</v>
      </c>
      <c r="U145" s="92">
        <v>45758.0</v>
      </c>
      <c r="V145" s="99" t="b">
        <v>0</v>
      </c>
      <c r="W145" s="107"/>
      <c r="X145" s="109"/>
      <c r="Y145" s="106" t="b">
        <v>0</v>
      </c>
      <c r="Z145" s="264"/>
      <c r="AA145" s="64"/>
      <c r="AB145" s="107"/>
      <c r="AC145" s="106"/>
      <c r="AD145" s="107"/>
      <c r="AE145" s="106"/>
      <c r="AF145" s="107"/>
      <c r="AG145" s="106"/>
      <c r="AH145" s="99"/>
      <c r="AI145" s="99"/>
      <c r="AJ145" s="99"/>
      <c r="AK145" s="99"/>
      <c r="AL145" s="929"/>
      <c r="AM145" s="118"/>
    </row>
    <row r="146" ht="27.75" hidden="1" customHeight="1">
      <c r="A146" s="60">
        <f t="shared" si="7"/>
        <v>49</v>
      </c>
      <c r="B146" s="63" t="s">
        <v>824</v>
      </c>
      <c r="C146" s="66" t="s">
        <v>498</v>
      </c>
      <c r="D146" s="1210"/>
      <c r="E146" s="66"/>
      <c r="F146" s="64" t="s">
        <v>51</v>
      </c>
      <c r="G146" s="313" t="s">
        <v>957</v>
      </c>
      <c r="H146" s="71" t="s">
        <v>958</v>
      </c>
      <c r="I146" s="1104" t="s">
        <v>960</v>
      </c>
      <c r="J146" s="1211"/>
      <c r="K146" s="80">
        <v>45364.0</v>
      </c>
      <c r="L146" s="81">
        <v>45728.0</v>
      </c>
      <c r="M146" s="543">
        <v>45401.0</v>
      </c>
      <c r="N146" s="128" t="s">
        <v>1039</v>
      </c>
      <c r="O146" s="88">
        <f t="shared" si="10"/>
        <v>1</v>
      </c>
      <c r="P146" s="90">
        <v>2.0</v>
      </c>
      <c r="Q146" s="92">
        <v>45391.0</v>
      </c>
      <c r="R146" s="106" t="b">
        <v>1</v>
      </c>
      <c r="S146" s="101">
        <v>45572.0</v>
      </c>
      <c r="T146" s="106" t="b">
        <v>0</v>
      </c>
      <c r="U146" s="1218"/>
      <c r="V146" s="99" t="b">
        <v>0</v>
      </c>
      <c r="W146" s="107"/>
      <c r="X146" s="109"/>
      <c r="Y146" s="106" t="b">
        <v>0</v>
      </c>
      <c r="Z146" s="264"/>
      <c r="AA146" s="64"/>
      <c r="AB146" s="107"/>
      <c r="AC146" s="106"/>
      <c r="AD146" s="107"/>
      <c r="AE146" s="106"/>
      <c r="AF146" s="107"/>
      <c r="AG146" s="106"/>
      <c r="AH146" s="99"/>
      <c r="AI146" s="99"/>
      <c r="AJ146" s="99"/>
      <c r="AK146" s="99"/>
      <c r="AL146" s="929"/>
      <c r="AM146" s="118"/>
    </row>
    <row r="147" ht="27.75" customHeight="1">
      <c r="A147" s="60">
        <f t="shared" si="7"/>
        <v>50</v>
      </c>
      <c r="B147" s="63" t="s">
        <v>625</v>
      </c>
      <c r="C147" s="290" t="s">
        <v>834</v>
      </c>
      <c r="D147" s="1224"/>
      <c r="E147" s="291"/>
      <c r="F147" s="265" t="s">
        <v>51</v>
      </c>
      <c r="G147" s="1226" t="s">
        <v>62</v>
      </c>
      <c r="H147" s="266" t="s">
        <v>627</v>
      </c>
      <c r="I147" s="1104"/>
      <c r="J147" s="473"/>
      <c r="K147" s="80">
        <v>45389.0</v>
      </c>
      <c r="L147" s="1228">
        <v>46118.0</v>
      </c>
      <c r="M147" s="543">
        <v>45407.0</v>
      </c>
      <c r="N147" s="668" t="s">
        <v>1044</v>
      </c>
      <c r="O147" s="88">
        <f t="shared" si="10"/>
        <v>4</v>
      </c>
      <c r="P147" s="269">
        <v>8.0</v>
      </c>
      <c r="Q147" s="112">
        <v>44576.0</v>
      </c>
      <c r="R147" s="164" t="b">
        <v>1</v>
      </c>
      <c r="S147" s="107">
        <v>44744.0</v>
      </c>
      <c r="T147" s="164" t="b">
        <v>1</v>
      </c>
      <c r="U147" s="112">
        <v>45051.0</v>
      </c>
      <c r="V147" s="164" t="b">
        <v>1</v>
      </c>
      <c r="W147" s="107"/>
      <c r="X147" s="109"/>
      <c r="Y147" s="106" t="b">
        <v>0</v>
      </c>
      <c r="Z147" s="264">
        <v>45407.0</v>
      </c>
      <c r="AA147" s="64" t="b">
        <v>1</v>
      </c>
      <c r="AB147" s="107">
        <v>45586.0</v>
      </c>
      <c r="AC147" s="164" t="b">
        <v>0</v>
      </c>
      <c r="AD147" s="107">
        <v>45768.0</v>
      </c>
      <c r="AE147" s="106" t="b">
        <v>0</v>
      </c>
      <c r="AF147" s="107">
        <v>45951.0</v>
      </c>
      <c r="AG147" s="164" t="b">
        <v>0</v>
      </c>
      <c r="AH147" s="164" t="b">
        <v>0</v>
      </c>
      <c r="AI147" s="164" t="b">
        <v>0</v>
      </c>
      <c r="AJ147" s="164" t="b">
        <v>0</v>
      </c>
      <c r="AK147" s="164" t="b">
        <v>0</v>
      </c>
      <c r="AL147" s="1231"/>
      <c r="AM147" s="118"/>
    </row>
    <row r="148" ht="27.75" hidden="1" customHeight="1">
      <c r="A148" s="60">
        <f t="shared" si="7"/>
        <v>50</v>
      </c>
      <c r="B148" s="63" t="s">
        <v>837</v>
      </c>
      <c r="C148" s="66" t="s">
        <v>1048</v>
      </c>
      <c r="D148" s="1232"/>
      <c r="E148" s="589"/>
      <c r="F148" s="301" t="s">
        <v>51</v>
      </c>
      <c r="G148" s="70" t="s">
        <v>647</v>
      </c>
      <c r="H148" s="71">
        <v>8.42905559E8</v>
      </c>
      <c r="I148" s="1104"/>
      <c r="J148" s="473"/>
      <c r="K148" s="80"/>
      <c r="L148" s="81">
        <v>45576.0</v>
      </c>
      <c r="M148" s="543">
        <v>45394.0</v>
      </c>
      <c r="N148" s="128" t="s">
        <v>797</v>
      </c>
      <c r="O148" s="88">
        <f t="shared" si="10"/>
        <v>4</v>
      </c>
      <c r="P148" s="90">
        <v>6.0</v>
      </c>
      <c r="Q148" s="92">
        <v>44562.0</v>
      </c>
      <c r="R148" s="164" t="b">
        <v>1</v>
      </c>
      <c r="S148" s="101">
        <v>44562.0</v>
      </c>
      <c r="T148" s="106" t="b">
        <v>1</v>
      </c>
      <c r="U148" s="92">
        <v>45026.0</v>
      </c>
      <c r="V148" s="106" t="b">
        <v>1</v>
      </c>
      <c r="W148" s="107"/>
      <c r="X148" s="109"/>
      <c r="Y148" s="106" t="b">
        <v>0</v>
      </c>
      <c r="Z148" s="264">
        <v>45394.0</v>
      </c>
      <c r="AA148" s="64" t="b">
        <v>1</v>
      </c>
      <c r="AB148" s="107">
        <v>45576.0</v>
      </c>
      <c r="AC148" s="106" t="b">
        <v>0</v>
      </c>
      <c r="AD148" s="107"/>
      <c r="AE148" s="106"/>
      <c r="AF148" s="107"/>
      <c r="AG148" s="106"/>
      <c r="AH148" s="106"/>
      <c r="AI148" s="106"/>
      <c r="AJ148" s="106"/>
      <c r="AK148" s="106"/>
      <c r="AL148" s="929"/>
      <c r="AM148" s="118"/>
    </row>
    <row r="149" ht="27.75" hidden="1" customHeight="1">
      <c r="A149" s="60">
        <f t="shared" si="7"/>
        <v>50</v>
      </c>
      <c r="B149" s="63" t="s">
        <v>849</v>
      </c>
      <c r="C149" s="1236" t="s">
        <v>683</v>
      </c>
      <c r="D149" s="66"/>
      <c r="E149" s="66"/>
      <c r="F149" s="64" t="s">
        <v>51</v>
      </c>
      <c r="G149" s="70" t="s">
        <v>1049</v>
      </c>
      <c r="H149" s="1239" t="s">
        <v>1050</v>
      </c>
      <c r="I149" s="1104" t="s">
        <v>1051</v>
      </c>
      <c r="J149" s="473" t="s">
        <v>1052</v>
      </c>
      <c r="K149" s="80"/>
      <c r="L149" s="81">
        <v>45953.0</v>
      </c>
      <c r="M149" s="543">
        <v>45345.0</v>
      </c>
      <c r="N149" s="86"/>
      <c r="O149" s="88">
        <f t="shared" si="10"/>
        <v>1</v>
      </c>
      <c r="P149" s="90">
        <v>4.0</v>
      </c>
      <c r="Q149" s="92">
        <v>45345.0</v>
      </c>
      <c r="R149" s="164" t="b">
        <v>1</v>
      </c>
      <c r="S149" s="101">
        <v>45527.0</v>
      </c>
      <c r="T149" s="106" t="b">
        <v>0</v>
      </c>
      <c r="U149" s="92">
        <v>45708.0</v>
      </c>
      <c r="V149" s="99" t="b">
        <v>0</v>
      </c>
      <c r="W149" s="107"/>
      <c r="X149" s="109"/>
      <c r="Y149" s="106" t="b">
        <v>0</v>
      </c>
      <c r="Z149" s="264"/>
      <c r="AA149" s="64"/>
      <c r="AB149" s="107"/>
      <c r="AC149" s="106"/>
      <c r="AD149" s="107"/>
      <c r="AE149" s="106"/>
      <c r="AF149" s="107"/>
      <c r="AG149" s="106"/>
      <c r="AH149" s="106"/>
      <c r="AI149" s="106"/>
      <c r="AJ149" s="106"/>
      <c r="AK149" s="106"/>
      <c r="AL149" s="929"/>
      <c r="AM149" s="118"/>
    </row>
    <row r="150" ht="27.75" hidden="1" customHeight="1">
      <c r="A150" s="60">
        <f t="shared" si="7"/>
        <v>50</v>
      </c>
      <c r="B150" s="63" t="s">
        <v>854</v>
      </c>
      <c r="C150" s="66" t="s">
        <v>660</v>
      </c>
      <c r="D150" s="66" t="s">
        <v>1053</v>
      </c>
      <c r="E150" s="66"/>
      <c r="F150" s="64" t="s">
        <v>51</v>
      </c>
      <c r="G150" s="70" t="s">
        <v>1054</v>
      </c>
      <c r="H150" s="71" t="s">
        <v>1055</v>
      </c>
      <c r="I150" s="1104" t="s">
        <v>106</v>
      </c>
      <c r="J150" s="473"/>
      <c r="K150" s="80"/>
      <c r="L150" s="81">
        <v>45618.0</v>
      </c>
      <c r="M150" s="543">
        <v>45470.0</v>
      </c>
      <c r="N150" s="128" t="s">
        <v>560</v>
      </c>
      <c r="O150" s="88">
        <f t="shared" si="10"/>
        <v>4</v>
      </c>
      <c r="P150" s="90">
        <v>6.0</v>
      </c>
      <c r="Q150" s="92">
        <v>44676.0</v>
      </c>
      <c r="R150" s="106" t="b">
        <v>1</v>
      </c>
      <c r="S150" s="101">
        <v>44879.0</v>
      </c>
      <c r="T150" s="106" t="b">
        <v>1</v>
      </c>
      <c r="U150" s="92">
        <v>45068.0</v>
      </c>
      <c r="V150" s="106" t="b">
        <v>1</v>
      </c>
      <c r="W150" s="107"/>
      <c r="X150" s="109"/>
      <c r="Y150" s="106" t="b">
        <v>0</v>
      </c>
      <c r="Z150" s="264">
        <v>45470.0</v>
      </c>
      <c r="AA150" s="64" t="b">
        <v>1</v>
      </c>
      <c r="AB150" s="107">
        <v>45618.0</v>
      </c>
      <c r="AC150" s="164" t="b">
        <v>0</v>
      </c>
      <c r="AD150" s="107"/>
      <c r="AE150" s="106"/>
      <c r="AF150" s="107"/>
      <c r="AG150" s="106"/>
      <c r="AH150" s="106"/>
      <c r="AI150" s="106"/>
      <c r="AJ150" s="106"/>
      <c r="AK150" s="106"/>
      <c r="AL150" s="929"/>
      <c r="AM150" s="118"/>
    </row>
    <row r="151" ht="27.75" hidden="1" customHeight="1">
      <c r="A151" s="60">
        <f t="shared" si="7"/>
        <v>50</v>
      </c>
      <c r="B151" s="780" t="s">
        <v>857</v>
      </c>
      <c r="C151" s="385" t="s">
        <v>1059</v>
      </c>
      <c r="D151" s="391"/>
      <c r="E151" s="391"/>
      <c r="F151" s="716" t="s">
        <v>55</v>
      </c>
      <c r="G151" s="391"/>
      <c r="H151" s="717"/>
      <c r="I151" s="1243"/>
      <c r="J151" s="1245"/>
      <c r="K151" s="393"/>
      <c r="L151" s="1246">
        <v>46134.0</v>
      </c>
      <c r="M151" s="393"/>
      <c r="N151" s="139" t="s">
        <v>922</v>
      </c>
      <c r="O151" s="88">
        <f t="shared" si="10"/>
        <v>0</v>
      </c>
      <c r="P151" s="90">
        <v>4.0</v>
      </c>
      <c r="Q151" s="92">
        <v>45517.0</v>
      </c>
      <c r="R151" s="99" t="b">
        <v>0</v>
      </c>
      <c r="S151" s="107">
        <v>45699.0</v>
      </c>
      <c r="T151" s="106" t="b">
        <v>0</v>
      </c>
      <c r="U151" s="261">
        <v>45881.0</v>
      </c>
      <c r="V151" s="99" t="b">
        <v>0</v>
      </c>
      <c r="W151" s="261"/>
      <c r="X151" s="309"/>
      <c r="Y151" s="106" t="b">
        <v>0</v>
      </c>
      <c r="Z151" s="199"/>
      <c r="AA151" s="741"/>
      <c r="AB151" s="181"/>
      <c r="AC151" s="189"/>
      <c r="AD151" s="181"/>
      <c r="AE151" s="189"/>
      <c r="AF151" s="181"/>
      <c r="AG151" s="189"/>
      <c r="AH151" s="189"/>
      <c r="AI151" s="189"/>
      <c r="AJ151" s="189"/>
      <c r="AK151" s="189"/>
      <c r="AL151" s="282"/>
      <c r="AM151" s="118"/>
    </row>
    <row r="152" ht="27.75" hidden="1" customHeight="1">
      <c r="A152" s="60">
        <f t="shared" si="7"/>
        <v>50</v>
      </c>
      <c r="B152" s="1247" t="s">
        <v>179</v>
      </c>
      <c r="C152" s="1248" t="s">
        <v>1061</v>
      </c>
      <c r="D152" s="1248"/>
      <c r="E152" s="1248"/>
      <c r="F152" s="1249" t="s">
        <v>51</v>
      </c>
      <c r="G152" s="1250" t="s">
        <v>1063</v>
      </c>
      <c r="H152" s="1251" t="s">
        <v>1064</v>
      </c>
      <c r="I152" s="193" t="s">
        <v>1064</v>
      </c>
      <c r="J152" s="74"/>
      <c r="K152" s="1252"/>
      <c r="L152" s="1246">
        <v>45901.0</v>
      </c>
      <c r="M152" s="84">
        <v>45352.0</v>
      </c>
      <c r="N152" s="1253"/>
      <c r="O152" s="88">
        <f t="shared" si="10"/>
        <v>1</v>
      </c>
      <c r="P152" s="90">
        <v>6.0</v>
      </c>
      <c r="Q152" s="92">
        <v>45352.0</v>
      </c>
      <c r="R152" s="106" t="b">
        <v>1</v>
      </c>
      <c r="S152" s="101">
        <v>45536.0</v>
      </c>
      <c r="T152" s="106" t="b">
        <v>0</v>
      </c>
      <c r="U152" s="92">
        <v>45717.0</v>
      </c>
      <c r="V152" s="99" t="b">
        <v>0</v>
      </c>
      <c r="W152" s="107"/>
      <c r="X152" s="109"/>
      <c r="Y152" s="106" t="b">
        <v>0</v>
      </c>
      <c r="Z152" s="272"/>
      <c r="AA152" s="1097"/>
      <c r="AB152" s="272"/>
      <c r="AC152" s="1097"/>
      <c r="AD152" s="272"/>
      <c r="AE152" s="1097"/>
      <c r="AF152" s="272"/>
      <c r="AG152" s="1097"/>
      <c r="AH152" s="1097"/>
      <c r="AI152" s="1097"/>
      <c r="AJ152" s="1097"/>
      <c r="AK152" s="1097"/>
      <c r="AL152" s="1254"/>
      <c r="AM152" s="792"/>
    </row>
    <row r="153" ht="27.75" hidden="1" customHeight="1">
      <c r="A153" s="60">
        <f t="shared" si="7"/>
        <v>50</v>
      </c>
      <c r="B153" s="63" t="s">
        <v>656</v>
      </c>
      <c r="C153" s="66" t="s">
        <v>1066</v>
      </c>
      <c r="D153" s="66"/>
      <c r="E153" s="66"/>
      <c r="F153" s="64" t="s">
        <v>51</v>
      </c>
      <c r="G153" s="313" t="s">
        <v>1067</v>
      </c>
      <c r="H153" s="71">
        <v>6.12721596E8</v>
      </c>
      <c r="I153" s="1104"/>
      <c r="J153" s="1255" t="s">
        <v>1068</v>
      </c>
      <c r="K153" s="80"/>
      <c r="L153" s="81">
        <v>45583.0</v>
      </c>
      <c r="M153" s="543">
        <v>45393.0</v>
      </c>
      <c r="N153" s="128" t="s">
        <v>768</v>
      </c>
      <c r="O153" s="88">
        <f t="shared" si="10"/>
        <v>3</v>
      </c>
      <c r="P153" s="90">
        <v>4.0</v>
      </c>
      <c r="Q153" s="92">
        <v>45009.0</v>
      </c>
      <c r="R153" s="106" t="b">
        <v>1</v>
      </c>
      <c r="S153" s="101">
        <v>45189.0</v>
      </c>
      <c r="T153" s="106" t="b">
        <v>1</v>
      </c>
      <c r="U153" s="261">
        <v>45393.0</v>
      </c>
      <c r="V153" s="106" t="b">
        <v>1</v>
      </c>
      <c r="W153" s="264"/>
      <c r="X153" s="109"/>
      <c r="Y153" s="106" t="b">
        <v>0</v>
      </c>
      <c r="Z153" s="264"/>
      <c r="AA153" s="64"/>
      <c r="AB153" s="107"/>
      <c r="AC153" s="106"/>
      <c r="AD153" s="107"/>
      <c r="AE153" s="106"/>
      <c r="AF153" s="107"/>
      <c r="AG153" s="106"/>
      <c r="AH153" s="106"/>
      <c r="AI153" s="106"/>
      <c r="AJ153" s="106"/>
      <c r="AK153" s="106"/>
      <c r="AL153" s="1157"/>
      <c r="AM153" s="118"/>
    </row>
    <row r="154" ht="27.75" hidden="1" customHeight="1">
      <c r="A154" s="60">
        <f>SUBTOTAL(3,$B$3:B153)</f>
        <v>50</v>
      </c>
      <c r="B154" s="1247" t="s">
        <v>662</v>
      </c>
      <c r="C154" s="1248" t="s">
        <v>1073</v>
      </c>
      <c r="D154" s="1248"/>
      <c r="E154" s="1248"/>
      <c r="F154" s="1249" t="s">
        <v>51</v>
      </c>
      <c r="G154" s="1250" t="s">
        <v>181</v>
      </c>
      <c r="H154" s="1251" t="s">
        <v>1074</v>
      </c>
      <c r="I154" s="74"/>
      <c r="J154" s="74"/>
      <c r="K154" s="1252"/>
      <c r="L154" s="1246">
        <v>45560.0</v>
      </c>
      <c r="M154" s="84">
        <v>45394.0</v>
      </c>
      <c r="N154" s="1253"/>
      <c r="O154" s="88">
        <f t="shared" si="10"/>
        <v>3</v>
      </c>
      <c r="P154" s="90">
        <v>4.0</v>
      </c>
      <c r="Q154" s="211">
        <v>45009.0</v>
      </c>
      <c r="R154" s="1097" t="b">
        <v>1</v>
      </c>
      <c r="S154" s="211">
        <v>45142.0</v>
      </c>
      <c r="T154" s="1097" t="b">
        <v>1</v>
      </c>
      <c r="U154" s="211">
        <v>45369.0</v>
      </c>
      <c r="V154" s="1097" t="b">
        <v>1</v>
      </c>
      <c r="W154" s="272"/>
      <c r="X154" s="109"/>
      <c r="Y154" s="106" t="b">
        <v>0</v>
      </c>
      <c r="Z154" s="272"/>
      <c r="AA154" s="1097"/>
      <c r="AB154" s="272"/>
      <c r="AC154" s="1097"/>
      <c r="AD154" s="272"/>
      <c r="AE154" s="1097"/>
      <c r="AF154" s="272"/>
      <c r="AG154" s="1097"/>
      <c r="AH154" s="1097"/>
      <c r="AI154" s="1097"/>
      <c r="AJ154" s="1097"/>
      <c r="AK154" s="1097"/>
      <c r="AL154" s="1260"/>
      <c r="AM154" s="792"/>
    </row>
    <row r="155" ht="27.75" hidden="1" customHeight="1">
      <c r="A155" s="60">
        <f t="shared" ref="A155:A168" si="11">SUBTOTAL(3,$B$3:B155)</f>
        <v>50</v>
      </c>
      <c r="B155" s="1247" t="s">
        <v>665</v>
      </c>
      <c r="C155" s="1248" t="s">
        <v>111</v>
      </c>
      <c r="D155" s="1248"/>
      <c r="E155" s="1248"/>
      <c r="F155" s="1249" t="s">
        <v>51</v>
      </c>
      <c r="G155" s="1250" t="s">
        <v>780</v>
      </c>
      <c r="H155" s="1251"/>
      <c r="I155" s="74"/>
      <c r="J155" s="1262" t="s">
        <v>1075</v>
      </c>
      <c r="K155" s="1263"/>
      <c r="L155" s="1265">
        <v>45593.0</v>
      </c>
      <c r="M155" s="1266">
        <v>45411.0</v>
      </c>
      <c r="N155" s="1267" t="s">
        <v>805</v>
      </c>
      <c r="O155" s="88">
        <f t="shared" si="10"/>
        <v>3</v>
      </c>
      <c r="P155" s="90">
        <v>4.0</v>
      </c>
      <c r="Q155" s="211">
        <v>45037.0</v>
      </c>
      <c r="R155" s="1097" t="b">
        <v>1</v>
      </c>
      <c r="S155" s="211">
        <v>45229.0</v>
      </c>
      <c r="T155" s="1097" t="b">
        <v>1</v>
      </c>
      <c r="U155" s="211">
        <v>45411.0</v>
      </c>
      <c r="V155" s="1097" t="b">
        <v>1</v>
      </c>
      <c r="W155" s="272"/>
      <c r="X155" s="109"/>
      <c r="Y155" s="106" t="b">
        <v>0</v>
      </c>
      <c r="Z155" s="272"/>
      <c r="AA155" s="1097"/>
      <c r="AB155" s="272"/>
      <c r="AC155" s="1097"/>
      <c r="AD155" s="272"/>
      <c r="AE155" s="1097"/>
      <c r="AF155" s="272"/>
      <c r="AG155" s="1097"/>
      <c r="AH155" s="1097"/>
      <c r="AI155" s="1097"/>
      <c r="AJ155" s="1097"/>
      <c r="AK155" s="1097"/>
      <c r="AL155" s="1260"/>
      <c r="AM155" s="792"/>
    </row>
    <row r="156" ht="27.75" hidden="1" customHeight="1">
      <c r="A156" s="60">
        <f t="shared" si="11"/>
        <v>50</v>
      </c>
      <c r="B156" s="1247" t="s">
        <v>871</v>
      </c>
      <c r="C156" s="1248" t="s">
        <v>1077</v>
      </c>
      <c r="D156" s="1248" t="s">
        <v>1078</v>
      </c>
      <c r="E156" s="1248"/>
      <c r="F156" s="1249" t="s">
        <v>51</v>
      </c>
      <c r="G156" s="1250"/>
      <c r="H156" s="1251"/>
      <c r="I156" s="74"/>
      <c r="J156" s="74"/>
      <c r="K156" s="1252"/>
      <c r="L156" s="1246">
        <v>45941.0</v>
      </c>
      <c r="M156" s="84">
        <v>45463.0</v>
      </c>
      <c r="N156" s="1269" t="s">
        <v>146</v>
      </c>
      <c r="O156" s="88">
        <f t="shared" si="10"/>
        <v>1</v>
      </c>
      <c r="P156" s="90">
        <v>4.0</v>
      </c>
      <c r="Q156" s="211">
        <v>45463.0</v>
      </c>
      <c r="R156" s="1097" t="b">
        <v>1</v>
      </c>
      <c r="S156" s="211">
        <v>45576.0</v>
      </c>
      <c r="T156" s="1097" t="b">
        <v>0</v>
      </c>
      <c r="U156" s="211">
        <v>45758.0</v>
      </c>
      <c r="V156" s="1270" t="b">
        <v>0</v>
      </c>
      <c r="W156" s="272"/>
      <c r="X156" s="109"/>
      <c r="Y156" s="106" t="b">
        <v>0</v>
      </c>
      <c r="Z156" s="272"/>
      <c r="AA156" s="1097"/>
      <c r="AB156" s="272"/>
      <c r="AC156" s="1097"/>
      <c r="AD156" s="272"/>
      <c r="AE156" s="1097"/>
      <c r="AF156" s="272"/>
      <c r="AG156" s="1097"/>
      <c r="AH156" s="1097"/>
      <c r="AI156" s="1097"/>
      <c r="AJ156" s="1097"/>
      <c r="AK156" s="1097"/>
      <c r="AL156" s="1272"/>
      <c r="AM156" s="792"/>
    </row>
    <row r="157" ht="27.75" hidden="1" customHeight="1">
      <c r="A157" s="60">
        <f t="shared" si="11"/>
        <v>50</v>
      </c>
      <c r="B157" s="1247" t="s">
        <v>873</v>
      </c>
      <c r="C157" s="1248" t="s">
        <v>654</v>
      </c>
      <c r="D157" s="1248" t="s">
        <v>1080</v>
      </c>
      <c r="E157" s="1248"/>
      <c r="F157" s="1249" t="s">
        <v>51</v>
      </c>
      <c r="G157" s="1250" t="s">
        <v>1081</v>
      </c>
      <c r="H157" s="1251">
        <v>8.00784231E8</v>
      </c>
      <c r="I157" s="74"/>
      <c r="J157" s="74"/>
      <c r="K157" s="1252"/>
      <c r="L157" s="1246">
        <v>45948.0</v>
      </c>
      <c r="M157" s="84">
        <v>45848.0</v>
      </c>
      <c r="N157" s="139" t="s">
        <v>271</v>
      </c>
      <c r="O157" s="88">
        <f t="shared" si="10"/>
        <v>1</v>
      </c>
      <c r="P157" s="90">
        <v>4.0</v>
      </c>
      <c r="Q157" s="1086">
        <v>45483.0</v>
      </c>
      <c r="R157" s="647" t="b">
        <v>1</v>
      </c>
      <c r="S157" s="1086">
        <v>45671.0</v>
      </c>
      <c r="T157" s="647" t="b">
        <v>0</v>
      </c>
      <c r="U157" s="1086">
        <v>45846.0</v>
      </c>
      <c r="V157" s="649" t="b">
        <v>0</v>
      </c>
      <c r="W157" s="1088"/>
      <c r="X157" s="859"/>
      <c r="Y157" s="106" t="b">
        <v>0</v>
      </c>
      <c r="Z157" s="272"/>
      <c r="AA157" s="1097"/>
      <c r="AB157" s="272"/>
      <c r="AC157" s="1097"/>
      <c r="AD157" s="272"/>
      <c r="AE157" s="1097"/>
      <c r="AF157" s="272"/>
      <c r="AG157" s="1097"/>
      <c r="AH157" s="1097"/>
      <c r="AI157" s="1097"/>
      <c r="AJ157" s="1097"/>
      <c r="AK157" s="1097"/>
      <c r="AL157" s="1272"/>
      <c r="AM157" s="792"/>
    </row>
    <row r="158" ht="27.75" customHeight="1">
      <c r="A158" s="60">
        <f t="shared" si="11"/>
        <v>51</v>
      </c>
      <c r="B158" s="1273" t="s">
        <v>370</v>
      </c>
      <c r="C158" s="784" t="s">
        <v>738</v>
      </c>
      <c r="D158" s="1274"/>
      <c r="E158" s="1274"/>
      <c r="F158" s="1249" t="s">
        <v>51</v>
      </c>
      <c r="G158" s="1274"/>
      <c r="H158" s="1275" t="s">
        <v>742</v>
      </c>
      <c r="I158" s="1276"/>
      <c r="J158" s="1276"/>
      <c r="K158" s="1277"/>
      <c r="L158" s="1278">
        <v>46014.0</v>
      </c>
      <c r="M158" s="1277"/>
      <c r="N158" s="1279" t="s">
        <v>744</v>
      </c>
      <c r="O158" s="88">
        <f t="shared" si="10"/>
        <v>0</v>
      </c>
      <c r="P158" s="90">
        <v>4.0</v>
      </c>
      <c r="Q158" s="107">
        <v>45650.0</v>
      </c>
      <c r="R158" s="164" t="b">
        <v>0</v>
      </c>
      <c r="S158" s="92">
        <v>45832.0</v>
      </c>
      <c r="T158" s="103" t="b">
        <v>0</v>
      </c>
      <c r="U158" s="107">
        <v>46014.0</v>
      </c>
      <c r="V158" s="103" t="b">
        <v>0</v>
      </c>
      <c r="W158" s="107"/>
      <c r="X158" s="109"/>
      <c r="Y158" s="106" t="b">
        <v>0</v>
      </c>
      <c r="Z158" s="786"/>
      <c r="AA158" s="788"/>
      <c r="AB158" s="786"/>
      <c r="AC158" s="788"/>
      <c r="AD158" s="786"/>
      <c r="AE158" s="788"/>
      <c r="AF158" s="786"/>
      <c r="AG158" s="788"/>
      <c r="AH158" s="788"/>
      <c r="AI158" s="788"/>
      <c r="AJ158" s="788"/>
      <c r="AK158" s="788"/>
      <c r="AL158" s="791"/>
      <c r="AM158" s="855"/>
    </row>
    <row r="159" ht="27.75" customHeight="1">
      <c r="A159" s="60">
        <f t="shared" si="11"/>
        <v>52</v>
      </c>
      <c r="B159" s="1280" t="s">
        <v>1082</v>
      </c>
      <c r="C159" s="784" t="s">
        <v>1083</v>
      </c>
      <c r="D159" s="1282" t="s">
        <v>1084</v>
      </c>
      <c r="E159" s="1274"/>
      <c r="F159" s="1283"/>
      <c r="G159" s="1274"/>
      <c r="H159" s="1284"/>
      <c r="I159" s="1276"/>
      <c r="J159" s="1276"/>
      <c r="K159" s="1277"/>
      <c r="L159" s="1277"/>
      <c r="M159" s="1277"/>
      <c r="N159" s="1285"/>
      <c r="O159" s="88">
        <f t="shared" si="10"/>
        <v>0</v>
      </c>
      <c r="P159" s="90">
        <v>4.0</v>
      </c>
      <c r="Q159" s="713"/>
      <c r="R159" s="1286" t="b">
        <v>0</v>
      </c>
      <c r="S159" s="713"/>
      <c r="T159" s="1287" t="b">
        <v>0</v>
      </c>
      <c r="U159" s="713"/>
      <c r="V159" s="1288" t="b">
        <v>0</v>
      </c>
      <c r="W159" s="718"/>
      <c r="X159" s="109"/>
      <c r="Y159" s="106" t="b">
        <v>0</v>
      </c>
      <c r="Z159" s="786"/>
      <c r="AA159" s="788"/>
      <c r="AB159" s="786"/>
      <c r="AC159" s="788"/>
      <c r="AD159" s="786"/>
      <c r="AE159" s="788"/>
      <c r="AF159" s="786"/>
      <c r="AG159" s="788"/>
      <c r="AH159" s="788"/>
      <c r="AI159" s="788"/>
      <c r="AJ159" s="788"/>
      <c r="AK159" s="788"/>
      <c r="AL159" s="791"/>
      <c r="AM159" s="855"/>
    </row>
    <row r="160" ht="27.75" customHeight="1">
      <c r="A160" s="60">
        <f t="shared" si="11"/>
        <v>53</v>
      </c>
      <c r="B160" s="1280" t="s">
        <v>272</v>
      </c>
      <c r="C160" s="784" t="s">
        <v>111</v>
      </c>
      <c r="D160" s="1282" t="s">
        <v>333</v>
      </c>
      <c r="E160" s="1274"/>
      <c r="F160" s="1283"/>
      <c r="G160" s="1274"/>
      <c r="H160" s="1284"/>
      <c r="I160" s="1276"/>
      <c r="J160" s="1276"/>
      <c r="K160" s="1277"/>
      <c r="L160" s="1277"/>
      <c r="M160" s="1277"/>
      <c r="N160" s="1285"/>
      <c r="O160" s="88">
        <f t="shared" si="10"/>
        <v>0</v>
      </c>
      <c r="P160" s="90">
        <v>4.0</v>
      </c>
      <c r="Q160" s="713"/>
      <c r="R160" s="1286" t="b">
        <v>0</v>
      </c>
      <c r="S160" s="713"/>
      <c r="T160" s="1287" t="b">
        <v>0</v>
      </c>
      <c r="U160" s="713"/>
      <c r="V160" s="1288" t="b">
        <v>0</v>
      </c>
      <c r="W160" s="718"/>
      <c r="X160" s="109"/>
      <c r="Y160" s="106" t="b">
        <v>0</v>
      </c>
      <c r="Z160" s="786"/>
      <c r="AA160" s="788"/>
      <c r="AB160" s="786"/>
      <c r="AC160" s="788"/>
      <c r="AD160" s="786"/>
      <c r="AE160" s="788"/>
      <c r="AF160" s="786"/>
      <c r="AG160" s="788"/>
      <c r="AH160" s="788"/>
      <c r="AI160" s="788"/>
      <c r="AJ160" s="788"/>
      <c r="AK160" s="788"/>
      <c r="AL160" s="791"/>
      <c r="AM160" s="855"/>
    </row>
    <row r="161" ht="27.75" customHeight="1">
      <c r="A161" s="60">
        <f t="shared" si="11"/>
        <v>54</v>
      </c>
      <c r="B161" s="1280" t="s">
        <v>1085</v>
      </c>
      <c r="C161" s="784" t="s">
        <v>111</v>
      </c>
      <c r="D161" s="1282" t="s">
        <v>333</v>
      </c>
      <c r="E161" s="1274"/>
      <c r="F161" s="1283"/>
      <c r="G161" s="1274"/>
      <c r="H161" s="1284"/>
      <c r="I161" s="1276"/>
      <c r="J161" s="1276"/>
      <c r="K161" s="1277"/>
      <c r="L161" s="1277"/>
      <c r="M161" s="1277"/>
      <c r="N161" s="1285"/>
      <c r="O161" s="88">
        <f t="shared" si="10"/>
        <v>0</v>
      </c>
      <c r="P161" s="90">
        <v>4.0</v>
      </c>
      <c r="Q161" s="713"/>
      <c r="R161" s="1286" t="b">
        <v>0</v>
      </c>
      <c r="S161" s="713"/>
      <c r="T161" s="1287" t="b">
        <v>0</v>
      </c>
      <c r="U161" s="713"/>
      <c r="V161" s="1288" t="b">
        <v>0</v>
      </c>
      <c r="W161" s="718"/>
      <c r="X161" s="109"/>
      <c r="Y161" s="106" t="b">
        <v>0</v>
      </c>
      <c r="Z161" s="786"/>
      <c r="AA161" s="788"/>
      <c r="AB161" s="786"/>
      <c r="AC161" s="788"/>
      <c r="AD161" s="786"/>
      <c r="AE161" s="788"/>
      <c r="AF161" s="786"/>
      <c r="AG161" s="788"/>
      <c r="AH161" s="788"/>
      <c r="AI161" s="788"/>
      <c r="AJ161" s="788"/>
      <c r="AK161" s="788"/>
      <c r="AL161" s="791"/>
      <c r="AM161" s="855"/>
    </row>
    <row r="162" ht="27.75" customHeight="1">
      <c r="A162" s="60">
        <f t="shared" si="11"/>
        <v>55</v>
      </c>
      <c r="B162" s="1280" t="s">
        <v>1086</v>
      </c>
      <c r="C162" s="784" t="s">
        <v>498</v>
      </c>
      <c r="D162" s="1282" t="s">
        <v>1087</v>
      </c>
      <c r="E162" s="1274"/>
      <c r="F162" s="1283"/>
      <c r="G162" s="1274"/>
      <c r="H162" s="1284"/>
      <c r="I162" s="1276"/>
      <c r="J162" s="1276"/>
      <c r="K162" s="1277"/>
      <c r="L162" s="1277"/>
      <c r="M162" s="1277"/>
      <c r="N162" s="1285"/>
      <c r="O162" s="88">
        <f t="shared" si="10"/>
        <v>0</v>
      </c>
      <c r="P162" s="90">
        <v>4.0</v>
      </c>
      <c r="Q162" s="713"/>
      <c r="R162" s="1286" t="b">
        <v>0</v>
      </c>
      <c r="S162" s="713"/>
      <c r="T162" s="1287" t="b">
        <v>0</v>
      </c>
      <c r="U162" s="713"/>
      <c r="V162" s="1288" t="b">
        <v>0</v>
      </c>
      <c r="W162" s="718"/>
      <c r="X162" s="109"/>
      <c r="Y162" s="106" t="b">
        <v>0</v>
      </c>
      <c r="Z162" s="786"/>
      <c r="AA162" s="788"/>
      <c r="AB162" s="786"/>
      <c r="AC162" s="788"/>
      <c r="AD162" s="786"/>
      <c r="AE162" s="788"/>
      <c r="AF162" s="786"/>
      <c r="AG162" s="788"/>
      <c r="AH162" s="788"/>
      <c r="AI162" s="788"/>
      <c r="AJ162" s="788"/>
      <c r="AK162" s="788"/>
      <c r="AL162" s="791"/>
      <c r="AM162" s="855"/>
    </row>
    <row r="163" ht="27.75" customHeight="1">
      <c r="A163" s="60">
        <f t="shared" si="11"/>
        <v>56</v>
      </c>
      <c r="B163" s="1280" t="s">
        <v>682</v>
      </c>
      <c r="C163" s="784"/>
      <c r="D163" s="1274"/>
      <c r="E163" s="1274"/>
      <c r="F163" s="1283"/>
      <c r="G163" s="1274"/>
      <c r="H163" s="1284"/>
      <c r="I163" s="1276"/>
      <c r="J163" s="1276"/>
      <c r="K163" s="1277"/>
      <c r="L163" s="1277"/>
      <c r="M163" s="1277"/>
      <c r="N163" s="1285"/>
      <c r="O163" s="88">
        <f t="shared" si="10"/>
        <v>0</v>
      </c>
      <c r="P163" s="90">
        <v>4.0</v>
      </c>
      <c r="Q163" s="713"/>
      <c r="R163" s="1286" t="b">
        <v>0</v>
      </c>
      <c r="S163" s="713"/>
      <c r="T163" s="1287" t="b">
        <v>0</v>
      </c>
      <c r="U163" s="713"/>
      <c r="V163" s="1288" t="b">
        <v>0</v>
      </c>
      <c r="W163" s="718"/>
      <c r="X163" s="109"/>
      <c r="Y163" s="106" t="b">
        <v>0</v>
      </c>
      <c r="Z163" s="786"/>
      <c r="AA163" s="788"/>
      <c r="AB163" s="786"/>
      <c r="AC163" s="788"/>
      <c r="AD163" s="786"/>
      <c r="AE163" s="788"/>
      <c r="AF163" s="786"/>
      <c r="AG163" s="788"/>
      <c r="AH163" s="788"/>
      <c r="AI163" s="788"/>
      <c r="AJ163" s="788"/>
      <c r="AK163" s="788"/>
      <c r="AL163" s="791"/>
      <c r="AM163" s="855"/>
    </row>
    <row r="164" ht="27.75" customHeight="1">
      <c r="A164" s="60">
        <f t="shared" si="11"/>
        <v>57</v>
      </c>
      <c r="B164" s="1280" t="s">
        <v>1091</v>
      </c>
      <c r="C164" s="784" t="s">
        <v>1092</v>
      </c>
      <c r="D164" s="1282" t="s">
        <v>911</v>
      </c>
      <c r="E164" s="1274"/>
      <c r="F164" s="1283"/>
      <c r="G164" s="1274"/>
      <c r="H164" s="1284"/>
      <c r="I164" s="1276"/>
      <c r="J164" s="1276"/>
      <c r="K164" s="1277"/>
      <c r="L164" s="1277"/>
      <c r="M164" s="1277"/>
      <c r="N164" s="1285"/>
      <c r="O164" s="88">
        <f t="shared" si="10"/>
        <v>0</v>
      </c>
      <c r="P164" s="90">
        <v>4.0</v>
      </c>
      <c r="Q164" s="713"/>
      <c r="R164" s="1286" t="b">
        <v>0</v>
      </c>
      <c r="S164" s="713"/>
      <c r="T164" s="1287" t="b">
        <v>0</v>
      </c>
      <c r="U164" s="713"/>
      <c r="V164" s="1288" t="b">
        <v>0</v>
      </c>
      <c r="W164" s="718"/>
      <c r="X164" s="109"/>
      <c r="Y164" s="106" t="b">
        <v>0</v>
      </c>
      <c r="Z164" s="786"/>
      <c r="AA164" s="788"/>
      <c r="AB164" s="786"/>
      <c r="AC164" s="788"/>
      <c r="AD164" s="786"/>
      <c r="AE164" s="788"/>
      <c r="AF164" s="786"/>
      <c r="AG164" s="788"/>
      <c r="AH164" s="788"/>
      <c r="AI164" s="788"/>
      <c r="AJ164" s="788"/>
      <c r="AK164" s="788"/>
      <c r="AL164" s="791"/>
      <c r="AM164" s="855"/>
    </row>
    <row r="165" ht="28.5" customHeight="1">
      <c r="A165" s="60">
        <f t="shared" si="11"/>
        <v>58</v>
      </c>
      <c r="B165" s="1280" t="s">
        <v>130</v>
      </c>
      <c r="C165" s="784" t="s">
        <v>373</v>
      </c>
      <c r="D165" s="1282" t="s">
        <v>156</v>
      </c>
      <c r="E165" s="1274"/>
      <c r="F165" s="1283"/>
      <c r="G165" s="1274"/>
      <c r="H165" s="1284"/>
      <c r="I165" s="1276"/>
      <c r="J165" s="1276"/>
      <c r="K165" s="1277"/>
      <c r="L165" s="1277"/>
      <c r="M165" s="1277"/>
      <c r="N165" s="1285"/>
      <c r="O165" s="88">
        <f t="shared" si="10"/>
        <v>0</v>
      </c>
      <c r="P165" s="90">
        <v>4.0</v>
      </c>
      <c r="Q165" s="713"/>
      <c r="R165" s="1286" t="b">
        <v>0</v>
      </c>
      <c r="S165" s="713"/>
      <c r="T165" s="1287" t="b">
        <v>0</v>
      </c>
      <c r="U165" s="713"/>
      <c r="V165" s="1288" t="b">
        <v>0</v>
      </c>
      <c r="W165" s="718"/>
      <c r="X165" s="109"/>
      <c r="Y165" s="106" t="b">
        <v>0</v>
      </c>
      <c r="Z165" s="786"/>
      <c r="AA165" s="788"/>
      <c r="AB165" s="786"/>
      <c r="AC165" s="788"/>
      <c r="AD165" s="786"/>
      <c r="AE165" s="788"/>
      <c r="AF165" s="786"/>
      <c r="AG165" s="788"/>
      <c r="AH165" s="788"/>
      <c r="AI165" s="788"/>
      <c r="AJ165" s="788"/>
      <c r="AK165" s="788"/>
      <c r="AL165" s="791"/>
      <c r="AM165" s="855"/>
    </row>
    <row r="166" ht="28.5" customHeight="1">
      <c r="A166" s="60">
        <f t="shared" si="11"/>
        <v>59</v>
      </c>
      <c r="B166" s="1280" t="s">
        <v>715</v>
      </c>
      <c r="C166" s="784" t="s">
        <v>1083</v>
      </c>
      <c r="D166" s="1282" t="s">
        <v>1094</v>
      </c>
      <c r="E166" s="1274"/>
      <c r="F166" s="1283"/>
      <c r="G166" s="1274"/>
      <c r="H166" s="1284"/>
      <c r="I166" s="1276"/>
      <c r="J166" s="1276"/>
      <c r="K166" s="1277"/>
      <c r="L166" s="1277"/>
      <c r="M166" s="1277"/>
      <c r="N166" s="1285"/>
      <c r="O166" s="88">
        <f t="shared" si="10"/>
        <v>0</v>
      </c>
      <c r="P166" s="90">
        <v>4.0</v>
      </c>
      <c r="Q166" s="713"/>
      <c r="R166" s="1286" t="b">
        <v>0</v>
      </c>
      <c r="S166" s="713"/>
      <c r="T166" s="1287" t="b">
        <v>0</v>
      </c>
      <c r="U166" s="713"/>
      <c r="V166" s="1288" t="b">
        <v>0</v>
      </c>
      <c r="W166" s="718"/>
      <c r="X166" s="109"/>
      <c r="Y166" s="106" t="b">
        <v>0</v>
      </c>
      <c r="Z166" s="786"/>
      <c r="AA166" s="788"/>
      <c r="AB166" s="786"/>
      <c r="AC166" s="788"/>
      <c r="AD166" s="786"/>
      <c r="AE166" s="788"/>
      <c r="AF166" s="786"/>
      <c r="AG166" s="788"/>
      <c r="AH166" s="788"/>
      <c r="AI166" s="788"/>
      <c r="AJ166" s="788"/>
      <c r="AK166" s="788"/>
      <c r="AL166" s="791"/>
      <c r="AM166" s="855"/>
    </row>
    <row r="167" ht="28.5" customHeight="1">
      <c r="A167" s="60">
        <f t="shared" si="11"/>
        <v>60</v>
      </c>
      <c r="B167" s="1280" t="s">
        <v>1095</v>
      </c>
      <c r="C167" s="784" t="s">
        <v>1096</v>
      </c>
      <c r="D167" s="1282" t="s">
        <v>1097</v>
      </c>
      <c r="E167" s="1274"/>
      <c r="F167" s="1283"/>
      <c r="G167" s="1274"/>
      <c r="H167" s="1284"/>
      <c r="I167" s="1276"/>
      <c r="J167" s="1276"/>
      <c r="K167" s="1277"/>
      <c r="L167" s="1277"/>
      <c r="M167" s="1277"/>
      <c r="N167" s="1285"/>
      <c r="O167" s="88">
        <f t="shared" si="10"/>
        <v>0</v>
      </c>
      <c r="P167" s="90">
        <v>4.0</v>
      </c>
      <c r="Q167" s="713"/>
      <c r="R167" s="1286" t="b">
        <v>0</v>
      </c>
      <c r="S167" s="713"/>
      <c r="T167" s="1287" t="b">
        <v>0</v>
      </c>
      <c r="U167" s="713"/>
      <c r="V167" s="1288" t="b">
        <v>0</v>
      </c>
      <c r="W167" s="718"/>
      <c r="X167" s="109"/>
      <c r="Y167" s="106" t="b">
        <v>0</v>
      </c>
      <c r="Z167" s="786"/>
      <c r="AA167" s="788"/>
      <c r="AB167" s="786"/>
      <c r="AC167" s="788"/>
      <c r="AD167" s="786"/>
      <c r="AE167" s="788"/>
      <c r="AF167" s="786"/>
      <c r="AG167" s="788"/>
      <c r="AH167" s="788"/>
      <c r="AI167" s="788"/>
      <c r="AJ167" s="788"/>
      <c r="AK167" s="788"/>
      <c r="AL167" s="791"/>
      <c r="AM167" s="855"/>
    </row>
    <row r="168" ht="28.5" customHeight="1">
      <c r="A168" s="60">
        <f t="shared" si="11"/>
        <v>60</v>
      </c>
      <c r="B168" s="1280"/>
      <c r="C168" s="784"/>
      <c r="D168" s="1274"/>
      <c r="E168" s="1274"/>
      <c r="F168" s="1283"/>
      <c r="G168" s="1274"/>
      <c r="H168" s="1284"/>
      <c r="I168" s="1276"/>
      <c r="J168" s="1276"/>
      <c r="K168" s="1277"/>
      <c r="L168" s="1277"/>
      <c r="M168" s="1277"/>
      <c r="N168" s="1285"/>
      <c r="O168" s="88">
        <f t="shared" si="10"/>
        <v>0</v>
      </c>
      <c r="P168" s="90">
        <v>4.0</v>
      </c>
      <c r="Q168" s="713"/>
      <c r="R168" s="1286" t="b">
        <v>0</v>
      </c>
      <c r="S168" s="713"/>
      <c r="T168" s="1287" t="b">
        <v>0</v>
      </c>
      <c r="U168" s="713"/>
      <c r="V168" s="1288" t="b">
        <v>0</v>
      </c>
      <c r="W168" s="718"/>
      <c r="X168" s="109"/>
      <c r="Y168" s="106" t="b">
        <v>0</v>
      </c>
      <c r="Z168" s="786"/>
      <c r="AA168" s="788"/>
      <c r="AB168" s="786"/>
      <c r="AC168" s="788"/>
      <c r="AD168" s="786"/>
      <c r="AE168" s="788"/>
      <c r="AF168" s="786"/>
      <c r="AG168" s="788"/>
      <c r="AH168" s="788"/>
      <c r="AI168" s="788"/>
      <c r="AJ168" s="788"/>
      <c r="AK168" s="788"/>
      <c r="AL168" s="791"/>
      <c r="AM168" s="855"/>
    </row>
    <row r="169" ht="27.75" customHeight="1">
      <c r="A169" s="1305"/>
      <c r="B169" s="1306"/>
      <c r="C169" s="1307"/>
      <c r="D169" s="1307"/>
      <c r="E169" s="1307"/>
      <c r="F169" s="1308"/>
      <c r="G169" s="1307"/>
      <c r="H169" s="1309"/>
      <c r="I169" s="935"/>
      <c r="J169" s="935"/>
      <c r="K169" s="1310"/>
      <c r="L169" s="1310"/>
      <c r="M169" s="1310"/>
      <c r="N169" s="1310"/>
      <c r="O169" s="1311"/>
      <c r="P169" s="1312"/>
      <c r="Q169" s="1313"/>
      <c r="R169" s="1308" t="b">
        <v>0</v>
      </c>
      <c r="S169" s="1313"/>
      <c r="T169" s="1308" t="b">
        <v>0</v>
      </c>
      <c r="U169" s="1313"/>
      <c r="V169" s="1315" t="b">
        <v>0</v>
      </c>
      <c r="W169" s="1316"/>
      <c r="X169" s="1316"/>
      <c r="Y169" s="1317" t="b">
        <v>0</v>
      </c>
      <c r="Z169" s="1313"/>
      <c r="AA169" s="1174"/>
      <c r="AB169" s="1313"/>
      <c r="AC169" s="1174"/>
      <c r="AD169" s="1313"/>
      <c r="AE169" s="1174"/>
      <c r="AF169" s="1313"/>
      <c r="AG169" s="1174"/>
      <c r="AH169" s="1174"/>
      <c r="AI169" s="1174"/>
      <c r="AJ169" s="1174"/>
      <c r="AK169" s="1174"/>
      <c r="AL169" s="1307"/>
      <c r="AM169" s="792"/>
    </row>
  </sheetData>
  <autoFilter ref="$A$2:$AL$157">
    <filterColumn colId="1">
      <filters>
        <filter val="Mung Mun Co.,Ltd"/>
        <filter val="Len Peters"/>
        <filter val="Cherng 'Lay Condo and Villa 4"/>
        <filter val="Cherng 'Lay Condo and Villa 6"/>
        <filter val="Botanica Foresta D-21 - K.Coco"/>
        <filter val="Sole Mio Boutique Hotel and Wellness"/>
        <filter val="Seven's House"/>
        <filter val="Baan Por"/>
        <filter val="Chris Davies"/>
        <filter val="David Residence"/>
        <filter val="Kalima Patong  (60kW. &amp; 40kW)"/>
        <filter val="Suan luang Motorcycle"/>
        <filter val="Brent Cowey"/>
        <filter val="STAY Lobby"/>
        <filter val="Bangkok Motorcycle"/>
        <filter val="Gym Club Phuket"/>
        <filter val="Christian Hans"/>
        <filter val="Island Technology"/>
        <filter val="Suc-Cess 24 Hrs (Khun Priew)"/>
        <filter val="Som Apartment"/>
        <filter val="Baan Yamu - Club House"/>
        <filter val="Leonid's House"/>
        <filter val="Casabay A2"/>
        <filter val="Casabay A1"/>
        <filter val="Cherng 'Lay Condo and Villa 7 - Grigory"/>
        <filter val="Salamander Jewelry"/>
        <filter val="KMIT Construction CO.,Ltd."/>
        <filter val="Albatross Cafe Laguna"/>
        <filter val="Aquamaster Phuket"/>
        <filter val="Albatross  Pizza On Fire"/>
        <filter val="Simon's House"/>
        <filter val="AE Phuket Co.,Ltd."/>
        <filter val="Armin's House"/>
        <filter val="Summer Hotel"/>
        <filter val="Arann Massage &amp; Spa"/>
        <filter val="Alois Tschopp"/>
        <filter val="Headland Cape Yamu"/>
        <filter val="Jean Paul"/>
        <filter val="AC Consulting Group Co.,Ltd"/>
        <filter val="Erich Muller"/>
        <filter val="SC Food Supply (Cherngtalay)"/>
        <filter val="Chaiyapong Plastic (20 &amp; 40kW)"/>
        <filter val="DCS Associates Co.,Ltd"/>
        <filter val="Thierry Chaussé"/>
        <filter val="Shambala"/>
        <filter val="Alinda Villa 1"/>
        <filter val="STAY Fitness"/>
        <filter val="Marvin Kelly"/>
        <filter val="Bangtao Prime Lodge Co., Ltd."/>
        <filter val="Paul Lemon"/>
      </filters>
    </filterColumn>
    <sortState ref="A2:AL157">
      <sortCondition ref="A2:A157"/>
      <sortCondition ref="L2:L157"/>
      <sortCondition ref="B2:B157"/>
      <sortCondition ref="C2:C157"/>
      <sortCondition ref="D2:D157"/>
    </sortState>
  </autoFilter>
  <customSheetViews>
    <customSheetView guid="{53F73B74-79FC-4033-B99B-EE0ADA954C95}" filter="1" showAutoFilter="1">
      <autoFilter ref="$A$2:$AL$133">
        <sortState ref="A2:AL133">
          <sortCondition ref="A2:A133"/>
        </sortState>
      </autoFilter>
    </customSheetView>
    <customSheetView guid="{5DF2DC61-0997-469A-9C3E-DACAAA62DD4B}" filter="1" showAutoFilter="1">
      <autoFilter ref="$A$2:$AL$147">
        <sortState ref="A2:AL147">
          <sortCondition ref="A2:A147"/>
          <sortCondition ref="B2:B147"/>
        </sortState>
      </autoFilter>
    </customSheetView>
  </customSheetViews>
  <mergeCells count="8">
    <mergeCell ref="O2:P2"/>
    <mergeCell ref="Q2:R2"/>
    <mergeCell ref="S2:T2"/>
    <mergeCell ref="U2:V2"/>
    <mergeCell ref="Z2:AA2"/>
    <mergeCell ref="AB2:AC2"/>
    <mergeCell ref="AD2:AE2"/>
    <mergeCell ref="AF2:AG2"/>
  </mergeCells>
  <conditionalFormatting sqref="Q3:AL169 AM100">
    <cfRule type="cellIs" dxfId="0" priority="1" operator="equal">
      <formula>"TRUE"</formula>
    </cfRule>
  </conditionalFormatting>
  <conditionalFormatting sqref="Q3:AL169 AM100">
    <cfRule type="expression" dxfId="1" priority="2">
      <formula>AND(ISNUMBER(Q3),TRUNC(Q3)&lt;TODAY())</formula>
    </cfRule>
  </conditionalFormatting>
  <conditionalFormatting sqref="Q3:AL169 AM100">
    <cfRule type="expression" dxfId="2" priority="3">
      <formula>AND(ISNUMBER(Q3),TRUNC(Q3)&gt;TODAY())</formula>
    </cfRule>
  </conditionalFormatting>
  <conditionalFormatting sqref="I3:I40 I43:I51 I56:I59 I61 I71:I85 I88:I91 I93:I95 I98:I105 I107 I109:I169">
    <cfRule type="notContainsBlanks" dxfId="3" priority="4">
      <formula>LEN(TRIM(I3))&gt;0</formula>
    </cfRule>
  </conditionalFormatting>
  <conditionalFormatting sqref="L77">
    <cfRule type="notContainsBlanks" dxfId="3" priority="5">
      <formula>LEN(TRIM(L77))&gt;0</formula>
    </cfRule>
  </conditionalFormatting>
  <dataValidations>
    <dataValidation type="list" allowBlank="1" showErrorMessage="1" sqref="F3:F169">
      <formula1>"Send,Signed,Paid,Waiting,Not renew"</formula1>
    </dataValidation>
  </dataValidations>
  <hyperlinks>
    <hyperlink r:id="rId1" ref="E4"/>
    <hyperlink r:id="rId2" ref="I14"/>
    <hyperlink r:id="rId3" ref="I15"/>
    <hyperlink r:id="rId4" ref="E22"/>
    <hyperlink r:id="rId5" ref="E34"/>
    <hyperlink r:id="rId6" ref="J37"/>
    <hyperlink r:id="rId7" ref="I49"/>
    <hyperlink r:id="rId8" ref="E64"/>
    <hyperlink r:id="rId9" ref="E66"/>
    <hyperlink r:id="rId10" ref="E75"/>
    <hyperlink r:id="rId11" ref="E82"/>
    <hyperlink r:id="rId12" ref="E90"/>
    <hyperlink r:id="rId13" ref="E121"/>
    <hyperlink r:id="rId14" ref="E123"/>
    <hyperlink r:id="rId15" ref="E127"/>
  </hyperlinks>
  <printOptions horizontalCentered="1"/>
  <pageMargins bottom="0.75" footer="0.0" header="0.0" left="0.25" right="0.25" top="0.75"/>
  <pageSetup fitToHeight="0" paperSize="9" orientation="landscape"/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2" width="10.14"/>
    <col customWidth="1" min="3" max="3" width="37.71"/>
    <col customWidth="1" min="4" max="4" width="14.71"/>
    <col customWidth="1" min="5" max="5" width="19.43"/>
    <col customWidth="1" min="6" max="6" width="13.29"/>
    <col customWidth="1" min="7" max="7" width="23.86"/>
    <col customWidth="1" min="8" max="8" width="20.43"/>
    <col customWidth="1" min="9" max="9" width="7.29"/>
    <col customWidth="1" min="10" max="10" width="10.86"/>
    <col customWidth="1" min="11" max="11" width="11.29"/>
    <col customWidth="1" min="12" max="12" width="7.29"/>
    <col customWidth="1" min="13" max="13" width="11.29"/>
    <col customWidth="1" min="14" max="14" width="7.29"/>
    <col customWidth="1" min="15" max="15" width="11.29"/>
    <col customWidth="1" min="16" max="16" width="7.29"/>
    <col customWidth="1" min="17" max="17" width="11.29"/>
    <col customWidth="1" min="18" max="18" width="7.29"/>
    <col customWidth="1" min="19" max="19" width="11.29"/>
    <col customWidth="1" min="20" max="20" width="7.29"/>
    <col customWidth="1" min="21" max="21" width="11.29"/>
    <col customWidth="1" min="22" max="22" width="7.29"/>
    <col customWidth="1" min="23" max="23" width="13.0"/>
    <col customWidth="1" min="24" max="24" width="7.29"/>
    <col customWidth="1" min="25" max="25" width="13.29"/>
    <col customWidth="1" min="26" max="26" width="7.57"/>
    <col customWidth="1" min="27" max="27" width="13.0"/>
    <col customWidth="1" min="28" max="28" width="7.14"/>
    <col customWidth="1" min="29" max="29" width="13.0"/>
    <col customWidth="1" min="30" max="30" width="7.29"/>
    <col customWidth="1" min="31" max="31" width="43.0"/>
    <col customWidth="1" hidden="1" min="32" max="32" width="69.57"/>
  </cols>
  <sheetData>
    <row r="1">
      <c r="A1" s="1"/>
      <c r="B1" s="749"/>
      <c r="C1" s="750" t="s">
        <v>1</v>
      </c>
      <c r="D1" s="5" t="s">
        <v>2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21"/>
      <c r="AF1" s="14"/>
    </row>
    <row r="2" ht="7.5" customHeight="1">
      <c r="A2" s="1"/>
      <c r="B2" s="1" t="s">
        <v>0</v>
      </c>
      <c r="C2" s="1"/>
      <c r="D2" s="1"/>
      <c r="E2" s="1"/>
      <c r="F2" s="752"/>
      <c r="G2" s="6"/>
      <c r="H2" s="1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28.5" customHeight="1">
      <c r="A3" s="758" t="s">
        <v>717</v>
      </c>
      <c r="B3" s="760" t="s">
        <v>6</v>
      </c>
      <c r="C3" s="23" t="s">
        <v>4</v>
      </c>
      <c r="D3" s="23" t="s">
        <v>9</v>
      </c>
      <c r="E3" s="23" t="s">
        <v>718</v>
      </c>
      <c r="F3" s="762" t="s">
        <v>719</v>
      </c>
      <c r="G3" s="27" t="s">
        <v>10</v>
      </c>
      <c r="H3" s="29" t="s">
        <v>11</v>
      </c>
      <c r="I3" s="35" t="s">
        <v>15</v>
      </c>
      <c r="J3" s="21"/>
      <c r="K3" s="39" t="s">
        <v>18</v>
      </c>
      <c r="L3" s="21"/>
      <c r="M3" s="39" t="s">
        <v>24</v>
      </c>
      <c r="N3" s="21"/>
      <c r="O3" s="39" t="s">
        <v>26</v>
      </c>
      <c r="P3" s="21"/>
      <c r="Q3" s="39" t="s">
        <v>27</v>
      </c>
      <c r="R3" s="21"/>
      <c r="S3" s="39" t="s">
        <v>30</v>
      </c>
      <c r="T3" s="21"/>
      <c r="U3" s="39" t="s">
        <v>32</v>
      </c>
      <c r="V3" s="21"/>
      <c r="W3" s="39" t="s">
        <v>33</v>
      </c>
      <c r="X3" s="21"/>
      <c r="Y3" s="39" t="s">
        <v>35</v>
      </c>
      <c r="Z3" s="21"/>
      <c r="AA3" s="770" t="s">
        <v>38</v>
      </c>
      <c r="AB3" s="770"/>
      <c r="AC3" s="770" t="s">
        <v>40</v>
      </c>
      <c r="AD3" s="772"/>
      <c r="AE3" s="41" t="s">
        <v>39</v>
      </c>
      <c r="AF3" s="29" t="s">
        <v>12</v>
      </c>
    </row>
    <row r="4" ht="22.5" customHeight="1">
      <c r="A4" s="401">
        <v>61.0</v>
      </c>
      <c r="B4" s="60">
        <v>73.0</v>
      </c>
      <c r="C4" s="63" t="s">
        <v>731</v>
      </c>
      <c r="D4" s="64" t="s">
        <v>51</v>
      </c>
      <c r="E4" s="64"/>
      <c r="F4" s="782"/>
      <c r="G4" s="70" t="s">
        <v>67</v>
      </c>
      <c r="H4" s="71" t="s">
        <v>737</v>
      </c>
      <c r="I4" s="88">
        <f t="shared" ref="I4:I115" si="1">COUNTIFS(K4:AE4,"True")</f>
        <v>1</v>
      </c>
      <c r="J4" s="90">
        <v>4.0</v>
      </c>
      <c r="K4" s="92">
        <v>45246.0</v>
      </c>
      <c r="L4" s="98" t="b">
        <v>1</v>
      </c>
      <c r="M4" s="101">
        <v>45427.0</v>
      </c>
      <c r="N4" s="130" t="b">
        <v>0</v>
      </c>
      <c r="O4" s="101">
        <v>45550.0</v>
      </c>
      <c r="P4" s="130" t="b">
        <v>0</v>
      </c>
      <c r="Q4" s="107">
        <v>45731.0</v>
      </c>
      <c r="R4" s="106" t="b">
        <v>0</v>
      </c>
      <c r="S4" s="107"/>
      <c r="T4" s="106"/>
      <c r="U4" s="107"/>
      <c r="V4" s="106"/>
      <c r="W4" s="107"/>
      <c r="X4" s="106"/>
      <c r="Y4" s="107"/>
      <c r="Z4" s="106"/>
      <c r="AA4" s="107"/>
      <c r="AB4" s="106"/>
      <c r="AC4" s="107"/>
      <c r="AD4" s="106"/>
      <c r="AE4" s="116"/>
      <c r="AF4" s="118"/>
    </row>
    <row r="5" ht="22.5" customHeight="1">
      <c r="A5" s="401">
        <v>42.0</v>
      </c>
      <c r="B5" s="60">
        <v>70.0</v>
      </c>
      <c r="C5" s="70" t="s">
        <v>747</v>
      </c>
      <c r="D5" s="64" t="s">
        <v>51</v>
      </c>
      <c r="E5" s="64"/>
      <c r="F5" s="782"/>
      <c r="G5" s="70"/>
      <c r="H5" s="71" t="s">
        <v>73</v>
      </c>
      <c r="I5" s="88">
        <f t="shared" si="1"/>
        <v>1</v>
      </c>
      <c r="J5" s="90">
        <v>4.0</v>
      </c>
      <c r="K5" s="92">
        <v>45227.0</v>
      </c>
      <c r="L5" s="106" t="b">
        <v>1</v>
      </c>
      <c r="M5" s="171">
        <v>45440.0</v>
      </c>
      <c r="N5" s="99" t="b">
        <v>0</v>
      </c>
      <c r="O5" s="171">
        <v>45616.0</v>
      </c>
      <c r="P5" s="99" t="b">
        <v>0</v>
      </c>
      <c r="Q5" s="107">
        <v>45799.0</v>
      </c>
      <c r="R5" s="106" t="b">
        <v>0</v>
      </c>
      <c r="S5" s="107"/>
      <c r="T5" s="106"/>
      <c r="U5" s="107"/>
      <c r="V5" s="106"/>
      <c r="W5" s="107"/>
      <c r="X5" s="106"/>
      <c r="Y5" s="107"/>
      <c r="Z5" s="106"/>
      <c r="AA5" s="107"/>
      <c r="AB5" s="106"/>
      <c r="AC5" s="107"/>
      <c r="AD5" s="106"/>
      <c r="AE5" s="116"/>
      <c r="AF5" s="123" t="s">
        <v>361</v>
      </c>
    </row>
    <row r="6" ht="22.5" customHeight="1">
      <c r="A6" s="401">
        <v>24.0</v>
      </c>
      <c r="B6" s="60">
        <v>66.0</v>
      </c>
      <c r="C6" s="70" t="s">
        <v>751</v>
      </c>
      <c r="D6" s="64" t="s">
        <v>51</v>
      </c>
      <c r="E6" s="64"/>
      <c r="F6" s="782"/>
      <c r="G6" s="70" t="s">
        <v>671</v>
      </c>
      <c r="H6" s="71" t="s">
        <v>672</v>
      </c>
      <c r="I6" s="88">
        <f t="shared" si="1"/>
        <v>1</v>
      </c>
      <c r="J6" s="90">
        <v>4.0</v>
      </c>
      <c r="K6" s="211">
        <v>45226.0</v>
      </c>
      <c r="L6" s="106" t="b">
        <v>1</v>
      </c>
      <c r="M6" s="101">
        <v>45399.0</v>
      </c>
      <c r="N6" s="99" t="b">
        <v>0</v>
      </c>
      <c r="O6" s="101">
        <v>45582.0</v>
      </c>
      <c r="P6" s="99" t="b">
        <v>0</v>
      </c>
      <c r="Q6" s="107">
        <v>45764.0</v>
      </c>
      <c r="R6" s="106" t="b">
        <v>0</v>
      </c>
      <c r="S6" s="107"/>
      <c r="T6" s="106"/>
      <c r="U6" s="107"/>
      <c r="V6" s="106"/>
      <c r="W6" s="107"/>
      <c r="X6" s="106"/>
      <c r="Y6" s="107"/>
      <c r="Z6" s="106"/>
      <c r="AA6" s="107"/>
      <c r="AB6" s="106"/>
      <c r="AC6" s="107"/>
      <c r="AD6" s="106"/>
      <c r="AE6" s="116"/>
      <c r="AF6" s="220" t="s">
        <v>148</v>
      </c>
    </row>
    <row r="7" ht="22.5" customHeight="1">
      <c r="A7" s="401">
        <v>19.0</v>
      </c>
      <c r="B7" s="60">
        <v>67.0</v>
      </c>
      <c r="C7" s="70" t="s">
        <v>754</v>
      </c>
      <c r="D7" s="64" t="s">
        <v>51</v>
      </c>
      <c r="E7" s="64"/>
      <c r="F7" s="782"/>
      <c r="G7" s="70"/>
      <c r="H7" s="71"/>
      <c r="I7" s="88">
        <f t="shared" si="1"/>
        <v>1</v>
      </c>
      <c r="J7" s="90">
        <v>4.0</v>
      </c>
      <c r="K7" s="92">
        <v>45226.0</v>
      </c>
      <c r="L7" s="106" t="b">
        <v>1</v>
      </c>
      <c r="M7" s="101">
        <v>45400.0</v>
      </c>
      <c r="N7" s="99" t="b">
        <v>0</v>
      </c>
      <c r="O7" s="101">
        <v>45583.0</v>
      </c>
      <c r="P7" s="99" t="b">
        <v>0</v>
      </c>
      <c r="Q7" s="107">
        <v>45765.0</v>
      </c>
      <c r="R7" s="106" t="b">
        <v>0</v>
      </c>
      <c r="S7" s="107"/>
      <c r="T7" s="106"/>
      <c r="U7" s="107"/>
      <c r="V7" s="106"/>
      <c r="W7" s="107"/>
      <c r="X7" s="106"/>
      <c r="Y7" s="107"/>
      <c r="Z7" s="106"/>
      <c r="AA7" s="107"/>
      <c r="AB7" s="106"/>
      <c r="AC7" s="107"/>
      <c r="AD7" s="106"/>
      <c r="AE7" s="116"/>
      <c r="AF7" s="146" t="s">
        <v>106</v>
      </c>
    </row>
    <row r="8" ht="22.5" customHeight="1">
      <c r="A8" s="401">
        <v>31.0</v>
      </c>
      <c r="B8" s="60">
        <v>71.0</v>
      </c>
      <c r="C8" s="70" t="s">
        <v>755</v>
      </c>
      <c r="D8" s="64" t="s">
        <v>51</v>
      </c>
      <c r="E8" s="64"/>
      <c r="F8" s="782"/>
      <c r="G8" s="70" t="s">
        <v>756</v>
      </c>
      <c r="H8" s="71" t="s">
        <v>758</v>
      </c>
      <c r="I8" s="88">
        <f t="shared" si="1"/>
        <v>1</v>
      </c>
      <c r="J8" s="90">
        <v>4.0</v>
      </c>
      <c r="K8" s="211">
        <v>45227.0</v>
      </c>
      <c r="L8" s="106" t="b">
        <v>1</v>
      </c>
      <c r="M8" s="171">
        <v>45401.0</v>
      </c>
      <c r="N8" s="106" t="b">
        <v>0</v>
      </c>
      <c r="O8" s="171">
        <v>45584.0</v>
      </c>
      <c r="P8" s="99" t="b">
        <v>0</v>
      </c>
      <c r="Q8" s="107">
        <v>45766.0</v>
      </c>
      <c r="R8" s="106" t="b">
        <v>0</v>
      </c>
      <c r="S8" s="107"/>
      <c r="T8" s="106"/>
      <c r="U8" s="107"/>
      <c r="V8" s="106"/>
      <c r="W8" s="107"/>
      <c r="X8" s="106"/>
      <c r="Y8" s="107"/>
      <c r="Z8" s="106"/>
      <c r="AA8" s="107"/>
      <c r="AB8" s="106"/>
      <c r="AC8" s="107"/>
      <c r="AD8" s="106"/>
      <c r="AE8" s="116"/>
      <c r="AF8" s="123" t="s">
        <v>225</v>
      </c>
    </row>
    <row r="9" ht="22.5" customHeight="1">
      <c r="A9" s="401">
        <v>84.0</v>
      </c>
      <c r="B9" s="60">
        <v>68.0</v>
      </c>
      <c r="C9" s="813" t="s">
        <v>762</v>
      </c>
      <c r="D9" s="64" t="s">
        <v>51</v>
      </c>
      <c r="E9" s="64"/>
      <c r="F9" s="782"/>
      <c r="G9" s="70"/>
      <c r="H9" s="71" t="s">
        <v>143</v>
      </c>
      <c r="I9" s="88">
        <f t="shared" si="1"/>
        <v>1</v>
      </c>
      <c r="J9" s="90">
        <v>6.0</v>
      </c>
      <c r="K9" s="92">
        <v>45226.0</v>
      </c>
      <c r="L9" s="98" t="b">
        <v>1</v>
      </c>
      <c r="M9" s="101">
        <v>45401.0</v>
      </c>
      <c r="N9" s="130" t="b">
        <v>0</v>
      </c>
      <c r="O9" s="101">
        <v>45584.0</v>
      </c>
      <c r="P9" s="130" t="b">
        <v>0</v>
      </c>
      <c r="Q9" s="107">
        <v>45766.0</v>
      </c>
      <c r="R9" s="106" t="b">
        <v>0</v>
      </c>
      <c r="S9" s="107"/>
      <c r="T9" s="106"/>
      <c r="U9" s="107"/>
      <c r="V9" s="106"/>
      <c r="W9" s="107"/>
      <c r="X9" s="106"/>
      <c r="Y9" s="107"/>
      <c r="Z9" s="106"/>
      <c r="AA9" s="107"/>
      <c r="AB9" s="106"/>
      <c r="AC9" s="107"/>
      <c r="AD9" s="106"/>
      <c r="AE9" s="116"/>
      <c r="AF9" s="118"/>
    </row>
    <row r="10" ht="22.5" customHeight="1">
      <c r="A10" s="401">
        <v>85.0</v>
      </c>
      <c r="B10" s="60">
        <v>76.0</v>
      </c>
      <c r="C10" s="355" t="s">
        <v>765</v>
      </c>
      <c r="D10" s="821" t="s">
        <v>51</v>
      </c>
      <c r="E10" s="821"/>
      <c r="F10" s="824"/>
      <c r="G10" s="825"/>
      <c r="H10" s="811">
        <v>8.9454337E8</v>
      </c>
      <c r="I10" s="88">
        <f t="shared" si="1"/>
        <v>1</v>
      </c>
      <c r="J10" s="234">
        <v>4.0</v>
      </c>
      <c r="K10" s="576">
        <v>45268.0</v>
      </c>
      <c r="L10" s="814" t="b">
        <v>1</v>
      </c>
      <c r="M10" s="242">
        <v>45449.0</v>
      </c>
      <c r="N10" s="835" t="b">
        <v>0</v>
      </c>
      <c r="O10" s="242">
        <v>45632.0</v>
      </c>
      <c r="P10" s="835" t="b">
        <v>0</v>
      </c>
      <c r="Q10" s="242">
        <v>45817.0</v>
      </c>
      <c r="R10" s="237" t="b">
        <v>0</v>
      </c>
      <c r="S10" s="242"/>
      <c r="T10" s="237"/>
      <c r="U10" s="242"/>
      <c r="V10" s="237"/>
      <c r="W10" s="242"/>
      <c r="X10" s="237"/>
      <c r="Y10" s="107"/>
      <c r="Z10" s="106"/>
      <c r="AA10" s="107"/>
      <c r="AB10" s="106"/>
      <c r="AC10" s="242"/>
      <c r="AD10" s="237"/>
      <c r="AE10" s="244"/>
      <c r="AF10" s="118"/>
    </row>
    <row r="11" ht="22.5" customHeight="1">
      <c r="A11" s="401">
        <v>86.0</v>
      </c>
      <c r="B11" s="60">
        <v>69.0</v>
      </c>
      <c r="C11" s="362" t="s">
        <v>769</v>
      </c>
      <c r="D11" s="645" t="s">
        <v>51</v>
      </c>
      <c r="E11" s="645"/>
      <c r="F11" s="843"/>
      <c r="G11" s="362" t="s">
        <v>770</v>
      </c>
      <c r="H11" s="364" t="s">
        <v>169</v>
      </c>
      <c r="I11" s="88">
        <f t="shared" si="1"/>
        <v>1</v>
      </c>
      <c r="J11" s="90">
        <v>2.0</v>
      </c>
      <c r="K11" s="92">
        <v>45226.0</v>
      </c>
      <c r="L11" s="647" t="b">
        <v>1</v>
      </c>
      <c r="M11" s="101">
        <v>45384.0</v>
      </c>
      <c r="N11" s="649" t="b">
        <v>0</v>
      </c>
      <c r="O11" s="101"/>
      <c r="P11" s="649"/>
      <c r="Q11" s="107"/>
      <c r="R11" s="106"/>
      <c r="S11" s="107"/>
      <c r="T11" s="106"/>
      <c r="U11" s="107"/>
      <c r="V11" s="106"/>
      <c r="W11" s="107"/>
      <c r="X11" s="106"/>
      <c r="Y11" s="107"/>
      <c r="Z11" s="106"/>
      <c r="AA11" s="107"/>
      <c r="AB11" s="106"/>
      <c r="AC11" s="107"/>
      <c r="AD11" s="106"/>
      <c r="AE11" s="116"/>
      <c r="AF11" s="118"/>
    </row>
    <row r="12" ht="22.5" customHeight="1">
      <c r="A12" s="401">
        <v>44.0</v>
      </c>
      <c r="B12" s="60">
        <v>21.0</v>
      </c>
      <c r="C12" s="70" t="s">
        <v>252</v>
      </c>
      <c r="D12" s="265" t="s">
        <v>51</v>
      </c>
      <c r="E12" s="265"/>
      <c r="F12" s="845"/>
      <c r="G12" s="125" t="s">
        <v>253</v>
      </c>
      <c r="H12" s="266" t="s">
        <v>255</v>
      </c>
      <c r="I12" s="268">
        <f t="shared" si="1"/>
        <v>3</v>
      </c>
      <c r="J12" s="269">
        <v>4.0</v>
      </c>
      <c r="K12" s="272">
        <v>44774.0</v>
      </c>
      <c r="L12" s="164" t="b">
        <v>1</v>
      </c>
      <c r="M12" s="274">
        <v>44959.0</v>
      </c>
      <c r="N12" s="164" t="b">
        <v>1</v>
      </c>
      <c r="O12" s="274">
        <v>45166.0</v>
      </c>
      <c r="P12" s="164" t="b">
        <v>1</v>
      </c>
      <c r="Q12" s="107">
        <v>45348.0</v>
      </c>
      <c r="R12" s="164" t="b">
        <v>0</v>
      </c>
      <c r="S12" s="107"/>
      <c r="T12" s="106"/>
      <c r="U12" s="107"/>
      <c r="V12" s="106"/>
      <c r="W12" s="107"/>
      <c r="X12" s="164"/>
      <c r="Y12" s="107"/>
      <c r="Z12" s="106"/>
      <c r="AA12" s="107"/>
      <c r="AB12" s="106"/>
      <c r="AC12" s="107"/>
      <c r="AD12" s="164"/>
      <c r="AE12" s="848"/>
      <c r="AF12" s="106"/>
    </row>
    <row r="13" ht="22.5" customHeight="1">
      <c r="A13" s="401">
        <v>59.0</v>
      </c>
      <c r="B13" s="60">
        <v>29.0</v>
      </c>
      <c r="C13" s="63" t="s">
        <v>273</v>
      </c>
      <c r="D13" s="337" t="s">
        <v>51</v>
      </c>
      <c r="E13" s="556"/>
      <c r="F13" s="852"/>
      <c r="G13" s="63" t="s">
        <v>140</v>
      </c>
      <c r="H13" s="340" t="s">
        <v>141</v>
      </c>
      <c r="I13" s="88">
        <f t="shared" si="1"/>
        <v>3</v>
      </c>
      <c r="J13" s="90">
        <v>4.0</v>
      </c>
      <c r="K13" s="559">
        <v>44881.0</v>
      </c>
      <c r="L13" s="98" t="b">
        <v>1</v>
      </c>
      <c r="M13" s="101">
        <v>45037.0</v>
      </c>
      <c r="N13" s="98" t="b">
        <v>1</v>
      </c>
      <c r="O13" s="101">
        <v>45272.0</v>
      </c>
      <c r="P13" s="98" t="b">
        <v>1</v>
      </c>
      <c r="Q13" s="857">
        <v>45392.0</v>
      </c>
      <c r="R13" s="858" t="b">
        <v>0</v>
      </c>
      <c r="S13" s="859"/>
      <c r="T13" s="106" t="b">
        <v>0</v>
      </c>
      <c r="U13" s="107"/>
      <c r="V13" s="106" t="b">
        <v>0</v>
      </c>
      <c r="W13" s="107"/>
      <c r="X13" s="106"/>
      <c r="Y13" s="107"/>
      <c r="Z13" s="106"/>
      <c r="AA13" s="107"/>
      <c r="AB13" s="106"/>
      <c r="AC13" s="107"/>
      <c r="AD13" s="106"/>
      <c r="AE13" s="116"/>
      <c r="AF13" s="118"/>
    </row>
    <row r="14" ht="22.5" customHeight="1">
      <c r="A14" s="401">
        <v>81.0</v>
      </c>
      <c r="B14" s="60">
        <v>49.0</v>
      </c>
      <c r="C14" s="70" t="s">
        <v>779</v>
      </c>
      <c r="D14" s="64" t="s">
        <v>51</v>
      </c>
      <c r="E14" s="64"/>
      <c r="F14" s="782"/>
      <c r="G14" s="70" t="s">
        <v>780</v>
      </c>
      <c r="H14" s="71" t="s">
        <v>781</v>
      </c>
      <c r="I14" s="88">
        <f t="shared" si="1"/>
        <v>2</v>
      </c>
      <c r="J14" s="90">
        <v>4.0</v>
      </c>
      <c r="K14" s="92">
        <v>45037.0</v>
      </c>
      <c r="L14" s="98" t="b">
        <v>1</v>
      </c>
      <c r="M14" s="101">
        <v>45229.0</v>
      </c>
      <c r="N14" s="98" t="b">
        <v>1</v>
      </c>
      <c r="O14" s="101">
        <v>45404.0</v>
      </c>
      <c r="P14" s="98" t="b">
        <v>0</v>
      </c>
      <c r="Q14" s="107">
        <v>45586.0</v>
      </c>
      <c r="R14" s="164" t="b">
        <v>0</v>
      </c>
      <c r="S14" s="107"/>
      <c r="T14" s="106"/>
      <c r="U14" s="107"/>
      <c r="V14" s="106"/>
      <c r="W14" s="107"/>
      <c r="X14" s="106"/>
      <c r="Y14" s="107"/>
      <c r="Z14" s="106"/>
      <c r="AA14" s="107"/>
      <c r="AB14" s="106"/>
      <c r="AC14" s="107"/>
      <c r="AD14" s="106"/>
      <c r="AE14" s="288"/>
      <c r="AF14" s="118"/>
    </row>
    <row r="15" ht="22.5" customHeight="1">
      <c r="A15" s="401">
        <v>69.0</v>
      </c>
      <c r="B15" s="60">
        <v>4.0</v>
      </c>
      <c r="C15" s="861" t="s">
        <v>365</v>
      </c>
      <c r="D15" s="64" t="s">
        <v>786</v>
      </c>
      <c r="E15" s="64"/>
      <c r="F15" s="782"/>
      <c r="G15" s="70" t="s">
        <v>52</v>
      </c>
      <c r="H15" s="71"/>
      <c r="I15" s="88">
        <f t="shared" si="1"/>
        <v>2</v>
      </c>
      <c r="J15" s="90">
        <v>6.0</v>
      </c>
      <c r="K15" s="92">
        <v>44562.0</v>
      </c>
      <c r="L15" s="98" t="b">
        <v>1</v>
      </c>
      <c r="M15" s="101">
        <v>45085.0</v>
      </c>
      <c r="N15" s="98" t="b">
        <v>1</v>
      </c>
      <c r="O15" s="101">
        <v>45378.0</v>
      </c>
      <c r="P15" s="98" t="b">
        <v>0</v>
      </c>
      <c r="Q15" s="101">
        <v>45562.0</v>
      </c>
      <c r="R15" s="106" t="b">
        <v>0</v>
      </c>
      <c r="S15" s="101">
        <v>45743.0</v>
      </c>
      <c r="T15" s="106" t="b">
        <v>0</v>
      </c>
      <c r="U15" s="101">
        <v>45926.0</v>
      </c>
      <c r="V15" s="106" t="b">
        <v>0</v>
      </c>
      <c r="W15" s="107"/>
      <c r="X15" s="106"/>
      <c r="Y15" s="107"/>
      <c r="Z15" s="106"/>
      <c r="AA15" s="107"/>
      <c r="AB15" s="106"/>
      <c r="AC15" s="107"/>
      <c r="AD15" s="106"/>
      <c r="AE15" s="116" t="s">
        <v>58</v>
      </c>
      <c r="AF15" s="118"/>
    </row>
    <row r="16" ht="22.5" customHeight="1">
      <c r="A16" s="401">
        <v>72.0</v>
      </c>
      <c r="B16" s="60">
        <v>62.0</v>
      </c>
      <c r="C16" s="70" t="s">
        <v>61</v>
      </c>
      <c r="D16" s="64" t="s">
        <v>51</v>
      </c>
      <c r="E16" s="64"/>
      <c r="F16" s="782"/>
      <c r="G16" s="70"/>
      <c r="H16" s="71" t="s">
        <v>75</v>
      </c>
      <c r="I16" s="88">
        <f t="shared" si="1"/>
        <v>1</v>
      </c>
      <c r="J16" s="90">
        <v>4.0</v>
      </c>
      <c r="K16" s="92">
        <v>45211.0</v>
      </c>
      <c r="L16" s="98" t="b">
        <v>1</v>
      </c>
      <c r="M16" s="101">
        <v>45408.0</v>
      </c>
      <c r="N16" s="130" t="b">
        <v>0</v>
      </c>
      <c r="O16" s="101">
        <v>45590.0</v>
      </c>
      <c r="P16" s="130" t="b">
        <v>0</v>
      </c>
      <c r="Q16" s="107">
        <v>45804.0</v>
      </c>
      <c r="R16" s="106" t="b">
        <v>0</v>
      </c>
      <c r="S16" s="107"/>
      <c r="T16" s="106"/>
      <c r="U16" s="107"/>
      <c r="V16" s="106"/>
      <c r="W16" s="107"/>
      <c r="X16" s="106"/>
      <c r="Y16" s="107"/>
      <c r="Z16" s="106"/>
      <c r="AA16" s="107"/>
      <c r="AB16" s="106"/>
      <c r="AC16" s="107"/>
      <c r="AD16" s="106"/>
      <c r="AE16" s="116"/>
      <c r="AF16" s="118"/>
    </row>
    <row r="17" ht="22.5" customHeight="1">
      <c r="A17" s="401">
        <v>83.0</v>
      </c>
      <c r="B17" s="60">
        <v>90.0</v>
      </c>
      <c r="C17" s="70" t="s">
        <v>70</v>
      </c>
      <c r="D17" s="64" t="s">
        <v>51</v>
      </c>
      <c r="E17" s="64"/>
      <c r="F17" s="782"/>
      <c r="G17" s="70"/>
      <c r="H17" s="71"/>
      <c r="I17" s="88">
        <f t="shared" si="1"/>
        <v>0</v>
      </c>
      <c r="J17" s="90">
        <v>4.0</v>
      </c>
      <c r="K17" s="92">
        <v>45360.0</v>
      </c>
      <c r="L17" s="98" t="b">
        <v>0</v>
      </c>
      <c r="M17" s="101">
        <v>45544.0</v>
      </c>
      <c r="N17" s="98" t="b">
        <v>0</v>
      </c>
      <c r="O17" s="101">
        <v>45724.0</v>
      </c>
      <c r="P17" s="130" t="b">
        <v>0</v>
      </c>
      <c r="Q17" s="107">
        <v>45909.0</v>
      </c>
      <c r="R17" s="164" t="b">
        <v>0</v>
      </c>
      <c r="S17" s="107"/>
      <c r="T17" s="106"/>
      <c r="U17" s="107"/>
      <c r="V17" s="106"/>
      <c r="W17" s="107"/>
      <c r="X17" s="106"/>
      <c r="Y17" s="107"/>
      <c r="Z17" s="106"/>
      <c r="AA17" s="107"/>
      <c r="AB17" s="106"/>
      <c r="AC17" s="107"/>
      <c r="AD17" s="106"/>
      <c r="AE17" s="116"/>
      <c r="AF17" s="118"/>
    </row>
    <row r="18" ht="22.5" customHeight="1">
      <c r="A18" s="401">
        <v>1.0</v>
      </c>
      <c r="B18" s="60">
        <v>112.0</v>
      </c>
      <c r="C18" s="70" t="s">
        <v>81</v>
      </c>
      <c r="D18" s="64" t="s">
        <v>51</v>
      </c>
      <c r="E18" s="64"/>
      <c r="F18" s="782"/>
      <c r="G18" s="70"/>
      <c r="H18" s="71" t="s">
        <v>103</v>
      </c>
      <c r="I18" s="88">
        <f t="shared" si="1"/>
        <v>0</v>
      </c>
      <c r="J18" s="90">
        <v>4.0</v>
      </c>
      <c r="K18" s="92">
        <v>45397.0</v>
      </c>
      <c r="L18" s="98" t="b">
        <v>0</v>
      </c>
      <c r="M18" s="101">
        <v>45580.0</v>
      </c>
      <c r="N18" s="98" t="b">
        <v>0</v>
      </c>
      <c r="O18" s="101">
        <v>45762.0</v>
      </c>
      <c r="P18" s="130" t="b">
        <v>0</v>
      </c>
      <c r="Q18" s="107">
        <v>45945.0</v>
      </c>
      <c r="R18" s="164" t="b">
        <v>0</v>
      </c>
      <c r="S18" s="107"/>
      <c r="T18" s="106"/>
      <c r="U18" s="107"/>
      <c r="V18" s="106"/>
      <c r="W18" s="107"/>
      <c r="X18" s="106"/>
      <c r="Y18" s="107"/>
      <c r="Z18" s="106"/>
      <c r="AA18" s="107"/>
      <c r="AB18" s="106"/>
      <c r="AC18" s="107"/>
      <c r="AD18" s="106"/>
      <c r="AE18" s="116"/>
      <c r="AF18" s="118"/>
    </row>
    <row r="19" ht="22.5" customHeight="1">
      <c r="A19" s="401">
        <v>53.0</v>
      </c>
      <c r="B19" s="60">
        <v>92.0</v>
      </c>
      <c r="C19" s="70" t="s">
        <v>799</v>
      </c>
      <c r="D19" s="64" t="s">
        <v>51</v>
      </c>
      <c r="E19" s="64"/>
      <c r="F19" s="782"/>
      <c r="G19" s="70"/>
      <c r="H19" s="71"/>
      <c r="I19" s="88">
        <f t="shared" si="1"/>
        <v>0</v>
      </c>
      <c r="J19" s="90">
        <v>4.0</v>
      </c>
      <c r="K19" s="92">
        <v>45363.0</v>
      </c>
      <c r="L19" s="106" t="b">
        <v>0</v>
      </c>
      <c r="M19" s="101">
        <v>45547.0</v>
      </c>
      <c r="N19" s="106" t="b">
        <v>0</v>
      </c>
      <c r="O19" s="101">
        <v>45728.0</v>
      </c>
      <c r="P19" s="99" t="b">
        <v>0</v>
      </c>
      <c r="Q19" s="107">
        <v>45912.0</v>
      </c>
      <c r="R19" s="164" t="b">
        <v>0</v>
      </c>
      <c r="S19" s="107"/>
      <c r="T19" s="106"/>
      <c r="U19" s="107"/>
      <c r="V19" s="106"/>
      <c r="W19" s="107"/>
      <c r="X19" s="106"/>
      <c r="Y19" s="107"/>
      <c r="Z19" s="106"/>
      <c r="AA19" s="107"/>
      <c r="AB19" s="106"/>
      <c r="AC19" s="107"/>
      <c r="AD19" s="106"/>
      <c r="AE19" s="116"/>
      <c r="AF19" s="131"/>
    </row>
    <row r="20" ht="22.5" customHeight="1">
      <c r="A20" s="401">
        <v>62.0</v>
      </c>
      <c r="B20" s="60">
        <v>75.0</v>
      </c>
      <c r="C20" s="70" t="s">
        <v>800</v>
      </c>
      <c r="D20" s="64" t="s">
        <v>51</v>
      </c>
      <c r="E20" s="64"/>
      <c r="F20" s="782"/>
      <c r="G20" s="70" t="s">
        <v>132</v>
      </c>
      <c r="H20" s="71"/>
      <c r="I20" s="88">
        <f t="shared" si="1"/>
        <v>0</v>
      </c>
      <c r="J20" s="90">
        <v>4.0</v>
      </c>
      <c r="K20" s="92">
        <v>45265.0</v>
      </c>
      <c r="L20" s="130" t="b">
        <v>0</v>
      </c>
      <c r="M20" s="101">
        <v>45448.0</v>
      </c>
      <c r="N20" s="130" t="b">
        <v>0</v>
      </c>
      <c r="O20" s="101">
        <v>45631.0</v>
      </c>
      <c r="P20" s="130" t="b">
        <v>0</v>
      </c>
      <c r="Q20" s="107">
        <v>45813.0</v>
      </c>
      <c r="R20" s="106" t="b">
        <v>0</v>
      </c>
      <c r="S20" s="107"/>
      <c r="T20" s="106"/>
      <c r="U20" s="107"/>
      <c r="V20" s="106"/>
      <c r="W20" s="107"/>
      <c r="X20" s="106"/>
      <c r="Y20" s="107"/>
      <c r="Z20" s="106"/>
      <c r="AA20" s="107"/>
      <c r="AB20" s="106"/>
      <c r="AC20" s="107"/>
      <c r="AD20" s="106"/>
      <c r="AE20" s="116"/>
      <c r="AF20" s="118"/>
    </row>
    <row r="21" ht="22.5" customHeight="1">
      <c r="A21" s="401">
        <v>3.0</v>
      </c>
      <c r="B21" s="60">
        <v>82.0</v>
      </c>
      <c r="C21" s="70" t="s">
        <v>374</v>
      </c>
      <c r="D21" s="64" t="s">
        <v>51</v>
      </c>
      <c r="E21" s="64"/>
      <c r="F21" s="782"/>
      <c r="G21" s="70" t="s">
        <v>144</v>
      </c>
      <c r="H21" s="71"/>
      <c r="I21" s="88">
        <f t="shared" si="1"/>
        <v>0</v>
      </c>
      <c r="J21" s="90">
        <v>4.0</v>
      </c>
      <c r="K21" s="92">
        <v>45302.0</v>
      </c>
      <c r="L21" s="130" t="b">
        <v>0</v>
      </c>
      <c r="M21" s="101">
        <v>45422.0</v>
      </c>
      <c r="N21" s="130" t="b">
        <v>0</v>
      </c>
      <c r="O21" s="101">
        <v>45667.0</v>
      </c>
      <c r="P21" s="130" t="b">
        <v>0</v>
      </c>
      <c r="Q21" s="107">
        <v>45789.0</v>
      </c>
      <c r="R21" s="106" t="b">
        <v>0</v>
      </c>
      <c r="S21" s="107"/>
      <c r="T21" s="106"/>
      <c r="U21" s="107"/>
      <c r="V21" s="106"/>
      <c r="W21" s="107"/>
      <c r="X21" s="106"/>
      <c r="Y21" s="107"/>
      <c r="Z21" s="106"/>
      <c r="AA21" s="107"/>
      <c r="AB21" s="106"/>
      <c r="AC21" s="107"/>
      <c r="AD21" s="106"/>
      <c r="AE21" s="116"/>
      <c r="AF21" s="118"/>
    </row>
    <row r="22" ht="22.5" customHeight="1">
      <c r="A22" s="401">
        <v>9.0</v>
      </c>
      <c r="B22" s="60">
        <v>93.0</v>
      </c>
      <c r="C22" s="70" t="s">
        <v>803</v>
      </c>
      <c r="D22" s="64" t="s">
        <v>51</v>
      </c>
      <c r="E22" s="64"/>
      <c r="F22" s="782"/>
      <c r="G22" s="70"/>
      <c r="H22" s="71"/>
      <c r="I22" s="88">
        <f t="shared" si="1"/>
        <v>0</v>
      </c>
      <c r="J22" s="90">
        <v>4.0</v>
      </c>
      <c r="K22" s="92">
        <v>45364.0</v>
      </c>
      <c r="L22" s="106" t="b">
        <v>0</v>
      </c>
      <c r="M22" s="101">
        <v>45548.0</v>
      </c>
      <c r="N22" s="106" t="b">
        <v>0</v>
      </c>
      <c r="O22" s="101">
        <v>45729.0</v>
      </c>
      <c r="P22" s="99" t="b">
        <v>0</v>
      </c>
      <c r="Q22" s="107">
        <v>45913.0</v>
      </c>
      <c r="R22" s="164" t="b">
        <v>0</v>
      </c>
      <c r="S22" s="107"/>
      <c r="T22" s="106"/>
      <c r="U22" s="107"/>
      <c r="V22" s="106"/>
      <c r="W22" s="107"/>
      <c r="X22" s="106"/>
      <c r="Y22" s="107"/>
      <c r="Z22" s="106"/>
      <c r="AA22" s="107"/>
      <c r="AB22" s="106"/>
      <c r="AC22" s="107"/>
      <c r="AD22" s="106"/>
      <c r="AE22" s="116"/>
      <c r="AF22" s="123" t="s">
        <v>87</v>
      </c>
    </row>
    <row r="23" ht="22.5" customHeight="1">
      <c r="A23" s="401">
        <v>13.0</v>
      </c>
      <c r="B23" s="60">
        <v>96.0</v>
      </c>
      <c r="C23" s="70" t="s">
        <v>147</v>
      </c>
      <c r="D23" s="64" t="s">
        <v>51</v>
      </c>
      <c r="E23" s="64"/>
      <c r="F23" s="782"/>
      <c r="G23" s="70" t="s">
        <v>157</v>
      </c>
      <c r="H23" s="71"/>
      <c r="I23" s="88">
        <f t="shared" si="1"/>
        <v>0</v>
      </c>
      <c r="J23" s="90">
        <v>4.0</v>
      </c>
      <c r="K23" s="211">
        <v>45376.0</v>
      </c>
      <c r="L23" s="106" t="b">
        <v>0</v>
      </c>
      <c r="M23" s="171">
        <v>45560.0</v>
      </c>
      <c r="N23" s="106" t="b">
        <v>0</v>
      </c>
      <c r="O23" s="171">
        <v>45741.0</v>
      </c>
      <c r="P23" s="99" t="b">
        <v>0</v>
      </c>
      <c r="Q23" s="107">
        <v>45925.0</v>
      </c>
      <c r="R23" s="164" t="b">
        <v>0</v>
      </c>
      <c r="S23" s="107"/>
      <c r="T23" s="106"/>
      <c r="U23" s="107"/>
      <c r="V23" s="106"/>
      <c r="W23" s="107"/>
      <c r="X23" s="106"/>
      <c r="Y23" s="107"/>
      <c r="Z23" s="106"/>
      <c r="AA23" s="107"/>
      <c r="AB23" s="106"/>
      <c r="AC23" s="107"/>
      <c r="AD23" s="106"/>
      <c r="AE23" s="116"/>
      <c r="AF23" s="335" t="s">
        <v>196</v>
      </c>
    </row>
    <row r="24" ht="22.5" customHeight="1">
      <c r="A24" s="401">
        <v>8.0</v>
      </c>
      <c r="B24" s="60">
        <v>98.0</v>
      </c>
      <c r="C24" s="70" t="s">
        <v>153</v>
      </c>
      <c r="D24" s="64" t="s">
        <v>51</v>
      </c>
      <c r="E24" s="64"/>
      <c r="F24" s="782"/>
      <c r="G24" s="70"/>
      <c r="H24" s="467"/>
      <c r="I24" s="88">
        <f t="shared" si="1"/>
        <v>0</v>
      </c>
      <c r="J24" s="90">
        <v>4.0</v>
      </c>
      <c r="K24" s="211">
        <v>45378.0</v>
      </c>
      <c r="L24" s="106" t="b">
        <v>0</v>
      </c>
      <c r="M24" s="171">
        <v>45562.0</v>
      </c>
      <c r="N24" s="106" t="b">
        <v>0</v>
      </c>
      <c r="O24" s="101">
        <v>45743.0</v>
      </c>
      <c r="P24" s="99" t="b">
        <v>0</v>
      </c>
      <c r="Q24" s="107">
        <v>45926.0</v>
      </c>
      <c r="R24" s="164" t="b">
        <v>0</v>
      </c>
      <c r="S24" s="107"/>
      <c r="T24" s="106"/>
      <c r="U24" s="107"/>
      <c r="V24" s="106"/>
      <c r="W24" s="107"/>
      <c r="X24" s="106"/>
      <c r="Y24" s="107"/>
      <c r="Z24" s="106"/>
      <c r="AA24" s="107"/>
      <c r="AB24" s="106"/>
      <c r="AC24" s="107"/>
      <c r="AD24" s="106"/>
      <c r="AE24" s="116"/>
      <c r="AF24" s="146" t="s">
        <v>107</v>
      </c>
    </row>
    <row r="25" ht="22.5" customHeight="1">
      <c r="A25" s="401">
        <v>12.0</v>
      </c>
      <c r="B25" s="60">
        <v>79.0</v>
      </c>
      <c r="C25" s="70" t="s">
        <v>161</v>
      </c>
      <c r="D25" s="64" t="s">
        <v>51</v>
      </c>
      <c r="E25" s="64"/>
      <c r="F25" s="782"/>
      <c r="G25" s="70" t="s">
        <v>193</v>
      </c>
      <c r="H25" s="71" t="s">
        <v>194</v>
      </c>
      <c r="I25" s="88">
        <f t="shared" si="1"/>
        <v>1</v>
      </c>
      <c r="J25" s="90">
        <v>4.0</v>
      </c>
      <c r="K25" s="92">
        <v>45299.0</v>
      </c>
      <c r="L25" s="106" t="b">
        <v>1</v>
      </c>
      <c r="M25" s="101">
        <v>45458.0</v>
      </c>
      <c r="N25" s="99" t="b">
        <v>0</v>
      </c>
      <c r="O25" s="101">
        <v>45643.0</v>
      </c>
      <c r="P25" s="99" t="b">
        <v>0</v>
      </c>
      <c r="Q25" s="107">
        <v>45825.0</v>
      </c>
      <c r="R25" s="106" t="b">
        <v>0</v>
      </c>
      <c r="S25" s="112"/>
      <c r="T25" s="106"/>
      <c r="U25" s="107"/>
      <c r="V25" s="106"/>
      <c r="W25" s="107"/>
      <c r="X25" s="106"/>
      <c r="Y25" s="107"/>
      <c r="Z25" s="106"/>
      <c r="AA25" s="107"/>
      <c r="AB25" s="106"/>
      <c r="AC25" s="107"/>
      <c r="AD25" s="106"/>
      <c r="AE25" s="116"/>
      <c r="AF25" s="123" t="s">
        <v>165</v>
      </c>
    </row>
    <row r="26" ht="22.5" customHeight="1">
      <c r="A26" s="401">
        <v>11.0</v>
      </c>
      <c r="B26" s="60">
        <v>53.0</v>
      </c>
      <c r="C26" s="70" t="s">
        <v>174</v>
      </c>
      <c r="D26" s="64" t="s">
        <v>51</v>
      </c>
      <c r="E26" s="64"/>
      <c r="F26" s="782"/>
      <c r="G26" s="70"/>
      <c r="H26" s="71" t="s">
        <v>207</v>
      </c>
      <c r="I26" s="88">
        <f t="shared" si="1"/>
        <v>1</v>
      </c>
      <c r="J26" s="90">
        <v>4.0</v>
      </c>
      <c r="K26" s="211">
        <v>45083.0</v>
      </c>
      <c r="L26" s="106" t="b">
        <v>1</v>
      </c>
      <c r="M26" s="171">
        <v>45266.0</v>
      </c>
      <c r="N26" s="99" t="b">
        <v>0</v>
      </c>
      <c r="O26" s="92">
        <v>45449.0</v>
      </c>
      <c r="P26" s="437" t="b">
        <v>0</v>
      </c>
      <c r="Q26" s="107">
        <v>45632.0</v>
      </c>
      <c r="R26" s="106" t="b">
        <v>0</v>
      </c>
      <c r="S26" s="112"/>
      <c r="T26" s="106"/>
      <c r="U26" s="107"/>
      <c r="V26" s="106"/>
      <c r="W26" s="107"/>
      <c r="X26" s="106"/>
      <c r="Y26" s="107"/>
      <c r="Z26" s="106"/>
      <c r="AA26" s="107"/>
      <c r="AB26" s="106"/>
      <c r="AC26" s="107"/>
      <c r="AD26" s="106"/>
      <c r="AE26" s="262"/>
      <c r="AF26" s="220" t="s">
        <v>99</v>
      </c>
    </row>
    <row r="27" ht="22.5" customHeight="1">
      <c r="A27" s="401">
        <v>7.0</v>
      </c>
      <c r="B27" s="60">
        <v>47.0</v>
      </c>
      <c r="C27" s="70" t="s">
        <v>197</v>
      </c>
      <c r="D27" s="64" t="s">
        <v>51</v>
      </c>
      <c r="E27" s="64"/>
      <c r="F27" s="782"/>
      <c r="G27" s="70" t="s">
        <v>256</v>
      </c>
      <c r="H27" s="71" t="s">
        <v>257</v>
      </c>
      <c r="I27" s="88">
        <f t="shared" si="1"/>
        <v>2</v>
      </c>
      <c r="J27" s="90">
        <v>4.0</v>
      </c>
      <c r="K27" s="92">
        <v>45013.0</v>
      </c>
      <c r="L27" s="106" t="b">
        <v>1</v>
      </c>
      <c r="M27" s="101">
        <v>45227.0</v>
      </c>
      <c r="N27" s="106" t="b">
        <v>1</v>
      </c>
      <c r="O27" s="92">
        <v>45399.0</v>
      </c>
      <c r="P27" s="106" t="b">
        <v>0</v>
      </c>
      <c r="Q27" s="107">
        <v>45582.0</v>
      </c>
      <c r="R27" s="106" t="b">
        <v>0</v>
      </c>
      <c r="S27" s="112"/>
      <c r="T27" s="106"/>
      <c r="U27" s="107"/>
      <c r="V27" s="106"/>
      <c r="W27" s="107"/>
      <c r="X27" s="106"/>
      <c r="Y27" s="107"/>
      <c r="Z27" s="106"/>
      <c r="AA27" s="107"/>
      <c r="AB27" s="106"/>
      <c r="AC27" s="107"/>
      <c r="AD27" s="106"/>
      <c r="AE27" s="288"/>
      <c r="AF27" s="146" t="s">
        <v>127</v>
      </c>
    </row>
    <row r="28" ht="22.5" customHeight="1">
      <c r="A28" s="401">
        <v>17.0</v>
      </c>
      <c r="B28" s="60">
        <v>19.0</v>
      </c>
      <c r="C28" s="332" t="s">
        <v>200</v>
      </c>
      <c r="D28" s="324" t="s">
        <v>51</v>
      </c>
      <c r="E28" s="265"/>
      <c r="F28" s="845"/>
      <c r="G28" s="125" t="s">
        <v>395</v>
      </c>
      <c r="H28" s="448" t="s">
        <v>396</v>
      </c>
      <c r="I28" s="88">
        <f t="shared" si="1"/>
        <v>4</v>
      </c>
      <c r="J28" s="269">
        <v>6.0</v>
      </c>
      <c r="K28" s="112">
        <v>44676.0</v>
      </c>
      <c r="L28" s="164" t="b">
        <v>1</v>
      </c>
      <c r="M28" s="107">
        <v>44880.0</v>
      </c>
      <c r="N28" s="164" t="b">
        <v>1</v>
      </c>
      <c r="O28" s="112">
        <v>45120.0</v>
      </c>
      <c r="P28" s="164" t="b">
        <v>1</v>
      </c>
      <c r="Q28" s="107">
        <v>45295.0</v>
      </c>
      <c r="R28" s="164" t="b">
        <v>1</v>
      </c>
      <c r="S28" s="112">
        <v>45483.0</v>
      </c>
      <c r="T28" s="164" t="b">
        <v>0</v>
      </c>
      <c r="U28" s="107">
        <v>45670.0</v>
      </c>
      <c r="V28" s="164" t="b">
        <v>0</v>
      </c>
      <c r="W28" s="107"/>
      <c r="X28" s="164"/>
      <c r="Y28" s="107"/>
      <c r="Z28" s="106"/>
      <c r="AA28" s="107"/>
      <c r="AB28" s="106"/>
      <c r="AC28" s="107"/>
      <c r="AD28" s="164"/>
      <c r="AE28" s="344"/>
      <c r="AF28" s="146" t="s">
        <v>208</v>
      </c>
    </row>
    <row r="29" ht="22.5" customHeight="1">
      <c r="A29" s="401">
        <v>82.0</v>
      </c>
      <c r="B29" s="60">
        <v>94.0</v>
      </c>
      <c r="C29" s="70" t="s">
        <v>209</v>
      </c>
      <c r="D29" s="64" t="s">
        <v>51</v>
      </c>
      <c r="E29" s="64"/>
      <c r="F29" s="782"/>
      <c r="G29" s="70"/>
      <c r="H29" s="71"/>
      <c r="I29" s="88">
        <f t="shared" si="1"/>
        <v>0</v>
      </c>
      <c r="J29" s="90">
        <v>4.0</v>
      </c>
      <c r="K29" s="92">
        <v>45369.0</v>
      </c>
      <c r="L29" s="130" t="b">
        <v>0</v>
      </c>
      <c r="M29" s="101">
        <v>45551.0</v>
      </c>
      <c r="N29" s="130" t="b">
        <v>0</v>
      </c>
      <c r="O29" s="92">
        <v>45733.0</v>
      </c>
      <c r="P29" s="99" t="b">
        <v>0</v>
      </c>
      <c r="Q29" s="107">
        <v>45915.0</v>
      </c>
      <c r="R29" s="106" t="b">
        <v>0</v>
      </c>
      <c r="S29" s="112"/>
      <c r="T29" s="106"/>
      <c r="U29" s="107"/>
      <c r="V29" s="106"/>
      <c r="W29" s="107"/>
      <c r="X29" s="106"/>
      <c r="Y29" s="107"/>
      <c r="Z29" s="106"/>
      <c r="AA29" s="107"/>
      <c r="AB29" s="106"/>
      <c r="AC29" s="107"/>
      <c r="AD29" s="106"/>
      <c r="AE29" s="116"/>
      <c r="AF29" s="118"/>
    </row>
    <row r="30" ht="22.5" customHeight="1">
      <c r="A30" s="401">
        <v>2.0</v>
      </c>
      <c r="B30" s="60">
        <v>80.0</v>
      </c>
      <c r="C30" s="70" t="s">
        <v>210</v>
      </c>
      <c r="D30" s="64" t="s">
        <v>51</v>
      </c>
      <c r="E30" s="64"/>
      <c r="F30" s="782"/>
      <c r="G30" s="70" t="s">
        <v>287</v>
      </c>
      <c r="H30" s="71" t="s">
        <v>288</v>
      </c>
      <c r="I30" s="88">
        <f t="shared" si="1"/>
        <v>1</v>
      </c>
      <c r="J30" s="90">
        <v>4.0</v>
      </c>
      <c r="K30" s="92">
        <v>45299.0</v>
      </c>
      <c r="L30" s="98" t="b">
        <v>1</v>
      </c>
      <c r="M30" s="101">
        <v>45481.0</v>
      </c>
      <c r="N30" s="130" t="b">
        <v>0</v>
      </c>
      <c r="O30" s="92">
        <v>45665.0</v>
      </c>
      <c r="P30" s="99" t="b">
        <v>0</v>
      </c>
      <c r="Q30" s="107">
        <v>45846.0</v>
      </c>
      <c r="R30" s="106" t="b">
        <v>0</v>
      </c>
      <c r="S30" s="112"/>
      <c r="T30" s="106"/>
      <c r="U30" s="107"/>
      <c r="V30" s="106"/>
      <c r="W30" s="107"/>
      <c r="X30" s="106"/>
      <c r="Y30" s="107"/>
      <c r="Z30" s="106"/>
      <c r="AA30" s="107"/>
      <c r="AB30" s="106"/>
      <c r="AC30" s="107"/>
      <c r="AD30" s="106"/>
      <c r="AE30" s="116"/>
      <c r="AF30" s="384"/>
    </row>
    <row r="31" ht="22.5" customHeight="1">
      <c r="A31" s="401">
        <v>30.0</v>
      </c>
      <c r="B31" s="60">
        <v>42.0</v>
      </c>
      <c r="C31" s="70" t="s">
        <v>222</v>
      </c>
      <c r="D31" s="64" t="s">
        <v>51</v>
      </c>
      <c r="E31" s="64"/>
      <c r="F31" s="782"/>
      <c r="G31" s="70" t="s">
        <v>297</v>
      </c>
      <c r="H31" s="71" t="s">
        <v>412</v>
      </c>
      <c r="I31" s="88">
        <f t="shared" si="1"/>
        <v>2</v>
      </c>
      <c r="J31" s="90">
        <v>4.0</v>
      </c>
      <c r="K31" s="211">
        <v>44987.0</v>
      </c>
      <c r="L31" s="106" t="b">
        <v>1</v>
      </c>
      <c r="M31" s="171">
        <v>45184.0</v>
      </c>
      <c r="N31" s="106" t="b">
        <v>1</v>
      </c>
      <c r="O31" s="92">
        <v>45366.0</v>
      </c>
      <c r="P31" s="106" t="b">
        <v>0</v>
      </c>
      <c r="Q31" s="107">
        <v>45551.0</v>
      </c>
      <c r="R31" s="106" t="b">
        <v>0</v>
      </c>
      <c r="S31" s="112"/>
      <c r="T31" s="106"/>
      <c r="U31" s="107"/>
      <c r="V31" s="106"/>
      <c r="W31" s="107"/>
      <c r="X31" s="106"/>
      <c r="Y31" s="107"/>
      <c r="Z31" s="106"/>
      <c r="AA31" s="107"/>
      <c r="AB31" s="106"/>
      <c r="AC31" s="107"/>
      <c r="AD31" s="106"/>
      <c r="AE31" s="116"/>
      <c r="AF31" s="220" t="s">
        <v>211</v>
      </c>
    </row>
    <row r="32" ht="22.5" customHeight="1">
      <c r="A32" s="401">
        <v>45.0</v>
      </c>
      <c r="B32" s="60">
        <v>58.0</v>
      </c>
      <c r="C32" s="70" t="s">
        <v>231</v>
      </c>
      <c r="D32" s="64" t="s">
        <v>51</v>
      </c>
      <c r="E32" s="64"/>
      <c r="F32" s="782"/>
      <c r="G32" s="70"/>
      <c r="H32" s="71" t="s">
        <v>319</v>
      </c>
      <c r="I32" s="88">
        <f t="shared" si="1"/>
        <v>1</v>
      </c>
      <c r="J32" s="90">
        <v>2.0</v>
      </c>
      <c r="K32" s="92">
        <v>45148.0</v>
      </c>
      <c r="L32" s="106" t="b">
        <v>1</v>
      </c>
      <c r="M32" s="101">
        <v>45334.0</v>
      </c>
      <c r="N32" s="99" t="b">
        <v>0</v>
      </c>
      <c r="O32" s="101"/>
      <c r="P32" s="99"/>
      <c r="Q32" s="107"/>
      <c r="R32" s="106" t="b">
        <v>0</v>
      </c>
      <c r="S32" s="107"/>
      <c r="T32" s="106"/>
      <c r="U32" s="107"/>
      <c r="V32" s="106"/>
      <c r="W32" s="107"/>
      <c r="X32" s="106"/>
      <c r="Y32" s="107"/>
      <c r="Z32" s="106"/>
      <c r="AA32" s="107"/>
      <c r="AB32" s="106"/>
      <c r="AC32" s="107"/>
      <c r="AD32" s="106"/>
      <c r="AE32" s="116"/>
      <c r="AF32" s="146" t="s">
        <v>115</v>
      </c>
    </row>
    <row r="33" ht="22.5" customHeight="1">
      <c r="A33" s="401">
        <v>77.0</v>
      </c>
      <c r="B33" s="60">
        <v>9.0</v>
      </c>
      <c r="C33" s="70" t="s">
        <v>817</v>
      </c>
      <c r="D33" s="910" t="s">
        <v>51</v>
      </c>
      <c r="E33" s="914">
        <v>45344.0</v>
      </c>
      <c r="F33" s="916">
        <v>20000.0</v>
      </c>
      <c r="G33" s="918" t="s">
        <v>220</v>
      </c>
      <c r="H33" s="919" t="s">
        <v>820</v>
      </c>
      <c r="I33" s="268">
        <f t="shared" si="1"/>
        <v>3</v>
      </c>
      <c r="J33" s="269">
        <v>6.0</v>
      </c>
      <c r="K33" s="112">
        <v>44562.0</v>
      </c>
      <c r="L33" s="339" t="b">
        <v>1</v>
      </c>
      <c r="M33" s="107">
        <v>45227.0</v>
      </c>
      <c r="N33" s="339" t="b">
        <v>1</v>
      </c>
      <c r="O33" s="101">
        <v>45379.0</v>
      </c>
      <c r="P33" s="98" t="b">
        <v>1</v>
      </c>
      <c r="Q33" s="101">
        <v>45555.0</v>
      </c>
      <c r="R33" s="106" t="b">
        <v>0</v>
      </c>
      <c r="S33" s="101">
        <v>45736.0</v>
      </c>
      <c r="T33" s="106" t="b">
        <v>0</v>
      </c>
      <c r="U33" s="101">
        <v>45922.0</v>
      </c>
      <c r="V33" s="106" t="b">
        <v>0</v>
      </c>
      <c r="W33" s="107"/>
      <c r="X33" s="106"/>
      <c r="Y33" s="107"/>
      <c r="Z33" s="106"/>
      <c r="AA33" s="107"/>
      <c r="AB33" s="106"/>
      <c r="AC33" s="107"/>
      <c r="AD33" s="106"/>
      <c r="AE33" s="283" t="s">
        <v>825</v>
      </c>
      <c r="AF33" s="245"/>
    </row>
    <row r="34" ht="22.5" customHeight="1">
      <c r="A34" s="401">
        <v>46.0</v>
      </c>
      <c r="B34" s="60">
        <v>37.0</v>
      </c>
      <c r="C34" s="936" t="s">
        <v>187</v>
      </c>
      <c r="D34" s="265" t="s">
        <v>51</v>
      </c>
      <c r="E34" s="265"/>
      <c r="F34" s="845"/>
      <c r="G34" s="125" t="s">
        <v>189</v>
      </c>
      <c r="H34" s="266" t="s">
        <v>190</v>
      </c>
      <c r="I34" s="268">
        <f t="shared" si="1"/>
        <v>4</v>
      </c>
      <c r="J34" s="269">
        <v>4.0</v>
      </c>
      <c r="K34" s="112">
        <v>44942.0</v>
      </c>
      <c r="L34" s="339" t="b">
        <v>1</v>
      </c>
      <c r="M34" s="107">
        <v>45226.0</v>
      </c>
      <c r="N34" s="339" t="b">
        <v>1</v>
      </c>
      <c r="O34" s="107">
        <v>45398.0</v>
      </c>
      <c r="P34" s="339" t="b">
        <v>1</v>
      </c>
      <c r="Q34" s="107">
        <v>45502.0</v>
      </c>
      <c r="R34" s="164" t="b">
        <v>1</v>
      </c>
      <c r="S34" s="107"/>
      <c r="T34" s="164"/>
      <c r="U34" s="107"/>
      <c r="V34" s="164"/>
      <c r="W34" s="107"/>
      <c r="X34" s="164"/>
      <c r="Y34" s="107"/>
      <c r="Z34" s="106"/>
      <c r="AA34" s="107"/>
      <c r="AB34" s="106"/>
      <c r="AC34" s="107"/>
      <c r="AD34" s="164"/>
      <c r="AE34" s="283"/>
      <c r="AF34" s="131"/>
    </row>
    <row r="35" ht="22.5" customHeight="1">
      <c r="A35" s="401">
        <v>58.0</v>
      </c>
      <c r="B35" s="60">
        <v>89.0</v>
      </c>
      <c r="C35" s="70" t="s">
        <v>321</v>
      </c>
      <c r="D35" s="64" t="s">
        <v>51</v>
      </c>
      <c r="E35" s="64"/>
      <c r="F35" s="782"/>
      <c r="G35" s="70"/>
      <c r="H35" s="71"/>
      <c r="I35" s="88">
        <f t="shared" si="1"/>
        <v>0</v>
      </c>
      <c r="J35" s="90">
        <v>4.0</v>
      </c>
      <c r="K35" s="92">
        <v>45359.0</v>
      </c>
      <c r="L35" s="106" t="b">
        <v>0</v>
      </c>
      <c r="M35" s="101">
        <v>45544.0</v>
      </c>
      <c r="N35" s="106" t="b">
        <v>0</v>
      </c>
      <c r="O35" s="101">
        <v>45723.0</v>
      </c>
      <c r="P35" s="99" t="b">
        <v>0</v>
      </c>
      <c r="Q35" s="107">
        <v>45908.0</v>
      </c>
      <c r="R35" s="164" t="b">
        <v>0</v>
      </c>
      <c r="S35" s="107"/>
      <c r="T35" s="106"/>
      <c r="U35" s="107"/>
      <c r="V35" s="106"/>
      <c r="W35" s="107"/>
      <c r="X35" s="106"/>
      <c r="Y35" s="107"/>
      <c r="Z35" s="106"/>
      <c r="AA35" s="107"/>
      <c r="AB35" s="106"/>
      <c r="AC35" s="107"/>
      <c r="AD35" s="106"/>
      <c r="AE35" s="116"/>
      <c r="AF35" s="118"/>
    </row>
    <row r="36" ht="22.5" customHeight="1">
      <c r="A36" s="401">
        <v>56.0</v>
      </c>
      <c r="B36" s="60">
        <v>61.0</v>
      </c>
      <c r="C36" s="70" t="s">
        <v>342</v>
      </c>
      <c r="D36" s="64" t="s">
        <v>51</v>
      </c>
      <c r="E36" s="64"/>
      <c r="F36" s="782"/>
      <c r="G36" s="70" t="s">
        <v>419</v>
      </c>
      <c r="H36" s="71"/>
      <c r="I36" s="88">
        <f t="shared" si="1"/>
        <v>0</v>
      </c>
      <c r="J36" s="90">
        <v>4.0</v>
      </c>
      <c r="K36" s="92">
        <v>45208.0</v>
      </c>
      <c r="L36" s="99" t="b">
        <v>0</v>
      </c>
      <c r="M36" s="171">
        <v>45334.0</v>
      </c>
      <c r="N36" s="99" t="b">
        <v>0</v>
      </c>
      <c r="O36" s="171">
        <v>45453.0</v>
      </c>
      <c r="P36" s="99" t="b">
        <v>0</v>
      </c>
      <c r="Q36" s="107">
        <v>45575.0</v>
      </c>
      <c r="R36" s="106" t="b">
        <v>0</v>
      </c>
      <c r="S36" s="107"/>
      <c r="T36" s="106"/>
      <c r="U36" s="107"/>
      <c r="V36" s="106"/>
      <c r="W36" s="107"/>
      <c r="X36" s="106"/>
      <c r="Y36" s="107"/>
      <c r="Z36" s="106"/>
      <c r="AA36" s="107"/>
      <c r="AB36" s="106"/>
      <c r="AC36" s="107"/>
      <c r="AD36" s="106"/>
      <c r="AE36" s="116"/>
      <c r="AF36" s="131"/>
    </row>
    <row r="37" ht="22.5" customHeight="1">
      <c r="A37" s="401">
        <v>67.0</v>
      </c>
      <c r="B37" s="60">
        <v>48.0</v>
      </c>
      <c r="C37" s="70" t="s">
        <v>350</v>
      </c>
      <c r="D37" s="64" t="s">
        <v>51</v>
      </c>
      <c r="E37" s="64"/>
      <c r="F37" s="782"/>
      <c r="G37" s="70" t="s">
        <v>467</v>
      </c>
      <c r="H37" s="71" t="s">
        <v>427</v>
      </c>
      <c r="I37" s="88">
        <f t="shared" si="1"/>
        <v>2</v>
      </c>
      <c r="J37" s="90">
        <v>4.0</v>
      </c>
      <c r="K37" s="92">
        <v>45019.0</v>
      </c>
      <c r="L37" s="98" t="b">
        <v>1</v>
      </c>
      <c r="M37" s="101">
        <v>45201.0</v>
      </c>
      <c r="N37" s="98" t="b">
        <v>1</v>
      </c>
      <c r="O37" s="101">
        <v>45386.0</v>
      </c>
      <c r="P37" s="98" t="b">
        <v>0</v>
      </c>
      <c r="Q37" s="107">
        <v>45569.0</v>
      </c>
      <c r="R37" s="106" t="b">
        <v>0</v>
      </c>
      <c r="S37" s="107"/>
      <c r="T37" s="106"/>
      <c r="U37" s="107"/>
      <c r="V37" s="106"/>
      <c r="W37" s="107"/>
      <c r="X37" s="106"/>
      <c r="Y37" s="107"/>
      <c r="Z37" s="106"/>
      <c r="AA37" s="107"/>
      <c r="AB37" s="106"/>
      <c r="AC37" s="107"/>
      <c r="AD37" s="106"/>
      <c r="AE37" s="288"/>
      <c r="AF37" s="118"/>
    </row>
    <row r="38" ht="22.5" customHeight="1">
      <c r="A38" s="401">
        <v>79.0</v>
      </c>
      <c r="B38" s="60">
        <v>35.0</v>
      </c>
      <c r="C38" s="70" t="s">
        <v>356</v>
      </c>
      <c r="D38" s="64" t="s">
        <v>51</v>
      </c>
      <c r="E38" s="64"/>
      <c r="F38" s="782"/>
      <c r="G38" s="70" t="s">
        <v>436</v>
      </c>
      <c r="H38" s="71" t="s">
        <v>437</v>
      </c>
      <c r="I38" s="88">
        <f t="shared" si="1"/>
        <v>2</v>
      </c>
      <c r="J38" s="90">
        <v>4.0</v>
      </c>
      <c r="K38" s="92">
        <v>44932.0</v>
      </c>
      <c r="L38" s="98" t="b">
        <v>1</v>
      </c>
      <c r="M38" s="101">
        <v>44675.0</v>
      </c>
      <c r="N38" s="98" t="b">
        <v>1</v>
      </c>
      <c r="O38" s="101">
        <v>45223.0</v>
      </c>
      <c r="P38" s="98" t="b">
        <v>0</v>
      </c>
      <c r="Q38" s="107">
        <v>45404.0</v>
      </c>
      <c r="R38" s="106" t="b">
        <v>0</v>
      </c>
      <c r="S38" s="107"/>
      <c r="T38" s="106"/>
      <c r="U38" s="107"/>
      <c r="V38" s="106"/>
      <c r="W38" s="107"/>
      <c r="X38" s="106"/>
      <c r="Y38" s="107"/>
      <c r="Z38" s="106"/>
      <c r="AA38" s="107"/>
      <c r="AB38" s="106"/>
      <c r="AC38" s="107"/>
      <c r="AD38" s="106"/>
      <c r="AE38" s="116"/>
      <c r="AF38" s="118"/>
    </row>
    <row r="39" ht="22.5" customHeight="1">
      <c r="A39" s="401">
        <v>43.0</v>
      </c>
      <c r="B39" s="60">
        <v>38.0</v>
      </c>
      <c r="C39" s="70" t="s">
        <v>205</v>
      </c>
      <c r="D39" s="64" t="s">
        <v>51</v>
      </c>
      <c r="E39" s="64"/>
      <c r="F39" s="782"/>
      <c r="G39" s="70"/>
      <c r="H39" s="71" t="s">
        <v>843</v>
      </c>
      <c r="I39" s="88">
        <f t="shared" si="1"/>
        <v>2</v>
      </c>
      <c r="J39" s="90">
        <v>4.0</v>
      </c>
      <c r="K39" s="92">
        <v>44942.0</v>
      </c>
      <c r="L39" s="106" t="b">
        <v>1</v>
      </c>
      <c r="M39" s="101">
        <v>45268.0</v>
      </c>
      <c r="N39" s="106" t="b">
        <v>1</v>
      </c>
      <c r="O39" s="101">
        <v>45386.0</v>
      </c>
      <c r="P39" s="106" t="b">
        <v>0</v>
      </c>
      <c r="Q39" s="107">
        <v>45569.0</v>
      </c>
      <c r="R39" s="106" t="b">
        <v>0</v>
      </c>
      <c r="S39" s="107"/>
      <c r="T39" s="106"/>
      <c r="U39" s="107"/>
      <c r="V39" s="106"/>
      <c r="W39" s="107"/>
      <c r="X39" s="106"/>
      <c r="Y39" s="107"/>
      <c r="Z39" s="106"/>
      <c r="AA39" s="107"/>
      <c r="AB39" s="106"/>
      <c r="AC39" s="107"/>
      <c r="AD39" s="106"/>
      <c r="AE39" s="288"/>
      <c r="AF39" s="146" t="s">
        <v>186</v>
      </c>
    </row>
    <row r="40" ht="22.5" customHeight="1">
      <c r="A40" s="401">
        <v>14.0</v>
      </c>
      <c r="B40" s="60">
        <v>8.0</v>
      </c>
      <c r="C40" s="70" t="s">
        <v>439</v>
      </c>
      <c r="D40" s="64" t="s">
        <v>51</v>
      </c>
      <c r="E40" s="64"/>
      <c r="F40" s="782"/>
      <c r="G40" s="70" t="s">
        <v>441</v>
      </c>
      <c r="H40" s="71" t="s">
        <v>442</v>
      </c>
      <c r="I40" s="88">
        <f t="shared" si="1"/>
        <v>2</v>
      </c>
      <c r="J40" s="90">
        <v>4.0</v>
      </c>
      <c r="K40" s="92">
        <v>44562.0</v>
      </c>
      <c r="L40" s="98" t="b">
        <v>1</v>
      </c>
      <c r="M40" s="101">
        <v>45091.0</v>
      </c>
      <c r="N40" s="98" t="b">
        <v>1</v>
      </c>
      <c r="O40" s="101">
        <v>45271.0</v>
      </c>
      <c r="P40" s="98" t="b">
        <v>0</v>
      </c>
      <c r="Q40" s="107">
        <v>45453.0</v>
      </c>
      <c r="R40" s="963"/>
      <c r="S40" s="280"/>
      <c r="T40" s="106"/>
      <c r="U40" s="107"/>
      <c r="V40" s="106"/>
      <c r="W40" s="107"/>
      <c r="X40" s="106"/>
      <c r="Y40" s="107"/>
      <c r="Z40" s="106"/>
      <c r="AA40" s="107"/>
      <c r="AB40" s="106"/>
      <c r="AC40" s="107"/>
      <c r="AD40" s="106"/>
      <c r="AE40" s="288"/>
      <c r="AF40" s="245"/>
    </row>
    <row r="41" ht="22.5" customHeight="1">
      <c r="A41" s="401">
        <v>55.0</v>
      </c>
      <c r="B41" s="60">
        <v>10.0</v>
      </c>
      <c r="C41" s="965" t="s">
        <v>386</v>
      </c>
      <c r="D41" s="64" t="s">
        <v>55</v>
      </c>
      <c r="E41" s="64"/>
      <c r="F41" s="782"/>
      <c r="G41" s="70" t="s">
        <v>445</v>
      </c>
      <c r="H41" s="71" t="s">
        <v>763</v>
      </c>
      <c r="I41" s="88">
        <f t="shared" si="1"/>
        <v>2</v>
      </c>
      <c r="J41" s="90">
        <v>2.0</v>
      </c>
      <c r="K41" s="92">
        <v>44562.0</v>
      </c>
      <c r="L41" s="106" t="b">
        <v>1</v>
      </c>
      <c r="M41" s="101">
        <v>45008.0</v>
      </c>
      <c r="N41" s="106" t="b">
        <v>1</v>
      </c>
      <c r="O41" s="101"/>
      <c r="P41" s="106"/>
      <c r="Q41" s="107"/>
      <c r="R41" s="106"/>
      <c r="S41" s="107"/>
      <c r="T41" s="106"/>
      <c r="U41" s="107"/>
      <c r="V41" s="106"/>
      <c r="W41" s="107"/>
      <c r="X41" s="106"/>
      <c r="Y41" s="107"/>
      <c r="Z41" s="106"/>
      <c r="AA41" s="107"/>
      <c r="AB41" s="106"/>
      <c r="AC41" s="107"/>
      <c r="AD41" s="106"/>
      <c r="AE41" s="297" t="s">
        <v>447</v>
      </c>
      <c r="AF41" s="146"/>
    </row>
    <row r="42" ht="22.5" customHeight="1">
      <c r="A42" s="401">
        <v>16.0</v>
      </c>
      <c r="B42" s="60">
        <v>6.0</v>
      </c>
      <c r="C42" s="70" t="s">
        <v>214</v>
      </c>
      <c r="D42" s="64" t="s">
        <v>51</v>
      </c>
      <c r="E42" s="64"/>
      <c r="F42" s="782"/>
      <c r="G42" s="70" t="s">
        <v>215</v>
      </c>
      <c r="H42" s="71" t="s">
        <v>216</v>
      </c>
      <c r="I42" s="88">
        <f t="shared" si="1"/>
        <v>3</v>
      </c>
      <c r="J42" s="90">
        <v>2.0</v>
      </c>
      <c r="K42" s="92">
        <v>44562.0</v>
      </c>
      <c r="L42" s="98" t="b">
        <v>1</v>
      </c>
      <c r="M42" s="101">
        <v>45008.0</v>
      </c>
      <c r="N42" s="98" t="b">
        <v>1</v>
      </c>
      <c r="O42" s="101">
        <v>45266.0</v>
      </c>
      <c r="P42" s="98" t="b">
        <v>1</v>
      </c>
      <c r="Q42" s="107">
        <v>45376.0</v>
      </c>
      <c r="R42" s="106" t="b">
        <v>0</v>
      </c>
      <c r="S42" s="107"/>
      <c r="T42" s="106"/>
      <c r="U42" s="107"/>
      <c r="V42" s="106"/>
      <c r="W42" s="107"/>
      <c r="X42" s="106"/>
      <c r="Y42" s="107"/>
      <c r="Z42" s="106"/>
      <c r="AA42" s="107"/>
      <c r="AB42" s="106"/>
      <c r="AC42" s="107"/>
      <c r="AD42" s="106"/>
      <c r="AE42" s="297" t="s">
        <v>224</v>
      </c>
      <c r="AF42" s="118"/>
    </row>
    <row r="43" ht="22.5" customHeight="1">
      <c r="A43" s="401">
        <v>10.0</v>
      </c>
      <c r="B43" s="60">
        <v>39.0</v>
      </c>
      <c r="C43" s="362" t="s">
        <v>449</v>
      </c>
      <c r="D43" s="64" t="s">
        <v>51</v>
      </c>
      <c r="E43" s="645"/>
      <c r="F43" s="843"/>
      <c r="G43" s="362" t="s">
        <v>450</v>
      </c>
      <c r="H43" s="364"/>
      <c r="I43" s="88">
        <f t="shared" si="1"/>
        <v>2</v>
      </c>
      <c r="J43" s="90">
        <v>4.0</v>
      </c>
      <c r="K43" s="92">
        <v>44949.0</v>
      </c>
      <c r="L43" s="647" t="b">
        <v>1</v>
      </c>
      <c r="M43" s="101">
        <v>45266.0</v>
      </c>
      <c r="N43" s="106" t="b">
        <v>1</v>
      </c>
      <c r="O43" s="101">
        <v>45313.0</v>
      </c>
      <c r="P43" s="647" t="b">
        <v>0</v>
      </c>
      <c r="Q43" s="107">
        <v>45558.0</v>
      </c>
      <c r="R43" s="106" t="b">
        <v>0</v>
      </c>
      <c r="S43" s="107"/>
      <c r="T43" s="106"/>
      <c r="U43" s="107"/>
      <c r="V43" s="106"/>
      <c r="W43" s="107"/>
      <c r="X43" s="106"/>
      <c r="Y43" s="107"/>
      <c r="Z43" s="106"/>
      <c r="AA43" s="107"/>
      <c r="AB43" s="106"/>
      <c r="AC43" s="107"/>
      <c r="AD43" s="106"/>
      <c r="AE43" s="288"/>
      <c r="AF43" s="118"/>
    </row>
    <row r="44" ht="22.5" customHeight="1">
      <c r="A44" s="401">
        <v>57.0</v>
      </c>
      <c r="B44" s="60">
        <v>44.0</v>
      </c>
      <c r="C44" s="70" t="s">
        <v>399</v>
      </c>
      <c r="D44" s="64" t="s">
        <v>51</v>
      </c>
      <c r="E44" s="64"/>
      <c r="F44" s="782"/>
      <c r="G44" s="70" t="s">
        <v>532</v>
      </c>
      <c r="H44" s="206" t="s">
        <v>866</v>
      </c>
      <c r="I44" s="88">
        <f t="shared" si="1"/>
        <v>1</v>
      </c>
      <c r="J44" s="90">
        <v>4.0</v>
      </c>
      <c r="K44" s="92">
        <v>45008.0</v>
      </c>
      <c r="L44" s="106" t="b">
        <v>1</v>
      </c>
      <c r="M44" s="171">
        <v>45306.0</v>
      </c>
      <c r="N44" s="106" t="b">
        <v>0</v>
      </c>
      <c r="O44" s="171">
        <v>45370.0</v>
      </c>
      <c r="P44" s="106" t="b">
        <v>0</v>
      </c>
      <c r="Q44" s="107">
        <v>45554.0</v>
      </c>
      <c r="R44" s="106" t="b">
        <v>0</v>
      </c>
      <c r="S44" s="107"/>
      <c r="T44" s="106"/>
      <c r="U44" s="107"/>
      <c r="V44" s="106"/>
      <c r="W44" s="107"/>
      <c r="X44" s="106"/>
      <c r="Y44" s="107"/>
      <c r="Z44" s="106"/>
      <c r="AA44" s="107"/>
      <c r="AB44" s="106"/>
      <c r="AC44" s="107"/>
      <c r="AD44" s="106"/>
      <c r="AE44" s="288"/>
      <c r="AF44" s="118"/>
    </row>
    <row r="45" ht="22.5" customHeight="1">
      <c r="A45" s="401">
        <v>4.0</v>
      </c>
      <c r="B45" s="60">
        <v>30.0</v>
      </c>
      <c r="C45" s="861" t="s">
        <v>404</v>
      </c>
      <c r="D45" s="265" t="s">
        <v>55</v>
      </c>
      <c r="E45" s="265"/>
      <c r="F45" s="845"/>
      <c r="G45" s="125"/>
      <c r="H45" s="266"/>
      <c r="I45" s="88">
        <f t="shared" si="1"/>
        <v>2</v>
      </c>
      <c r="J45" s="269">
        <v>4.0</v>
      </c>
      <c r="K45" s="988">
        <v>45120.0</v>
      </c>
      <c r="L45" s="106" t="b">
        <v>1</v>
      </c>
      <c r="M45" s="991">
        <v>45398.0</v>
      </c>
      <c r="N45" s="106" t="b">
        <v>1</v>
      </c>
      <c r="O45" s="994">
        <v>45516.0</v>
      </c>
      <c r="P45" s="106" t="b">
        <v>0</v>
      </c>
      <c r="Q45" s="994">
        <v>45636.0</v>
      </c>
      <c r="R45" s="106" t="b">
        <v>0</v>
      </c>
      <c r="S45" s="994">
        <v>45757.0</v>
      </c>
      <c r="T45" s="106" t="b">
        <v>0</v>
      </c>
      <c r="U45" s="994">
        <v>45880.0</v>
      </c>
      <c r="V45" s="106" t="b">
        <v>0</v>
      </c>
      <c r="W45" s="994">
        <v>46002.0</v>
      </c>
      <c r="X45" s="106" t="b">
        <v>0</v>
      </c>
      <c r="Y45" s="994">
        <v>46000.0</v>
      </c>
      <c r="Z45" s="106" t="b">
        <v>0</v>
      </c>
      <c r="AA45" s="1002">
        <v>46122.0</v>
      </c>
      <c r="AB45" s="106" t="b">
        <v>0</v>
      </c>
      <c r="AC45" s="1002">
        <v>46244.0</v>
      </c>
      <c r="AD45" s="106" t="b">
        <v>0</v>
      </c>
      <c r="AE45" s="283"/>
      <c r="AF45" s="401"/>
    </row>
    <row r="46" ht="22.5" customHeight="1">
      <c r="A46" s="401">
        <v>5.0</v>
      </c>
      <c r="B46" s="60">
        <v>36.0</v>
      </c>
      <c r="C46" s="70" t="s">
        <v>411</v>
      </c>
      <c r="D46" s="64" t="s">
        <v>51</v>
      </c>
      <c r="E46" s="64"/>
      <c r="F46" s="782"/>
      <c r="G46" s="70" t="s">
        <v>468</v>
      </c>
      <c r="H46" s="71" t="s">
        <v>469</v>
      </c>
      <c r="I46" s="88">
        <f t="shared" si="1"/>
        <v>2</v>
      </c>
      <c r="J46" s="90">
        <v>4.0</v>
      </c>
      <c r="K46" s="211">
        <v>44939.0</v>
      </c>
      <c r="L46" s="106" t="b">
        <v>1</v>
      </c>
      <c r="M46" s="211">
        <v>45180.0</v>
      </c>
      <c r="N46" s="106" t="b">
        <v>1</v>
      </c>
      <c r="O46" s="171">
        <v>45302.0</v>
      </c>
      <c r="P46" s="106" t="b">
        <v>0</v>
      </c>
      <c r="Q46" s="272">
        <v>45544.0</v>
      </c>
      <c r="R46" s="106" t="b">
        <v>0</v>
      </c>
      <c r="S46" s="272"/>
      <c r="T46" s="106"/>
      <c r="U46" s="272"/>
      <c r="V46" s="106"/>
      <c r="W46" s="272"/>
      <c r="X46" s="106"/>
      <c r="Y46" s="272"/>
      <c r="Z46" s="106"/>
      <c r="AA46" s="272"/>
      <c r="AB46" s="106"/>
      <c r="AC46" s="272"/>
      <c r="AD46" s="106"/>
      <c r="AE46" s="288"/>
      <c r="AF46" s="118"/>
    </row>
    <row r="47" ht="22.5" customHeight="1">
      <c r="A47" s="401">
        <v>6.0</v>
      </c>
      <c r="B47" s="60">
        <v>74.0</v>
      </c>
      <c r="C47" s="70" t="s">
        <v>413</v>
      </c>
      <c r="D47" s="64" t="s">
        <v>51</v>
      </c>
      <c r="E47" s="64"/>
      <c r="F47" s="782"/>
      <c r="G47" s="70" t="s">
        <v>582</v>
      </c>
      <c r="H47" s="71">
        <v>9.52565912E8</v>
      </c>
      <c r="I47" s="88">
        <f t="shared" si="1"/>
        <v>1</v>
      </c>
      <c r="J47" s="90">
        <v>4.0</v>
      </c>
      <c r="K47" s="92">
        <v>45255.0</v>
      </c>
      <c r="L47" s="106" t="b">
        <v>1</v>
      </c>
      <c r="M47" s="101">
        <v>45432.0</v>
      </c>
      <c r="N47" s="99" t="b">
        <v>0</v>
      </c>
      <c r="O47" s="101">
        <v>45617.0</v>
      </c>
      <c r="P47" s="99" t="b">
        <v>0</v>
      </c>
      <c r="Q47" s="107">
        <v>45798.0</v>
      </c>
      <c r="R47" s="106" t="b">
        <v>0</v>
      </c>
      <c r="S47" s="107"/>
      <c r="T47" s="106"/>
      <c r="U47" s="107"/>
      <c r="V47" s="106"/>
      <c r="W47" s="107"/>
      <c r="X47" s="106"/>
      <c r="Y47" s="107"/>
      <c r="Z47" s="106"/>
      <c r="AA47" s="107"/>
      <c r="AB47" s="106"/>
      <c r="AC47" s="107"/>
      <c r="AD47" s="106"/>
      <c r="AE47" s="116"/>
      <c r="AF47" s="146" t="s">
        <v>251</v>
      </c>
    </row>
    <row r="48" ht="22.5" customHeight="1">
      <c r="A48" s="401">
        <v>18.0</v>
      </c>
      <c r="B48" s="60">
        <v>55.0</v>
      </c>
      <c r="C48" s="70" t="s">
        <v>416</v>
      </c>
      <c r="D48" s="64" t="s">
        <v>51</v>
      </c>
      <c r="E48" s="64"/>
      <c r="F48" s="782"/>
      <c r="G48" s="70"/>
      <c r="H48" s="71" t="s">
        <v>477</v>
      </c>
      <c r="I48" s="88">
        <f t="shared" si="1"/>
        <v>2</v>
      </c>
      <c r="J48" s="90">
        <v>4.0</v>
      </c>
      <c r="K48" s="92">
        <v>45104.0</v>
      </c>
      <c r="L48" s="106" t="b">
        <v>1</v>
      </c>
      <c r="M48" s="101">
        <v>45280.0</v>
      </c>
      <c r="N48" s="106" t="b">
        <v>1</v>
      </c>
      <c r="O48" s="101">
        <v>45463.0</v>
      </c>
      <c r="P48" s="99" t="b">
        <v>0</v>
      </c>
      <c r="Q48" s="107">
        <v>45646.0</v>
      </c>
      <c r="R48" s="106" t="b">
        <v>0</v>
      </c>
      <c r="S48" s="107"/>
      <c r="T48" s="106"/>
      <c r="U48" s="107"/>
      <c r="V48" s="106"/>
      <c r="W48" s="107"/>
      <c r="X48" s="106"/>
      <c r="Y48" s="107"/>
      <c r="Z48" s="106"/>
      <c r="AA48" s="107"/>
      <c r="AB48" s="106"/>
      <c r="AC48" s="107"/>
      <c r="AD48" s="106"/>
      <c r="AE48" s="262"/>
      <c r="AF48" s="123" t="s">
        <v>62</v>
      </c>
    </row>
    <row r="49" ht="22.5" customHeight="1">
      <c r="A49" s="401">
        <v>20.0</v>
      </c>
      <c r="B49" s="60">
        <v>13.0</v>
      </c>
      <c r="C49" s="861" t="s">
        <v>428</v>
      </c>
      <c r="D49" s="1011" t="s">
        <v>55</v>
      </c>
      <c r="E49" s="1011"/>
      <c r="F49" s="1012">
        <v>15000.0</v>
      </c>
      <c r="G49" s="1013" t="s">
        <v>616</v>
      </c>
      <c r="H49" s="1015" t="s">
        <v>879</v>
      </c>
      <c r="I49" s="88">
        <f t="shared" si="1"/>
        <v>2</v>
      </c>
      <c r="J49" s="90">
        <v>6.0</v>
      </c>
      <c r="K49" s="92">
        <v>44562.0</v>
      </c>
      <c r="L49" s="106" t="b">
        <v>1</v>
      </c>
      <c r="M49" s="101">
        <v>45086.0</v>
      </c>
      <c r="N49" s="106" t="b">
        <v>1</v>
      </c>
      <c r="O49" s="101">
        <v>45371.0</v>
      </c>
      <c r="P49" s="106" t="b">
        <v>0</v>
      </c>
      <c r="Q49" s="101">
        <v>45555.0</v>
      </c>
      <c r="R49" s="106" t="b">
        <v>0</v>
      </c>
      <c r="S49" s="101">
        <v>45736.0</v>
      </c>
      <c r="T49" s="106" t="b">
        <v>0</v>
      </c>
      <c r="U49" s="101">
        <v>45922.0</v>
      </c>
      <c r="V49" s="106" t="b">
        <v>0</v>
      </c>
      <c r="W49" s="107"/>
      <c r="X49" s="106"/>
      <c r="Y49" s="107"/>
      <c r="Z49" s="106"/>
      <c r="AA49" s="107"/>
      <c r="AB49" s="106"/>
      <c r="AC49" s="107"/>
      <c r="AD49" s="106"/>
      <c r="AE49" s="116" t="s">
        <v>825</v>
      </c>
      <c r="AF49" s="123" t="s">
        <v>120</v>
      </c>
    </row>
    <row r="50" ht="22.5" customHeight="1">
      <c r="A50" s="401">
        <v>21.0</v>
      </c>
      <c r="B50" s="60">
        <v>14.0</v>
      </c>
      <c r="C50" s="70" t="s">
        <v>438</v>
      </c>
      <c r="D50" s="64" t="s">
        <v>51</v>
      </c>
      <c r="E50" s="64"/>
      <c r="F50" s="782"/>
      <c r="G50" s="70" t="s">
        <v>883</v>
      </c>
      <c r="H50" s="71">
        <v>8.98119674E8</v>
      </c>
      <c r="I50" s="88">
        <f t="shared" si="1"/>
        <v>3</v>
      </c>
      <c r="J50" s="90">
        <v>4.0</v>
      </c>
      <c r="K50" s="92">
        <v>44562.0</v>
      </c>
      <c r="L50" s="106" t="b">
        <v>1</v>
      </c>
      <c r="M50" s="101">
        <v>44562.0</v>
      </c>
      <c r="N50" s="106" t="b">
        <v>1</v>
      </c>
      <c r="O50" s="101">
        <v>45082.0</v>
      </c>
      <c r="P50" s="106" t="b">
        <v>1</v>
      </c>
      <c r="Q50" s="107">
        <v>45239.0</v>
      </c>
      <c r="R50" s="106" t="b">
        <v>0</v>
      </c>
      <c r="S50" s="107"/>
      <c r="T50" s="106" t="b">
        <v>0</v>
      </c>
      <c r="U50" s="107"/>
      <c r="V50" s="106" t="b">
        <v>0</v>
      </c>
      <c r="W50" s="107"/>
      <c r="X50" s="106"/>
      <c r="Y50" s="107"/>
      <c r="Z50" s="106"/>
      <c r="AA50" s="107"/>
      <c r="AB50" s="106"/>
      <c r="AC50" s="107"/>
      <c r="AD50" s="106"/>
      <c r="AE50" s="116" t="s">
        <v>885</v>
      </c>
      <c r="AF50" s="205" t="s">
        <v>133</v>
      </c>
    </row>
    <row r="51" ht="22.5" customHeight="1">
      <c r="A51" s="401">
        <v>22.0</v>
      </c>
      <c r="B51" s="60">
        <v>15.0</v>
      </c>
      <c r="C51" s="70" t="s">
        <v>485</v>
      </c>
      <c r="D51" s="301" t="s">
        <v>51</v>
      </c>
      <c r="E51" s="64"/>
      <c r="F51" s="782"/>
      <c r="G51" s="70" t="s">
        <v>148</v>
      </c>
      <c r="H51" s="71" t="s">
        <v>488</v>
      </c>
      <c r="I51" s="88">
        <f t="shared" si="1"/>
        <v>4</v>
      </c>
      <c r="J51" s="90">
        <v>8.0</v>
      </c>
      <c r="K51" s="92">
        <v>44562.0</v>
      </c>
      <c r="L51" s="98" t="b">
        <v>1</v>
      </c>
      <c r="M51" s="101">
        <v>44679.0</v>
      </c>
      <c r="N51" s="98" t="b">
        <v>1</v>
      </c>
      <c r="O51" s="101">
        <v>44876.0</v>
      </c>
      <c r="P51" s="98" t="b">
        <v>1</v>
      </c>
      <c r="Q51" s="101">
        <v>45055.0</v>
      </c>
      <c r="R51" s="106" t="b">
        <v>1</v>
      </c>
      <c r="S51" s="107">
        <v>45240.0</v>
      </c>
      <c r="T51" s="106" t="b">
        <v>0</v>
      </c>
      <c r="U51" s="107">
        <v>45488.0</v>
      </c>
      <c r="V51" s="106" t="b">
        <v>0</v>
      </c>
      <c r="W51" s="107">
        <v>45607.0</v>
      </c>
      <c r="X51" s="106" t="b">
        <v>0</v>
      </c>
      <c r="Y51" s="107">
        <v>45789.0</v>
      </c>
      <c r="Z51" s="106" t="b">
        <v>0</v>
      </c>
      <c r="AA51" s="107"/>
      <c r="AB51" s="106"/>
      <c r="AC51" s="107"/>
      <c r="AD51" s="106"/>
      <c r="AE51" s="679"/>
      <c r="AF51" s="245"/>
    </row>
    <row r="52" ht="22.5" customHeight="1">
      <c r="A52" s="401">
        <v>23.0</v>
      </c>
      <c r="B52" s="60">
        <v>104.0</v>
      </c>
      <c r="C52" s="70" t="s">
        <v>446</v>
      </c>
      <c r="D52" s="64" t="s">
        <v>51</v>
      </c>
      <c r="E52" s="64"/>
      <c r="F52" s="782"/>
      <c r="G52" s="70"/>
      <c r="H52" s="71"/>
      <c r="I52" s="88">
        <f t="shared" si="1"/>
        <v>0</v>
      </c>
      <c r="J52" s="90">
        <v>4.0</v>
      </c>
      <c r="K52" s="211">
        <v>45393.0</v>
      </c>
      <c r="L52" s="106" t="b">
        <v>0</v>
      </c>
      <c r="M52" s="101">
        <v>45576.0</v>
      </c>
      <c r="N52" s="106" t="b">
        <v>0</v>
      </c>
      <c r="O52" s="101">
        <v>45758.0</v>
      </c>
      <c r="P52" s="99" t="b">
        <v>0</v>
      </c>
      <c r="Q52" s="107">
        <v>45941.0</v>
      </c>
      <c r="R52" s="164" t="b">
        <v>0</v>
      </c>
      <c r="S52" s="107"/>
      <c r="T52" s="106"/>
      <c r="U52" s="107"/>
      <c r="V52" s="106"/>
      <c r="W52" s="107"/>
      <c r="X52" s="106"/>
      <c r="Y52" s="107"/>
      <c r="Z52" s="106"/>
      <c r="AA52" s="107"/>
      <c r="AB52" s="106"/>
      <c r="AC52" s="107"/>
      <c r="AD52" s="106"/>
      <c r="AE52" s="116"/>
      <c r="AF52" s="146" t="s">
        <v>164</v>
      </c>
    </row>
    <row r="53" ht="22.5" customHeight="1">
      <c r="A53" s="401">
        <v>26.0</v>
      </c>
      <c r="B53" s="60">
        <v>57.0</v>
      </c>
      <c r="C53" s="70" t="s">
        <v>475</v>
      </c>
      <c r="D53" s="64" t="s">
        <v>51</v>
      </c>
      <c r="E53" s="64"/>
      <c r="F53" s="782"/>
      <c r="G53" s="70" t="s">
        <v>491</v>
      </c>
      <c r="H53" s="71"/>
      <c r="I53" s="88">
        <f t="shared" si="1"/>
        <v>1</v>
      </c>
      <c r="J53" s="90">
        <v>4.0</v>
      </c>
      <c r="K53" s="211">
        <v>45139.0</v>
      </c>
      <c r="L53" s="106" t="b">
        <v>1</v>
      </c>
      <c r="M53" s="171">
        <v>45324.0</v>
      </c>
      <c r="N53" s="99" t="b">
        <v>0</v>
      </c>
      <c r="O53" s="171"/>
      <c r="P53" s="99" t="b">
        <v>0</v>
      </c>
      <c r="Q53" s="107"/>
      <c r="R53" s="106" t="b">
        <v>0</v>
      </c>
      <c r="S53" s="107"/>
      <c r="T53" s="106"/>
      <c r="U53" s="107"/>
      <c r="V53" s="106"/>
      <c r="W53" s="107"/>
      <c r="X53" s="106"/>
      <c r="Y53" s="107"/>
      <c r="Z53" s="106"/>
      <c r="AA53" s="107"/>
      <c r="AB53" s="106"/>
      <c r="AC53" s="107"/>
      <c r="AD53" s="106"/>
      <c r="AE53" s="116"/>
      <c r="AF53" s="123" t="s">
        <v>178</v>
      </c>
    </row>
    <row r="54" ht="22.5" customHeight="1">
      <c r="A54" s="401">
        <v>29.0</v>
      </c>
      <c r="B54" s="60">
        <v>16.0</v>
      </c>
      <c r="C54" s="70" t="s">
        <v>478</v>
      </c>
      <c r="D54" s="64" t="s">
        <v>51</v>
      </c>
      <c r="E54" s="64"/>
      <c r="F54" s="782"/>
      <c r="G54" s="70" t="s">
        <v>491</v>
      </c>
      <c r="H54" s="71" t="s">
        <v>661</v>
      </c>
      <c r="I54" s="88">
        <f t="shared" si="1"/>
        <v>4</v>
      </c>
      <c r="J54" s="90">
        <v>8.0</v>
      </c>
      <c r="K54" s="92">
        <v>44562.0</v>
      </c>
      <c r="L54" s="106" t="b">
        <v>1</v>
      </c>
      <c r="M54" s="101">
        <v>44562.0</v>
      </c>
      <c r="N54" s="106" t="b">
        <v>1</v>
      </c>
      <c r="O54" s="101">
        <v>44562.0</v>
      </c>
      <c r="P54" s="106" t="b">
        <v>1</v>
      </c>
      <c r="Q54" s="107">
        <v>45254.0</v>
      </c>
      <c r="R54" s="106" t="b">
        <v>1</v>
      </c>
      <c r="S54" s="107">
        <v>45371.0</v>
      </c>
      <c r="T54" s="106" t="b">
        <v>0</v>
      </c>
      <c r="U54" s="107">
        <v>45495.0</v>
      </c>
      <c r="V54" s="106" t="b">
        <v>0</v>
      </c>
      <c r="W54" s="107">
        <v>45618.0</v>
      </c>
      <c r="X54" s="106" t="b">
        <v>0</v>
      </c>
      <c r="Y54" s="107">
        <v>45740.0</v>
      </c>
      <c r="Z54" s="106" t="b">
        <v>0</v>
      </c>
      <c r="AA54" s="107"/>
      <c r="AB54" s="106"/>
      <c r="AC54" s="107"/>
      <c r="AD54" s="106"/>
      <c r="AE54" s="262"/>
      <c r="AF54" s="146" t="s">
        <v>88</v>
      </c>
    </row>
    <row r="55" ht="22.5" customHeight="1">
      <c r="A55" s="401">
        <v>36.0</v>
      </c>
      <c r="B55" s="60">
        <v>86.0</v>
      </c>
      <c r="C55" s="70" t="s">
        <v>495</v>
      </c>
      <c r="D55" s="64" t="s">
        <v>51</v>
      </c>
      <c r="E55" s="64"/>
      <c r="F55" s="782"/>
      <c r="G55" s="70" t="s">
        <v>491</v>
      </c>
      <c r="H55" s="71"/>
      <c r="I55" s="88">
        <f t="shared" si="1"/>
        <v>0</v>
      </c>
      <c r="J55" s="90">
        <v>4.0</v>
      </c>
      <c r="K55" s="211">
        <v>45309.0</v>
      </c>
      <c r="L55" s="99" t="b">
        <v>0</v>
      </c>
      <c r="M55" s="171">
        <v>45428.0</v>
      </c>
      <c r="N55" s="99" t="b">
        <v>0</v>
      </c>
      <c r="O55" s="171">
        <v>45916.0</v>
      </c>
      <c r="P55" s="99" t="b">
        <v>0</v>
      </c>
      <c r="Q55" s="107">
        <v>45672.0</v>
      </c>
      <c r="R55" s="106" t="b">
        <v>0</v>
      </c>
      <c r="S55" s="107"/>
      <c r="T55" s="106"/>
      <c r="U55" s="107"/>
      <c r="V55" s="106"/>
      <c r="W55" s="107"/>
      <c r="X55" s="106"/>
      <c r="Y55" s="107"/>
      <c r="Z55" s="106"/>
      <c r="AA55" s="107"/>
      <c r="AB55" s="106"/>
      <c r="AC55" s="107"/>
      <c r="AD55" s="106"/>
      <c r="AE55" s="116"/>
      <c r="AF55" s="346" t="s">
        <v>290</v>
      </c>
    </row>
    <row r="56" ht="22.5" customHeight="1">
      <c r="A56" s="401">
        <v>32.0</v>
      </c>
      <c r="B56" s="60">
        <v>97.0</v>
      </c>
      <c r="C56" s="70" t="s">
        <v>490</v>
      </c>
      <c r="D56" s="64" t="s">
        <v>51</v>
      </c>
      <c r="E56" s="64"/>
      <c r="F56" s="782"/>
      <c r="G56" s="70"/>
      <c r="H56" s="71"/>
      <c r="I56" s="88">
        <f t="shared" si="1"/>
        <v>0</v>
      </c>
      <c r="J56" s="90">
        <v>4.0</v>
      </c>
      <c r="K56" s="211">
        <v>45378.0</v>
      </c>
      <c r="L56" s="106" t="b">
        <v>0</v>
      </c>
      <c r="M56" s="171">
        <v>45562.0</v>
      </c>
      <c r="N56" s="106" t="b">
        <v>0</v>
      </c>
      <c r="O56" s="171">
        <v>45743.0</v>
      </c>
      <c r="P56" s="99" t="b">
        <v>0</v>
      </c>
      <c r="Q56" s="107">
        <v>45927.0</v>
      </c>
      <c r="R56" s="164" t="b">
        <v>0</v>
      </c>
      <c r="S56" s="107"/>
      <c r="T56" s="106"/>
      <c r="U56" s="107"/>
      <c r="V56" s="106"/>
      <c r="W56" s="107"/>
      <c r="X56" s="106"/>
      <c r="Y56" s="107"/>
      <c r="Z56" s="106"/>
      <c r="AA56" s="107"/>
      <c r="AB56" s="106"/>
      <c r="AC56" s="107"/>
      <c r="AD56" s="106"/>
      <c r="AE56" s="116"/>
      <c r="AF56" s="313"/>
    </row>
    <row r="57" ht="22.5" customHeight="1">
      <c r="A57" s="401">
        <v>33.0</v>
      </c>
      <c r="B57" s="60">
        <v>102.0</v>
      </c>
      <c r="C57" s="70" t="s">
        <v>500</v>
      </c>
      <c r="D57" s="64" t="s">
        <v>51</v>
      </c>
      <c r="E57" s="64"/>
      <c r="F57" s="782"/>
      <c r="G57" s="70"/>
      <c r="H57" s="71"/>
      <c r="I57" s="88">
        <f t="shared" si="1"/>
        <v>0</v>
      </c>
      <c r="J57" s="90">
        <v>4.0</v>
      </c>
      <c r="K57" s="211">
        <v>45393.0</v>
      </c>
      <c r="L57" s="106" t="b">
        <v>0</v>
      </c>
      <c r="M57" s="171">
        <v>45576.0</v>
      </c>
      <c r="N57" s="106" t="b">
        <v>0</v>
      </c>
      <c r="O57" s="171">
        <v>45758.0</v>
      </c>
      <c r="P57" s="99" t="b">
        <v>0</v>
      </c>
      <c r="Q57" s="107">
        <v>45941.0</v>
      </c>
      <c r="R57" s="164" t="b">
        <v>0</v>
      </c>
      <c r="S57" s="107"/>
      <c r="T57" s="106"/>
      <c r="U57" s="107"/>
      <c r="V57" s="106"/>
      <c r="W57" s="107"/>
      <c r="X57" s="106"/>
      <c r="Y57" s="107"/>
      <c r="Z57" s="106"/>
      <c r="AA57" s="107"/>
      <c r="AB57" s="106"/>
      <c r="AC57" s="107"/>
      <c r="AD57" s="106"/>
      <c r="AE57" s="116"/>
      <c r="AF57" s="220" t="s">
        <v>241</v>
      </c>
    </row>
    <row r="58" ht="22.5" customHeight="1">
      <c r="A58" s="401">
        <v>25.0</v>
      </c>
      <c r="B58" s="60">
        <v>81.0</v>
      </c>
      <c r="C58" s="70" t="s">
        <v>504</v>
      </c>
      <c r="D58" s="64" t="s">
        <v>51</v>
      </c>
      <c r="E58" s="64"/>
      <c r="F58" s="782"/>
      <c r="G58" s="70" t="s">
        <v>846</v>
      </c>
      <c r="H58" s="71" t="s">
        <v>848</v>
      </c>
      <c r="I58" s="88">
        <f t="shared" si="1"/>
        <v>1</v>
      </c>
      <c r="J58" s="90">
        <v>4.0</v>
      </c>
      <c r="K58" s="211">
        <v>45301.0</v>
      </c>
      <c r="L58" s="106" t="b">
        <v>1</v>
      </c>
      <c r="M58" s="171">
        <v>45450.0</v>
      </c>
      <c r="N58" s="99" t="b">
        <v>0</v>
      </c>
      <c r="O58" s="101">
        <v>45635.0</v>
      </c>
      <c r="P58" s="99" t="b">
        <v>0</v>
      </c>
      <c r="Q58" s="107">
        <v>45817.0</v>
      </c>
      <c r="R58" s="106" t="b">
        <v>0</v>
      </c>
      <c r="S58" s="107"/>
      <c r="T58" s="106"/>
      <c r="U58" s="107"/>
      <c r="V58" s="106"/>
      <c r="W58" s="107"/>
      <c r="X58" s="106"/>
      <c r="Y58" s="107"/>
      <c r="Z58" s="106"/>
      <c r="AA58" s="107"/>
      <c r="AB58" s="106"/>
      <c r="AC58" s="107"/>
      <c r="AD58" s="106"/>
      <c r="AE58" s="116"/>
      <c r="AF58" s="123" t="s">
        <v>172</v>
      </c>
    </row>
    <row r="59" ht="26.25" customHeight="1">
      <c r="A59" s="401">
        <v>34.0</v>
      </c>
      <c r="B59" s="60">
        <v>3.0</v>
      </c>
      <c r="C59" s="332" t="s">
        <v>506</v>
      </c>
      <c r="D59" s="64" t="s">
        <v>51</v>
      </c>
      <c r="E59" s="64"/>
      <c r="F59" s="782"/>
      <c r="G59" s="70" t="s">
        <v>508</v>
      </c>
      <c r="H59" s="71" t="s">
        <v>694</v>
      </c>
      <c r="I59" s="88">
        <f t="shared" si="1"/>
        <v>3</v>
      </c>
      <c r="J59" s="90">
        <v>6.0</v>
      </c>
      <c r="K59" s="211">
        <v>44562.0</v>
      </c>
      <c r="L59" s="106" t="b">
        <v>1</v>
      </c>
      <c r="M59" s="171">
        <v>44562.0</v>
      </c>
      <c r="N59" s="106" t="b">
        <v>1</v>
      </c>
      <c r="O59" s="171">
        <v>45120.0</v>
      </c>
      <c r="P59" s="106" t="b">
        <v>1</v>
      </c>
      <c r="Q59" s="107">
        <v>45308.0</v>
      </c>
      <c r="R59" s="106" t="b">
        <v>0</v>
      </c>
      <c r="S59" s="107">
        <v>45427.0</v>
      </c>
      <c r="T59" s="106" t="b">
        <v>0</v>
      </c>
      <c r="U59" s="107">
        <v>45611.0</v>
      </c>
      <c r="V59" s="106" t="b">
        <v>0</v>
      </c>
      <c r="W59" s="107"/>
      <c r="X59" s="106"/>
      <c r="Y59" s="107"/>
      <c r="Z59" s="106"/>
      <c r="AA59" s="107"/>
      <c r="AB59" s="106"/>
      <c r="AC59" s="107"/>
      <c r="AD59" s="106"/>
      <c r="AE59" s="288"/>
      <c r="AF59" s="346" t="s">
        <v>281</v>
      </c>
    </row>
    <row r="60" ht="22.5" customHeight="1">
      <c r="A60" s="401">
        <v>35.0</v>
      </c>
      <c r="B60" s="60">
        <v>7.0</v>
      </c>
      <c r="C60" s="70" t="s">
        <v>226</v>
      </c>
      <c r="D60" s="301" t="s">
        <v>51</v>
      </c>
      <c r="E60" s="301"/>
      <c r="F60" s="1050"/>
      <c r="G60" s="305"/>
      <c r="H60" s="307"/>
      <c r="I60" s="88">
        <f t="shared" si="1"/>
        <v>3</v>
      </c>
      <c r="J60" s="90">
        <v>4.0</v>
      </c>
      <c r="K60" s="92">
        <v>44562.0</v>
      </c>
      <c r="L60" s="98" t="b">
        <v>1</v>
      </c>
      <c r="M60" s="101">
        <v>44623.0</v>
      </c>
      <c r="N60" s="98" t="b">
        <v>1</v>
      </c>
      <c r="O60" s="101">
        <v>45264.0</v>
      </c>
      <c r="P60" s="98" t="b">
        <v>1</v>
      </c>
      <c r="Q60" s="107">
        <v>45385.0</v>
      </c>
      <c r="R60" s="106" t="b">
        <v>0</v>
      </c>
      <c r="S60" s="107"/>
      <c r="T60" s="106"/>
      <c r="U60" s="107"/>
      <c r="V60" s="106"/>
      <c r="W60" s="107"/>
      <c r="X60" s="106"/>
      <c r="Y60" s="107"/>
      <c r="Z60" s="106"/>
      <c r="AA60" s="107"/>
      <c r="AB60" s="106"/>
      <c r="AC60" s="107"/>
      <c r="AD60" s="106"/>
      <c r="AE60" s="116"/>
      <c r="AF60" s="118"/>
    </row>
    <row r="61" ht="22.5" customHeight="1">
      <c r="A61" s="401">
        <v>37.0</v>
      </c>
      <c r="B61" s="60">
        <v>50.0</v>
      </c>
      <c r="C61" s="70" t="s">
        <v>513</v>
      </c>
      <c r="D61" s="64" t="s">
        <v>51</v>
      </c>
      <c r="E61" s="64"/>
      <c r="F61" s="782"/>
      <c r="G61" s="70" t="s">
        <v>514</v>
      </c>
      <c r="H61" s="71" t="s">
        <v>515</v>
      </c>
      <c r="I61" s="88">
        <f t="shared" si="1"/>
        <v>1</v>
      </c>
      <c r="J61" s="90">
        <v>4.0</v>
      </c>
      <c r="K61" s="211">
        <v>45040.0</v>
      </c>
      <c r="L61" s="106" t="b">
        <v>1</v>
      </c>
      <c r="M61" s="171">
        <v>45250.0</v>
      </c>
      <c r="N61" s="1060" t="b">
        <v>0</v>
      </c>
      <c r="O61" s="171">
        <v>45404.0</v>
      </c>
      <c r="P61" s="1060" t="b">
        <v>0</v>
      </c>
      <c r="Q61" s="107">
        <v>45585.0</v>
      </c>
      <c r="R61" s="106" t="b">
        <v>0</v>
      </c>
      <c r="S61" s="107"/>
      <c r="T61" s="106"/>
      <c r="U61" s="107"/>
      <c r="V61" s="106"/>
      <c r="W61" s="107"/>
      <c r="X61" s="106"/>
      <c r="Y61" s="107"/>
      <c r="Z61" s="106"/>
      <c r="AA61" s="107"/>
      <c r="AB61" s="106"/>
      <c r="AC61" s="107"/>
      <c r="AD61" s="106"/>
      <c r="AE61" s="288"/>
      <c r="AF61" s="353" t="s">
        <v>302</v>
      </c>
    </row>
    <row r="62" ht="22.5" customHeight="1">
      <c r="A62" s="401">
        <v>15.0</v>
      </c>
      <c r="B62" s="60">
        <v>60.0</v>
      </c>
      <c r="C62" s="70" t="s">
        <v>108</v>
      </c>
      <c r="D62" s="64" t="s">
        <v>51</v>
      </c>
      <c r="E62" s="64"/>
      <c r="F62" s="782"/>
      <c r="G62" s="70"/>
      <c r="H62" s="71" t="s">
        <v>118</v>
      </c>
      <c r="I62" s="88">
        <f t="shared" si="1"/>
        <v>0</v>
      </c>
      <c r="J62" s="90">
        <v>4.0</v>
      </c>
      <c r="K62" s="92">
        <v>45154.0</v>
      </c>
      <c r="L62" s="99" t="b">
        <v>0</v>
      </c>
      <c r="M62" s="101">
        <v>45338.0</v>
      </c>
      <c r="N62" s="99" t="b">
        <v>0</v>
      </c>
      <c r="O62" s="101">
        <v>45520.0</v>
      </c>
      <c r="P62" s="99" t="b">
        <v>0</v>
      </c>
      <c r="Q62" s="107">
        <v>45698.0</v>
      </c>
      <c r="R62" s="106" t="b">
        <v>0</v>
      </c>
      <c r="S62" s="107"/>
      <c r="T62" s="106"/>
      <c r="U62" s="107"/>
      <c r="V62" s="106"/>
      <c r="W62" s="107"/>
      <c r="X62" s="106"/>
      <c r="Y62" s="107"/>
      <c r="Z62" s="106"/>
      <c r="AA62" s="107"/>
      <c r="AB62" s="106"/>
      <c r="AC62" s="107"/>
      <c r="AD62" s="106"/>
      <c r="AE62" s="116"/>
      <c r="AF62" s="146"/>
    </row>
    <row r="63" ht="22.5" customHeight="1">
      <c r="A63" s="401">
        <v>38.0</v>
      </c>
      <c r="B63" s="60">
        <v>40.0</v>
      </c>
      <c r="C63" s="70" t="s">
        <v>916</v>
      </c>
      <c r="D63" s="64" t="s">
        <v>51</v>
      </c>
      <c r="E63" s="64"/>
      <c r="F63" s="782"/>
      <c r="G63" s="70"/>
      <c r="H63" s="71" t="s">
        <v>917</v>
      </c>
      <c r="I63" s="88">
        <f t="shared" si="1"/>
        <v>1</v>
      </c>
      <c r="J63" s="90">
        <v>4.0</v>
      </c>
      <c r="K63" s="211">
        <v>44952.0</v>
      </c>
      <c r="L63" s="106" t="b">
        <v>1</v>
      </c>
      <c r="M63" s="171">
        <v>45117.0</v>
      </c>
      <c r="N63" s="99" t="b">
        <v>0</v>
      </c>
      <c r="O63" s="171">
        <v>45301.0</v>
      </c>
      <c r="P63" s="106" t="b">
        <v>0</v>
      </c>
      <c r="Q63" s="107">
        <v>45483.0</v>
      </c>
      <c r="R63" s="106" t="b">
        <v>0</v>
      </c>
      <c r="S63" s="107"/>
      <c r="T63" s="106"/>
      <c r="U63" s="107"/>
      <c r="V63" s="106"/>
      <c r="W63" s="107"/>
      <c r="X63" s="106"/>
      <c r="Y63" s="107"/>
      <c r="Z63" s="106"/>
      <c r="AA63" s="107"/>
      <c r="AB63" s="106"/>
      <c r="AC63" s="107"/>
      <c r="AD63" s="106"/>
      <c r="AE63" s="288"/>
      <c r="AF63" s="146" t="s">
        <v>347</v>
      </c>
    </row>
    <row r="64" ht="22.5" customHeight="1">
      <c r="A64" s="401">
        <v>39.0</v>
      </c>
      <c r="B64" s="60">
        <v>59.0</v>
      </c>
      <c r="C64" s="70" t="s">
        <v>522</v>
      </c>
      <c r="D64" s="64" t="s">
        <v>51</v>
      </c>
      <c r="E64" s="64"/>
      <c r="F64" s="782"/>
      <c r="G64" s="70" t="s">
        <v>523</v>
      </c>
      <c r="H64" s="71" t="s">
        <v>524</v>
      </c>
      <c r="I64" s="88">
        <f t="shared" si="1"/>
        <v>1</v>
      </c>
      <c r="J64" s="90">
        <v>4.0</v>
      </c>
      <c r="K64" s="92">
        <v>45153.0</v>
      </c>
      <c r="L64" s="106" t="b">
        <v>1</v>
      </c>
      <c r="M64" s="171">
        <v>45337.0</v>
      </c>
      <c r="N64" s="99" t="b">
        <v>0</v>
      </c>
      <c r="O64" s="101">
        <v>45516.0</v>
      </c>
      <c r="P64" s="99" t="b">
        <v>0</v>
      </c>
      <c r="Q64" s="107">
        <v>45699.0</v>
      </c>
      <c r="R64" s="106" t="b">
        <v>0</v>
      </c>
      <c r="S64" s="107"/>
      <c r="T64" s="106"/>
      <c r="U64" s="107"/>
      <c r="V64" s="106"/>
      <c r="W64" s="107"/>
      <c r="X64" s="106"/>
      <c r="Y64" s="107"/>
      <c r="Z64" s="106"/>
      <c r="AA64" s="107"/>
      <c r="AB64" s="106"/>
      <c r="AC64" s="107"/>
      <c r="AD64" s="106"/>
      <c r="AE64" s="116"/>
      <c r="AF64" s="146" t="s">
        <v>363</v>
      </c>
    </row>
    <row r="65" ht="22.5" customHeight="1">
      <c r="A65" s="401">
        <v>28.0</v>
      </c>
      <c r="B65" s="60">
        <v>108.0</v>
      </c>
      <c r="C65" s="70" t="s">
        <v>923</v>
      </c>
      <c r="D65" s="64" t="s">
        <v>51</v>
      </c>
      <c r="E65" s="64"/>
      <c r="F65" s="782"/>
      <c r="G65" s="70"/>
      <c r="H65" s="71"/>
      <c r="I65" s="88">
        <f t="shared" si="1"/>
        <v>0</v>
      </c>
      <c r="J65" s="90">
        <v>4.0</v>
      </c>
      <c r="K65" s="211">
        <v>45393.0</v>
      </c>
      <c r="L65" s="106" t="b">
        <v>0</v>
      </c>
      <c r="M65" s="171">
        <v>45576.0</v>
      </c>
      <c r="N65" s="106" t="b">
        <v>0</v>
      </c>
      <c r="O65" s="171">
        <v>45758.0</v>
      </c>
      <c r="P65" s="99" t="b">
        <v>0</v>
      </c>
      <c r="Q65" s="107">
        <v>45941.0</v>
      </c>
      <c r="R65" s="164" t="b">
        <v>0</v>
      </c>
      <c r="S65" s="107"/>
      <c r="T65" s="106"/>
      <c r="U65" s="107"/>
      <c r="V65" s="106"/>
      <c r="W65" s="107"/>
      <c r="X65" s="106"/>
      <c r="Y65" s="107"/>
      <c r="Z65" s="106"/>
      <c r="AA65" s="107"/>
      <c r="AB65" s="106"/>
      <c r="AC65" s="107"/>
      <c r="AD65" s="106"/>
      <c r="AE65" s="116"/>
      <c r="AF65" s="146" t="s">
        <v>261</v>
      </c>
    </row>
    <row r="66" ht="22.5" customHeight="1">
      <c r="A66" s="401">
        <v>40.0</v>
      </c>
      <c r="B66" s="60">
        <v>109.0</v>
      </c>
      <c r="C66" s="70" t="s">
        <v>930</v>
      </c>
      <c r="D66" s="64" t="s">
        <v>51</v>
      </c>
      <c r="E66" s="64"/>
      <c r="F66" s="782"/>
      <c r="G66" s="70"/>
      <c r="H66" s="71"/>
      <c r="I66" s="88">
        <f t="shared" si="1"/>
        <v>0</v>
      </c>
      <c r="J66" s="90">
        <v>4.0</v>
      </c>
      <c r="K66" s="211">
        <v>45393.0</v>
      </c>
      <c r="L66" s="106" t="b">
        <v>0</v>
      </c>
      <c r="M66" s="171">
        <v>45576.0</v>
      </c>
      <c r="N66" s="106" t="b">
        <v>0</v>
      </c>
      <c r="O66" s="171">
        <v>45758.0</v>
      </c>
      <c r="P66" s="99" t="b">
        <v>0</v>
      </c>
      <c r="Q66" s="107">
        <v>45941.0</v>
      </c>
      <c r="R66" s="164" t="b">
        <v>0</v>
      </c>
      <c r="S66" s="107"/>
      <c r="T66" s="106"/>
      <c r="U66" s="107"/>
      <c r="V66" s="106"/>
      <c r="W66" s="107"/>
      <c r="X66" s="106"/>
      <c r="Y66" s="107"/>
      <c r="Z66" s="106"/>
      <c r="AA66" s="107"/>
      <c r="AB66" s="106"/>
      <c r="AC66" s="107"/>
      <c r="AD66" s="106"/>
      <c r="AE66" s="116"/>
      <c r="AF66" s="353" t="s">
        <v>317</v>
      </c>
    </row>
    <row r="67" ht="22.5" customHeight="1">
      <c r="A67" s="401">
        <v>27.0</v>
      </c>
      <c r="B67" s="60">
        <v>11.0</v>
      </c>
      <c r="C67" s="70" t="s">
        <v>932</v>
      </c>
      <c r="D67" s="301" t="s">
        <v>51</v>
      </c>
      <c r="E67" s="1076">
        <v>45106.0</v>
      </c>
      <c r="F67" s="782">
        <v>12000.0</v>
      </c>
      <c r="G67" s="70" t="s">
        <v>263</v>
      </c>
      <c r="H67" s="71" t="s">
        <v>264</v>
      </c>
      <c r="I67" s="88">
        <f t="shared" si="1"/>
        <v>3</v>
      </c>
      <c r="J67" s="90">
        <v>6.0</v>
      </c>
      <c r="K67" s="92">
        <v>44880.0</v>
      </c>
      <c r="L67" s="106" t="b">
        <v>1</v>
      </c>
      <c r="M67" s="101">
        <v>45015.0</v>
      </c>
      <c r="N67" s="106" t="b">
        <v>1</v>
      </c>
      <c r="O67" s="101">
        <v>45254.0</v>
      </c>
      <c r="P67" s="106" t="b">
        <v>1</v>
      </c>
      <c r="Q67" s="107">
        <v>45436.0</v>
      </c>
      <c r="R67" s="106" t="b">
        <v>0</v>
      </c>
      <c r="S67" s="107">
        <v>45618.0</v>
      </c>
      <c r="T67" s="106" t="b">
        <v>0</v>
      </c>
      <c r="U67" s="107">
        <v>45800.0</v>
      </c>
      <c r="V67" s="106" t="b">
        <v>0</v>
      </c>
      <c r="W67" s="107"/>
      <c r="X67" s="106"/>
      <c r="Y67" s="107"/>
      <c r="Z67" s="106"/>
      <c r="AA67" s="107"/>
      <c r="AB67" s="106"/>
      <c r="AC67" s="107"/>
      <c r="AD67" s="106"/>
      <c r="AE67" s="116"/>
      <c r="AF67" s="146" t="s">
        <v>372</v>
      </c>
    </row>
    <row r="68" ht="22.5" customHeight="1">
      <c r="A68" s="401">
        <v>41.0</v>
      </c>
      <c r="B68" s="60">
        <v>26.0</v>
      </c>
      <c r="C68" s="1081" t="s">
        <v>938</v>
      </c>
      <c r="D68" s="64" t="s">
        <v>51</v>
      </c>
      <c r="E68" s="64"/>
      <c r="F68" s="782"/>
      <c r="G68" s="548" t="s">
        <v>526</v>
      </c>
      <c r="H68" s="71" t="s">
        <v>527</v>
      </c>
      <c r="I68" s="88">
        <f t="shared" si="1"/>
        <v>3</v>
      </c>
      <c r="J68" s="90">
        <v>2.0</v>
      </c>
      <c r="K68" s="211">
        <v>44873.0</v>
      </c>
      <c r="L68" s="106" t="b">
        <v>1</v>
      </c>
      <c r="M68" s="171">
        <v>44973.0</v>
      </c>
      <c r="N68" s="106" t="b">
        <v>1</v>
      </c>
      <c r="O68" s="171">
        <v>45325.0</v>
      </c>
      <c r="P68" s="106" t="b">
        <v>1</v>
      </c>
      <c r="Q68" s="107">
        <v>45881.0</v>
      </c>
      <c r="R68" s="106" t="b">
        <v>0</v>
      </c>
      <c r="S68" s="107">
        <v>45701.0</v>
      </c>
      <c r="T68" s="106" t="b">
        <v>0</v>
      </c>
      <c r="U68" s="107">
        <v>45702.0</v>
      </c>
      <c r="V68" s="106" t="b">
        <v>0</v>
      </c>
      <c r="W68" s="107"/>
      <c r="X68" s="106"/>
      <c r="Y68" s="107"/>
      <c r="Z68" s="106"/>
      <c r="AA68" s="107"/>
      <c r="AB68" s="106"/>
      <c r="AC68" s="107"/>
      <c r="AD68" s="106"/>
      <c r="AE68" s="116" t="s">
        <v>58</v>
      </c>
      <c r="AF68" s="353" t="s">
        <v>325</v>
      </c>
    </row>
    <row r="69" ht="22.5" customHeight="1">
      <c r="A69" s="401">
        <v>48.0</v>
      </c>
      <c r="B69" s="60">
        <v>24.0</v>
      </c>
      <c r="C69" s="70" t="s">
        <v>943</v>
      </c>
      <c r="D69" s="64" t="s">
        <v>51</v>
      </c>
      <c r="E69" s="64"/>
      <c r="F69" s="782"/>
      <c r="G69" s="70" t="s">
        <v>649</v>
      </c>
      <c r="H69" s="71" t="s">
        <v>650</v>
      </c>
      <c r="I69" s="88">
        <f t="shared" si="1"/>
        <v>3</v>
      </c>
      <c r="J69" s="90">
        <v>4.0</v>
      </c>
      <c r="K69" s="92">
        <v>44833.0</v>
      </c>
      <c r="L69" s="106" t="b">
        <v>1</v>
      </c>
      <c r="M69" s="101">
        <v>45014.0</v>
      </c>
      <c r="N69" s="106" t="b">
        <v>1</v>
      </c>
      <c r="O69" s="101">
        <v>45259.0</v>
      </c>
      <c r="P69" s="106" t="b">
        <v>1</v>
      </c>
      <c r="Q69" s="107">
        <v>45421.0</v>
      </c>
      <c r="R69" s="164" t="b">
        <v>0</v>
      </c>
      <c r="S69" s="107">
        <v>45604.0</v>
      </c>
      <c r="T69" s="106" t="b">
        <v>0</v>
      </c>
      <c r="U69" s="107">
        <v>45786.0</v>
      </c>
      <c r="V69" s="164" t="b">
        <v>0</v>
      </c>
      <c r="W69" s="107"/>
      <c r="X69" s="106"/>
      <c r="Y69" s="107"/>
      <c r="Z69" s="106"/>
      <c r="AA69" s="107"/>
      <c r="AB69" s="106"/>
      <c r="AC69" s="107"/>
      <c r="AD69" s="106"/>
      <c r="AE69" s="288"/>
      <c r="AF69" s="146" t="s">
        <v>385</v>
      </c>
    </row>
    <row r="70" ht="22.5" customHeight="1">
      <c r="A70" s="401">
        <v>49.0</v>
      </c>
      <c r="B70" s="60">
        <v>31.0</v>
      </c>
      <c r="C70" s="70" t="s">
        <v>944</v>
      </c>
      <c r="D70" s="301" t="s">
        <v>51</v>
      </c>
      <c r="E70" s="301"/>
      <c r="F70" s="1050"/>
      <c r="G70" s="305"/>
      <c r="H70" s="71" t="s">
        <v>876</v>
      </c>
      <c r="I70" s="88">
        <f t="shared" si="1"/>
        <v>3</v>
      </c>
      <c r="J70" s="90">
        <v>6.0</v>
      </c>
      <c r="K70" s="92">
        <v>44883.0</v>
      </c>
      <c r="L70" s="98" t="b">
        <v>1</v>
      </c>
      <c r="M70" s="101">
        <v>44655.0</v>
      </c>
      <c r="N70" s="98" t="b">
        <v>1</v>
      </c>
      <c r="O70" s="101">
        <v>45295.0</v>
      </c>
      <c r="P70" s="98" t="b">
        <v>1</v>
      </c>
      <c r="Q70" s="107">
        <v>45447.0</v>
      </c>
      <c r="R70" s="106" t="b">
        <v>0</v>
      </c>
      <c r="S70" s="107">
        <v>45630.0</v>
      </c>
      <c r="T70" s="106" t="b">
        <v>0</v>
      </c>
      <c r="U70" s="107">
        <v>45812.0</v>
      </c>
      <c r="V70" s="106" t="b">
        <v>0</v>
      </c>
      <c r="W70" s="107"/>
      <c r="X70" s="106"/>
      <c r="Y70" s="107"/>
      <c r="Z70" s="106"/>
      <c r="AA70" s="107"/>
      <c r="AB70" s="106"/>
      <c r="AC70" s="107"/>
      <c r="AD70" s="106"/>
      <c r="AE70" s="116"/>
      <c r="AF70" s="131"/>
    </row>
    <row r="71" ht="22.5" customHeight="1">
      <c r="A71" s="401">
        <v>50.0</v>
      </c>
      <c r="B71" s="60">
        <v>22.0</v>
      </c>
      <c r="C71" s="1095" t="s">
        <v>534</v>
      </c>
      <c r="D71" s="556" t="s">
        <v>51</v>
      </c>
      <c r="E71" s="556"/>
      <c r="F71" s="852"/>
      <c r="G71" s="63" t="s">
        <v>281</v>
      </c>
      <c r="H71" s="557"/>
      <c r="I71" s="88">
        <f t="shared" si="1"/>
        <v>2</v>
      </c>
      <c r="J71" s="90">
        <v>2.0</v>
      </c>
      <c r="K71" s="559">
        <v>44784.0</v>
      </c>
      <c r="L71" s="106" t="b">
        <v>1</v>
      </c>
      <c r="M71" s="101">
        <v>45048.0</v>
      </c>
      <c r="N71" s="106" t="b">
        <v>1</v>
      </c>
      <c r="O71" s="101"/>
      <c r="P71" s="106"/>
      <c r="Q71" s="107"/>
      <c r="R71" s="106"/>
      <c r="S71" s="107"/>
      <c r="T71" s="106"/>
      <c r="U71" s="107"/>
      <c r="V71" s="106"/>
      <c r="W71" s="107"/>
      <c r="X71" s="106"/>
      <c r="Y71" s="107"/>
      <c r="Z71" s="106"/>
      <c r="AA71" s="107"/>
      <c r="AB71" s="106"/>
      <c r="AC71" s="107"/>
      <c r="AD71" s="106"/>
      <c r="AE71" s="116" t="s">
        <v>58</v>
      </c>
      <c r="AF71" s="146" t="s">
        <v>398</v>
      </c>
    </row>
    <row r="72" ht="22.5" customHeight="1">
      <c r="A72" s="401">
        <v>51.0</v>
      </c>
      <c r="B72" s="60">
        <v>27.0</v>
      </c>
      <c r="C72" s="305" t="s">
        <v>537</v>
      </c>
      <c r="D72" s="301" t="s">
        <v>51</v>
      </c>
      <c r="E72" s="301"/>
      <c r="F72" s="1050"/>
      <c r="G72" s="305"/>
      <c r="H72" s="71" t="s">
        <v>538</v>
      </c>
      <c r="I72" s="88">
        <f t="shared" si="1"/>
        <v>3</v>
      </c>
      <c r="J72" s="90">
        <v>4.0</v>
      </c>
      <c r="K72" s="92">
        <v>44880.0</v>
      </c>
      <c r="L72" s="106" t="b">
        <v>1</v>
      </c>
      <c r="M72" s="101">
        <v>45017.0</v>
      </c>
      <c r="N72" s="106" t="b">
        <v>1</v>
      </c>
      <c r="O72" s="101">
        <v>45253.0</v>
      </c>
      <c r="P72" s="106" t="b">
        <v>1</v>
      </c>
      <c r="Q72" s="101">
        <v>45435.0</v>
      </c>
      <c r="R72" s="106" t="b">
        <v>0</v>
      </c>
      <c r="S72" s="107"/>
      <c r="T72" s="106" t="b">
        <v>0</v>
      </c>
      <c r="U72" s="107"/>
      <c r="V72" s="106" t="b">
        <v>0</v>
      </c>
      <c r="W72" s="101"/>
      <c r="X72" s="106"/>
      <c r="Y72" s="107"/>
      <c r="Z72" s="106"/>
      <c r="AA72" s="107"/>
      <c r="AB72" s="106"/>
      <c r="AC72" s="101"/>
      <c r="AD72" s="106"/>
      <c r="AE72" s="427" t="s">
        <v>792</v>
      </c>
      <c r="AF72" s="146" t="s">
        <v>400</v>
      </c>
    </row>
    <row r="73" ht="22.5" customHeight="1">
      <c r="A73" s="401">
        <v>52.0</v>
      </c>
      <c r="B73" s="60">
        <v>23.0</v>
      </c>
      <c r="C73" s="70" t="s">
        <v>952</v>
      </c>
      <c r="D73" s="64" t="s">
        <v>51</v>
      </c>
      <c r="E73" s="64"/>
      <c r="F73" s="782"/>
      <c r="G73" s="70" t="s">
        <v>899</v>
      </c>
      <c r="H73" s="71">
        <v>8.3650888E8</v>
      </c>
      <c r="I73" s="88">
        <f t="shared" si="1"/>
        <v>3</v>
      </c>
      <c r="J73" s="90">
        <v>4.0</v>
      </c>
      <c r="K73" s="92">
        <v>44832.0</v>
      </c>
      <c r="L73" s="106" t="b">
        <v>1</v>
      </c>
      <c r="M73" s="101">
        <v>45014.0</v>
      </c>
      <c r="N73" s="106" t="b">
        <v>1</v>
      </c>
      <c r="O73" s="101">
        <v>45259.0</v>
      </c>
      <c r="P73" s="106" t="b">
        <v>1</v>
      </c>
      <c r="Q73" s="107">
        <v>45421.0</v>
      </c>
      <c r="R73" s="164" t="b">
        <v>0</v>
      </c>
      <c r="S73" s="107">
        <v>45604.0</v>
      </c>
      <c r="T73" s="106" t="b">
        <v>0</v>
      </c>
      <c r="U73" s="107">
        <v>45786.0</v>
      </c>
      <c r="V73" s="164" t="b">
        <v>0</v>
      </c>
      <c r="W73" s="107"/>
      <c r="X73" s="106"/>
      <c r="Y73" s="107"/>
      <c r="Z73" s="106"/>
      <c r="AA73" s="107"/>
      <c r="AB73" s="106"/>
      <c r="AC73" s="107"/>
      <c r="AD73" s="106"/>
      <c r="AE73" s="288"/>
      <c r="AF73" s="131"/>
    </row>
    <row r="74" ht="22.5" customHeight="1">
      <c r="A74" s="401">
        <v>60.0</v>
      </c>
      <c r="B74" s="60">
        <v>32.0</v>
      </c>
      <c r="C74" s="1113" t="s">
        <v>541</v>
      </c>
      <c r="D74" s="228" t="s">
        <v>55</v>
      </c>
      <c r="E74" s="568"/>
      <c r="F74" s="1120"/>
      <c r="G74" s="569"/>
      <c r="H74" s="233" t="s">
        <v>761</v>
      </c>
      <c r="I74" s="88">
        <f t="shared" si="1"/>
        <v>2</v>
      </c>
      <c r="J74" s="90">
        <v>6.0</v>
      </c>
      <c r="K74" s="576">
        <v>44904.0</v>
      </c>
      <c r="L74" s="577" t="b">
        <v>1</v>
      </c>
      <c r="M74" s="242">
        <v>45087.0</v>
      </c>
      <c r="N74" s="577" t="b">
        <v>1</v>
      </c>
      <c r="O74" s="101">
        <v>45371.0</v>
      </c>
      <c r="P74" s="98" t="b">
        <v>0</v>
      </c>
      <c r="Q74" s="101">
        <v>45555.0</v>
      </c>
      <c r="R74" s="106" t="b">
        <v>0</v>
      </c>
      <c r="S74" s="101">
        <v>45736.0</v>
      </c>
      <c r="T74" s="106" t="b">
        <v>0</v>
      </c>
      <c r="U74" s="101">
        <v>45922.0</v>
      </c>
      <c r="V74" s="106" t="b">
        <v>0</v>
      </c>
      <c r="W74" s="242"/>
      <c r="X74" s="237"/>
      <c r="Y74" s="107"/>
      <c r="Z74" s="106"/>
      <c r="AA74" s="107"/>
      <c r="AB74" s="106"/>
      <c r="AC74" s="242"/>
      <c r="AD74" s="237"/>
      <c r="AE74" s="578"/>
      <c r="AF74" s="118"/>
    </row>
    <row r="75" ht="22.5" customHeight="1">
      <c r="A75" s="401">
        <v>63.0</v>
      </c>
      <c r="B75" s="60">
        <v>63.0</v>
      </c>
      <c r="C75" s="63" t="s">
        <v>544</v>
      </c>
      <c r="D75" s="64" t="s">
        <v>51</v>
      </c>
      <c r="E75" s="64"/>
      <c r="F75" s="782"/>
      <c r="G75" s="70" t="s">
        <v>968</v>
      </c>
      <c r="H75" s="71">
        <v>6.17901261E8</v>
      </c>
      <c r="I75" s="88">
        <f t="shared" si="1"/>
        <v>1</v>
      </c>
      <c r="J75" s="90">
        <v>4.0</v>
      </c>
      <c r="K75" s="92">
        <v>45216.0</v>
      </c>
      <c r="L75" s="98" t="b">
        <v>1</v>
      </c>
      <c r="M75" s="101">
        <v>45399.0</v>
      </c>
      <c r="N75" s="130" t="b">
        <v>0</v>
      </c>
      <c r="O75" s="101">
        <v>45582.0</v>
      </c>
      <c r="P75" s="98" t="b">
        <v>0</v>
      </c>
      <c r="Q75" s="107">
        <v>45764.0</v>
      </c>
      <c r="R75" s="106" t="b">
        <v>0</v>
      </c>
      <c r="S75" s="107"/>
      <c r="T75" s="106"/>
      <c r="U75" s="107"/>
      <c r="V75" s="106"/>
      <c r="W75" s="107"/>
      <c r="X75" s="106"/>
      <c r="Y75" s="107"/>
      <c r="Z75" s="106"/>
      <c r="AA75" s="107"/>
      <c r="AB75" s="106"/>
      <c r="AC75" s="107"/>
      <c r="AD75" s="106"/>
      <c r="AE75" s="116"/>
      <c r="AF75" s="118"/>
    </row>
    <row r="76" ht="22.5" customHeight="1">
      <c r="A76" s="401">
        <v>64.0</v>
      </c>
      <c r="B76" s="60">
        <v>100.0</v>
      </c>
      <c r="C76" s="70" t="s">
        <v>973</v>
      </c>
      <c r="D76" s="64" t="s">
        <v>51</v>
      </c>
      <c r="E76" s="64"/>
      <c r="F76" s="782"/>
      <c r="G76" s="70"/>
      <c r="H76" s="71"/>
      <c r="I76" s="88">
        <f t="shared" si="1"/>
        <v>0</v>
      </c>
      <c r="J76" s="90">
        <v>4.0</v>
      </c>
      <c r="K76" s="92">
        <v>45385.0</v>
      </c>
      <c r="L76" s="98" t="b">
        <v>0</v>
      </c>
      <c r="M76" s="101">
        <v>45568.0</v>
      </c>
      <c r="N76" s="98" t="b">
        <v>0</v>
      </c>
      <c r="O76" s="101">
        <v>45750.0</v>
      </c>
      <c r="P76" s="130" t="b">
        <v>0</v>
      </c>
      <c r="Q76" s="107">
        <v>45933.0</v>
      </c>
      <c r="R76" s="164" t="b">
        <v>0</v>
      </c>
      <c r="S76" s="107"/>
      <c r="T76" s="106"/>
      <c r="U76" s="107"/>
      <c r="V76" s="106"/>
      <c r="W76" s="107"/>
      <c r="X76" s="106"/>
      <c r="Y76" s="107"/>
      <c r="Z76" s="106"/>
      <c r="AA76" s="107"/>
      <c r="AB76" s="106"/>
      <c r="AC76" s="107"/>
      <c r="AD76" s="106"/>
      <c r="AE76" s="116"/>
      <c r="AF76" s="118"/>
    </row>
    <row r="77" ht="22.5" customHeight="1">
      <c r="A77" s="401">
        <v>65.0</v>
      </c>
      <c r="B77" s="60">
        <v>5.0</v>
      </c>
      <c r="C77" s="703" t="s">
        <v>547</v>
      </c>
      <c r="D77" s="64" t="s">
        <v>51</v>
      </c>
      <c r="E77" s="1140"/>
      <c r="F77" s="1142"/>
      <c r="G77" s="581" t="s">
        <v>548</v>
      </c>
      <c r="H77" s="71" t="s">
        <v>549</v>
      </c>
      <c r="I77" s="88">
        <f t="shared" si="1"/>
        <v>4</v>
      </c>
      <c r="J77" s="90">
        <v>6.0</v>
      </c>
      <c r="K77" s="92">
        <v>44562.0</v>
      </c>
      <c r="L77" s="98" t="b">
        <v>1</v>
      </c>
      <c r="M77" s="101">
        <v>44562.0</v>
      </c>
      <c r="N77" s="98" t="b">
        <v>1</v>
      </c>
      <c r="O77" s="101">
        <v>45017.0</v>
      </c>
      <c r="P77" s="98" t="b">
        <v>1</v>
      </c>
      <c r="Q77" s="107">
        <v>45216.0</v>
      </c>
      <c r="R77" s="106" t="b">
        <v>1</v>
      </c>
      <c r="S77" s="107">
        <v>45384.0</v>
      </c>
      <c r="T77" s="106" t="b">
        <v>0</v>
      </c>
      <c r="U77" s="107">
        <v>45567.0</v>
      </c>
      <c r="V77" s="106" t="b">
        <v>0</v>
      </c>
      <c r="W77" s="107"/>
      <c r="X77" s="106"/>
      <c r="Y77" s="107"/>
      <c r="Z77" s="106"/>
      <c r="AA77" s="107"/>
      <c r="AB77" s="106"/>
      <c r="AC77" s="107"/>
      <c r="AD77" s="106"/>
      <c r="AE77" s="116"/>
      <c r="AF77" s="118"/>
    </row>
    <row r="78" ht="22.5" customHeight="1">
      <c r="A78" s="401">
        <v>66.0</v>
      </c>
      <c r="B78" s="60">
        <v>106.0</v>
      </c>
      <c r="C78" s="70" t="s">
        <v>596</v>
      </c>
      <c r="D78" s="64" t="s">
        <v>51</v>
      </c>
      <c r="E78" s="64"/>
      <c r="F78" s="782"/>
      <c r="G78" s="70" t="s">
        <v>784</v>
      </c>
      <c r="H78" s="71" t="s">
        <v>785</v>
      </c>
      <c r="I78" s="88">
        <f t="shared" si="1"/>
        <v>0</v>
      </c>
      <c r="J78" s="90">
        <v>4.0</v>
      </c>
      <c r="K78" s="92">
        <v>45393.0</v>
      </c>
      <c r="L78" s="98" t="b">
        <v>0</v>
      </c>
      <c r="M78" s="101">
        <v>45576.0</v>
      </c>
      <c r="N78" s="98" t="b">
        <v>0</v>
      </c>
      <c r="O78" s="101">
        <v>45758.0</v>
      </c>
      <c r="P78" s="130" t="b">
        <v>0</v>
      </c>
      <c r="Q78" s="107">
        <v>45941.0</v>
      </c>
      <c r="R78" s="164" t="b">
        <v>0</v>
      </c>
      <c r="S78" s="107"/>
      <c r="T78" s="106"/>
      <c r="U78" s="107"/>
      <c r="V78" s="106"/>
      <c r="W78" s="107"/>
      <c r="X78" s="106"/>
      <c r="Y78" s="107"/>
      <c r="Z78" s="106"/>
      <c r="AA78" s="107"/>
      <c r="AB78" s="106"/>
      <c r="AC78" s="107"/>
      <c r="AD78" s="106"/>
      <c r="AE78" s="116"/>
      <c r="AF78" s="118"/>
    </row>
    <row r="79" ht="22.5" customHeight="1">
      <c r="A79" s="401">
        <v>47.0</v>
      </c>
      <c r="B79" s="60">
        <v>77.0</v>
      </c>
      <c r="C79" s="70" t="s">
        <v>552</v>
      </c>
      <c r="D79" s="64" t="s">
        <v>51</v>
      </c>
      <c r="E79" s="64"/>
      <c r="F79" s="782"/>
      <c r="G79" s="70"/>
      <c r="H79" s="71"/>
      <c r="I79" s="88">
        <f t="shared" si="1"/>
        <v>0</v>
      </c>
      <c r="J79" s="90">
        <v>4.0</v>
      </c>
      <c r="K79" s="92">
        <v>45279.0</v>
      </c>
      <c r="L79" s="99" t="b">
        <v>0</v>
      </c>
      <c r="M79" s="101">
        <v>45462.0</v>
      </c>
      <c r="N79" s="99" t="b">
        <v>0</v>
      </c>
      <c r="O79" s="101">
        <v>45645.0</v>
      </c>
      <c r="P79" s="99" t="b">
        <v>0</v>
      </c>
      <c r="Q79" s="107">
        <v>45827.0</v>
      </c>
      <c r="R79" s="106" t="b">
        <v>0</v>
      </c>
      <c r="S79" s="107"/>
      <c r="T79" s="106"/>
      <c r="U79" s="107"/>
      <c r="V79" s="106"/>
      <c r="W79" s="107"/>
      <c r="X79" s="106"/>
      <c r="Y79" s="107"/>
      <c r="Z79" s="106"/>
      <c r="AA79" s="107"/>
      <c r="AB79" s="106"/>
      <c r="AC79" s="107"/>
      <c r="AD79" s="106"/>
      <c r="AE79" s="116"/>
      <c r="AF79" s="146" t="s">
        <v>325</v>
      </c>
    </row>
    <row r="80" ht="22.5" customHeight="1">
      <c r="A80" s="401">
        <v>68.0</v>
      </c>
      <c r="B80" s="60">
        <v>103.0</v>
      </c>
      <c r="C80" s="70" t="s">
        <v>990</v>
      </c>
      <c r="D80" s="64" t="s">
        <v>51</v>
      </c>
      <c r="E80" s="64"/>
      <c r="F80" s="782"/>
      <c r="G80" s="70"/>
      <c r="H80" s="71"/>
      <c r="I80" s="88">
        <f t="shared" si="1"/>
        <v>0</v>
      </c>
      <c r="J80" s="90">
        <v>4.0</v>
      </c>
      <c r="K80" s="92">
        <v>45393.0</v>
      </c>
      <c r="L80" s="98" t="b">
        <v>0</v>
      </c>
      <c r="M80" s="101">
        <v>45576.0</v>
      </c>
      <c r="N80" s="98" t="b">
        <v>0</v>
      </c>
      <c r="O80" s="101">
        <v>45758.0</v>
      </c>
      <c r="P80" s="130" t="b">
        <v>0</v>
      </c>
      <c r="Q80" s="107">
        <v>45941.0</v>
      </c>
      <c r="R80" s="164" t="b">
        <v>0</v>
      </c>
      <c r="S80" s="107"/>
      <c r="T80" s="106"/>
      <c r="U80" s="107"/>
      <c r="V80" s="106"/>
      <c r="W80" s="107"/>
      <c r="X80" s="106"/>
      <c r="Y80" s="107"/>
      <c r="Z80" s="106"/>
      <c r="AA80" s="107"/>
      <c r="AB80" s="106"/>
      <c r="AC80" s="107"/>
      <c r="AD80" s="106"/>
      <c r="AE80" s="116"/>
      <c r="AF80" s="118"/>
    </row>
    <row r="81" ht="22.5" customHeight="1">
      <c r="A81" s="401">
        <v>70.0</v>
      </c>
      <c r="B81" s="60">
        <v>64.0</v>
      </c>
      <c r="C81" s="70" t="s">
        <v>554</v>
      </c>
      <c r="D81" s="64" t="s">
        <v>51</v>
      </c>
      <c r="E81" s="64"/>
      <c r="F81" s="782"/>
      <c r="G81" s="70"/>
      <c r="H81" s="71" t="s">
        <v>795</v>
      </c>
      <c r="I81" s="88">
        <f t="shared" si="1"/>
        <v>1</v>
      </c>
      <c r="J81" s="90">
        <v>4.0</v>
      </c>
      <c r="K81" s="92">
        <v>45219.0</v>
      </c>
      <c r="L81" s="98" t="b">
        <v>1</v>
      </c>
      <c r="M81" s="101">
        <v>45401.0</v>
      </c>
      <c r="N81" s="532" t="b">
        <v>0</v>
      </c>
      <c r="O81" s="101">
        <v>45584.0</v>
      </c>
      <c r="P81" s="532" t="b">
        <v>0</v>
      </c>
      <c r="Q81" s="107">
        <v>45766.0</v>
      </c>
      <c r="R81" s="106" t="b">
        <v>0</v>
      </c>
      <c r="S81" s="107"/>
      <c r="T81" s="106"/>
      <c r="U81" s="107"/>
      <c r="V81" s="106"/>
      <c r="W81" s="107"/>
      <c r="X81" s="106"/>
      <c r="Y81" s="107"/>
      <c r="Z81" s="106"/>
      <c r="AA81" s="107"/>
      <c r="AB81" s="106"/>
      <c r="AC81" s="107"/>
      <c r="AD81" s="106"/>
      <c r="AE81" s="288"/>
      <c r="AF81" s="118"/>
    </row>
    <row r="82" ht="22.5" customHeight="1">
      <c r="A82" s="401">
        <v>71.0</v>
      </c>
      <c r="B82" s="60">
        <v>43.0</v>
      </c>
      <c r="C82" s="1156" t="s">
        <v>609</v>
      </c>
      <c r="D82" s="64" t="s">
        <v>55</v>
      </c>
      <c r="E82" s="64"/>
      <c r="F82" s="782"/>
      <c r="G82" s="70" t="s">
        <v>293</v>
      </c>
      <c r="H82" s="71"/>
      <c r="I82" s="88">
        <f t="shared" si="1"/>
        <v>2</v>
      </c>
      <c r="J82" s="90">
        <v>6.0</v>
      </c>
      <c r="K82" s="92">
        <v>45007.0</v>
      </c>
      <c r="L82" s="98" t="b">
        <v>1</v>
      </c>
      <c r="M82" s="101">
        <v>45295.0</v>
      </c>
      <c r="N82" s="98" t="b">
        <v>1</v>
      </c>
      <c r="O82" s="101">
        <v>45477.0</v>
      </c>
      <c r="P82" s="98" t="b">
        <v>0</v>
      </c>
      <c r="Q82" s="101">
        <v>45630.0</v>
      </c>
      <c r="R82" s="106" t="b">
        <v>0</v>
      </c>
      <c r="S82" s="101">
        <v>45812.0</v>
      </c>
      <c r="T82" s="106" t="b">
        <v>0</v>
      </c>
      <c r="U82" s="101">
        <v>45995.0</v>
      </c>
      <c r="V82" s="106" t="b">
        <v>0</v>
      </c>
      <c r="W82" s="107"/>
      <c r="X82" s="106"/>
      <c r="Y82" s="107"/>
      <c r="Z82" s="106"/>
      <c r="AA82" s="107"/>
      <c r="AB82" s="106"/>
      <c r="AC82" s="107"/>
      <c r="AD82" s="106"/>
      <c r="AE82" s="288"/>
      <c r="AF82" s="118"/>
    </row>
    <row r="83" ht="22.5" customHeight="1">
      <c r="A83" s="401">
        <v>73.0</v>
      </c>
      <c r="B83" s="60">
        <v>34.0</v>
      </c>
      <c r="C83" s="70" t="s">
        <v>561</v>
      </c>
      <c r="D83" s="64" t="s">
        <v>51</v>
      </c>
      <c r="E83" s="64"/>
      <c r="F83" s="782"/>
      <c r="G83" s="70"/>
      <c r="H83" s="71" t="s">
        <v>562</v>
      </c>
      <c r="I83" s="88">
        <f t="shared" si="1"/>
        <v>2</v>
      </c>
      <c r="J83" s="90">
        <v>4.0</v>
      </c>
      <c r="K83" s="92">
        <v>44927.0</v>
      </c>
      <c r="L83" s="98" t="b">
        <v>1</v>
      </c>
      <c r="M83" s="101">
        <v>45085.0</v>
      </c>
      <c r="N83" s="98" t="b">
        <v>1</v>
      </c>
      <c r="O83" s="101">
        <v>45266.0</v>
      </c>
      <c r="P83" s="98" t="b">
        <v>0</v>
      </c>
      <c r="Q83" s="107">
        <v>45449.0</v>
      </c>
      <c r="R83" s="106" t="b">
        <v>0</v>
      </c>
      <c r="S83" s="107"/>
      <c r="T83" s="106"/>
      <c r="U83" s="107"/>
      <c r="V83" s="106"/>
      <c r="W83" s="107"/>
      <c r="X83" s="106"/>
      <c r="Y83" s="107"/>
      <c r="Z83" s="106"/>
      <c r="AA83" s="107"/>
      <c r="AB83" s="106"/>
      <c r="AC83" s="107"/>
      <c r="AD83" s="106"/>
      <c r="AE83" s="116"/>
      <c r="AF83" s="245"/>
    </row>
    <row r="84" ht="22.5" customHeight="1">
      <c r="A84" s="401">
        <v>74.0</v>
      </c>
      <c r="B84" s="60">
        <v>28.0</v>
      </c>
      <c r="C84" s="965" t="s">
        <v>567</v>
      </c>
      <c r="D84" s="64" t="s">
        <v>786</v>
      </c>
      <c r="E84" s="64"/>
      <c r="F84" s="782"/>
      <c r="G84" s="70" t="s">
        <v>829</v>
      </c>
      <c r="H84" s="307"/>
      <c r="I84" s="88">
        <f t="shared" si="1"/>
        <v>2</v>
      </c>
      <c r="J84" s="90">
        <v>6.0</v>
      </c>
      <c r="K84" s="92">
        <v>44880.0</v>
      </c>
      <c r="L84" s="98" t="b">
        <v>1</v>
      </c>
      <c r="M84" s="101">
        <v>45216.0</v>
      </c>
      <c r="N84" s="98" t="b">
        <v>1</v>
      </c>
      <c r="O84" s="101">
        <v>45399.0</v>
      </c>
      <c r="P84" s="98" t="b">
        <v>0</v>
      </c>
      <c r="Q84" s="101">
        <v>45582.0</v>
      </c>
      <c r="R84" s="106" t="b">
        <v>0</v>
      </c>
      <c r="S84" s="101">
        <v>45764.0</v>
      </c>
      <c r="T84" s="106" t="b">
        <v>0</v>
      </c>
      <c r="U84" s="101">
        <v>45947.0</v>
      </c>
      <c r="V84" s="106" t="b">
        <v>0</v>
      </c>
      <c r="W84" s="107"/>
      <c r="X84" s="106"/>
      <c r="Y84" s="107"/>
      <c r="Z84" s="106"/>
      <c r="AA84" s="107"/>
      <c r="AB84" s="106"/>
      <c r="AC84" s="107"/>
      <c r="AD84" s="106"/>
      <c r="AE84" s="288"/>
      <c r="AF84" s="245"/>
    </row>
    <row r="85" ht="22.5" customHeight="1">
      <c r="A85" s="401">
        <v>75.0</v>
      </c>
      <c r="B85" s="60">
        <v>52.0</v>
      </c>
      <c r="C85" s="70" t="s">
        <v>632</v>
      </c>
      <c r="D85" s="64" t="s">
        <v>51</v>
      </c>
      <c r="E85" s="64"/>
      <c r="F85" s="782"/>
      <c r="G85" s="70" t="s">
        <v>835</v>
      </c>
      <c r="H85" s="71" t="s">
        <v>836</v>
      </c>
      <c r="I85" s="88">
        <f t="shared" si="1"/>
        <v>2</v>
      </c>
      <c r="J85" s="90">
        <v>4.0</v>
      </c>
      <c r="K85" s="92">
        <v>45069.0</v>
      </c>
      <c r="L85" s="98" t="b">
        <v>1</v>
      </c>
      <c r="M85" s="101">
        <v>45244.0</v>
      </c>
      <c r="N85" s="98" t="b">
        <v>1</v>
      </c>
      <c r="O85" s="101">
        <v>45415.0</v>
      </c>
      <c r="P85" s="130" t="b">
        <v>0</v>
      </c>
      <c r="Q85" s="107">
        <v>45600.0</v>
      </c>
      <c r="R85" s="106" t="b">
        <v>0</v>
      </c>
      <c r="S85" s="107"/>
      <c r="T85" s="106"/>
      <c r="U85" s="107"/>
      <c r="V85" s="106"/>
      <c r="W85" s="107"/>
      <c r="X85" s="106"/>
      <c r="Y85" s="107"/>
      <c r="Z85" s="106"/>
      <c r="AA85" s="107"/>
      <c r="AB85" s="106"/>
      <c r="AC85" s="107"/>
      <c r="AD85" s="106"/>
      <c r="AE85" s="116" t="s">
        <v>636</v>
      </c>
      <c r="AF85" s="245"/>
    </row>
    <row r="86" ht="22.5" customHeight="1">
      <c r="A86" s="401">
        <v>76.0</v>
      </c>
      <c r="B86" s="60">
        <v>12.0</v>
      </c>
      <c r="C86" s="362" t="s">
        <v>839</v>
      </c>
      <c r="D86" s="301" t="s">
        <v>51</v>
      </c>
      <c r="E86" s="942"/>
      <c r="F86" s="1166"/>
      <c r="G86" s="953"/>
      <c r="H86" s="364" t="s">
        <v>320</v>
      </c>
      <c r="I86" s="88">
        <f t="shared" si="1"/>
        <v>4</v>
      </c>
      <c r="J86" s="90">
        <v>6.0</v>
      </c>
      <c r="K86" s="92">
        <v>44562.0</v>
      </c>
      <c r="L86" s="647" t="b">
        <v>1</v>
      </c>
      <c r="M86" s="101">
        <v>44562.0</v>
      </c>
      <c r="N86" s="647" t="b">
        <v>1</v>
      </c>
      <c r="O86" s="101">
        <v>45037.0</v>
      </c>
      <c r="P86" s="647" t="b">
        <v>1</v>
      </c>
      <c r="Q86" s="107">
        <v>45266.0</v>
      </c>
      <c r="R86" s="106" t="b">
        <v>1</v>
      </c>
      <c r="S86" s="107">
        <v>45449.0</v>
      </c>
      <c r="T86" s="106" t="b">
        <v>0</v>
      </c>
      <c r="U86" s="107">
        <v>45632.0</v>
      </c>
      <c r="V86" s="106" t="b">
        <v>0</v>
      </c>
      <c r="W86" s="107"/>
      <c r="X86" s="106"/>
      <c r="Y86" s="107"/>
      <c r="Z86" s="106"/>
      <c r="AA86" s="107"/>
      <c r="AB86" s="106"/>
      <c r="AC86" s="107"/>
      <c r="AD86" s="106"/>
      <c r="AE86" s="288"/>
      <c r="AF86" s="118"/>
    </row>
    <row r="87" ht="22.5" customHeight="1">
      <c r="A87" s="401">
        <v>80.0</v>
      </c>
      <c r="B87" s="60">
        <v>88.0</v>
      </c>
      <c r="C87" s="70" t="s">
        <v>568</v>
      </c>
      <c r="D87" s="64" t="s">
        <v>51</v>
      </c>
      <c r="E87" s="64"/>
      <c r="F87" s="782"/>
      <c r="G87" s="70" t="s">
        <v>570</v>
      </c>
      <c r="H87" s="71">
        <v>9.8673194E8</v>
      </c>
      <c r="I87" s="88">
        <f t="shared" si="1"/>
        <v>0</v>
      </c>
      <c r="J87" s="90">
        <v>4.0</v>
      </c>
      <c r="K87" s="92">
        <v>45355.0</v>
      </c>
      <c r="L87" s="130" t="b">
        <v>0</v>
      </c>
      <c r="M87" s="101">
        <v>45540.0</v>
      </c>
      <c r="N87" s="130" t="b">
        <v>0</v>
      </c>
      <c r="O87" s="101">
        <v>45720.0</v>
      </c>
      <c r="P87" s="130" t="b">
        <v>0</v>
      </c>
      <c r="Q87" s="107">
        <v>45902.0</v>
      </c>
      <c r="R87" s="106" t="b">
        <v>0</v>
      </c>
      <c r="S87" s="107"/>
      <c r="T87" s="106"/>
      <c r="U87" s="107"/>
      <c r="V87" s="106"/>
      <c r="W87" s="107"/>
      <c r="X87" s="106"/>
      <c r="Y87" s="107"/>
      <c r="Z87" s="106"/>
      <c r="AA87" s="107"/>
      <c r="AB87" s="106"/>
      <c r="AC87" s="107"/>
      <c r="AD87" s="106"/>
      <c r="AE87" s="116"/>
      <c r="AF87" s="118"/>
    </row>
    <row r="88" ht="22.5" customHeight="1">
      <c r="A88" s="401">
        <v>78.0</v>
      </c>
      <c r="B88" s="60">
        <v>87.0</v>
      </c>
      <c r="C88" s="70" t="s">
        <v>575</v>
      </c>
      <c r="D88" s="64" t="s">
        <v>51</v>
      </c>
      <c r="E88" s="64"/>
      <c r="F88" s="782"/>
      <c r="G88" s="70"/>
      <c r="H88" s="71"/>
      <c r="I88" s="88">
        <f t="shared" si="1"/>
        <v>0</v>
      </c>
      <c r="J88" s="90">
        <v>4.0</v>
      </c>
      <c r="K88" s="92">
        <v>45351.0</v>
      </c>
      <c r="L88" s="130" t="b">
        <v>0</v>
      </c>
      <c r="M88" s="101">
        <v>45532.0</v>
      </c>
      <c r="N88" s="130" t="b">
        <v>0</v>
      </c>
      <c r="O88" s="101">
        <v>45716.0</v>
      </c>
      <c r="P88" s="130" t="b">
        <v>0</v>
      </c>
      <c r="Q88" s="107">
        <v>45897.0</v>
      </c>
      <c r="R88" s="106" t="b">
        <v>0</v>
      </c>
      <c r="S88" s="107"/>
      <c r="T88" s="106"/>
      <c r="U88" s="107"/>
      <c r="V88" s="106"/>
      <c r="W88" s="107"/>
      <c r="X88" s="106"/>
      <c r="Y88" s="107"/>
      <c r="Z88" s="106"/>
      <c r="AA88" s="107"/>
      <c r="AB88" s="106"/>
      <c r="AC88" s="107"/>
      <c r="AD88" s="106"/>
      <c r="AE88" s="116"/>
      <c r="AF88" s="118"/>
    </row>
    <row r="89" ht="22.5" customHeight="1">
      <c r="A89" s="401">
        <v>87.0</v>
      </c>
      <c r="B89" s="60">
        <v>56.0</v>
      </c>
      <c r="C89" s="362" t="s">
        <v>580</v>
      </c>
      <c r="D89" s="645" t="s">
        <v>51</v>
      </c>
      <c r="E89" s="645"/>
      <c r="F89" s="843"/>
      <c r="G89" s="362" t="s">
        <v>880</v>
      </c>
      <c r="H89" s="364" t="s">
        <v>881</v>
      </c>
      <c r="I89" s="88">
        <f t="shared" si="1"/>
        <v>1</v>
      </c>
      <c r="J89" s="90">
        <v>4.0</v>
      </c>
      <c r="K89" s="92">
        <v>45107.0</v>
      </c>
      <c r="L89" s="647" t="b">
        <v>1</v>
      </c>
      <c r="M89" s="101">
        <v>45261.0</v>
      </c>
      <c r="N89" s="649" t="b">
        <v>0</v>
      </c>
      <c r="O89" s="101">
        <v>45471.0</v>
      </c>
      <c r="P89" s="649" t="b">
        <v>0</v>
      </c>
      <c r="Q89" s="107">
        <v>45628.0</v>
      </c>
      <c r="R89" s="106" t="b">
        <v>0</v>
      </c>
      <c r="S89" s="107"/>
      <c r="T89" s="106"/>
      <c r="U89" s="107"/>
      <c r="V89" s="106"/>
      <c r="W89" s="107"/>
      <c r="X89" s="106"/>
      <c r="Y89" s="107"/>
      <c r="Z89" s="106"/>
      <c r="AA89" s="107"/>
      <c r="AB89" s="106"/>
      <c r="AC89" s="107"/>
      <c r="AD89" s="106"/>
      <c r="AE89" s="262"/>
      <c r="AF89" s="118"/>
    </row>
    <row r="90" ht="22.5" customHeight="1">
      <c r="A90" s="401">
        <v>88.0</v>
      </c>
      <c r="B90" s="60">
        <v>83.0</v>
      </c>
      <c r="C90" s="362" t="s">
        <v>1014</v>
      </c>
      <c r="D90" s="64" t="s">
        <v>51</v>
      </c>
      <c r="E90" s="645"/>
      <c r="F90" s="843"/>
      <c r="G90" s="362" t="s">
        <v>1015</v>
      </c>
      <c r="H90" s="364" t="s">
        <v>888</v>
      </c>
      <c r="I90" s="88">
        <f t="shared" si="1"/>
        <v>0</v>
      </c>
      <c r="J90" s="90">
        <v>4.0</v>
      </c>
      <c r="K90" s="92">
        <v>45306.0</v>
      </c>
      <c r="L90" s="649" t="b">
        <v>0</v>
      </c>
      <c r="M90" s="101">
        <v>45453.0</v>
      </c>
      <c r="N90" s="649" t="b">
        <v>0</v>
      </c>
      <c r="O90" s="101">
        <v>45636.0</v>
      </c>
      <c r="P90" s="649" t="b">
        <v>0</v>
      </c>
      <c r="Q90" s="107">
        <v>45824.0</v>
      </c>
      <c r="R90" s="106" t="b">
        <v>0</v>
      </c>
      <c r="S90" s="107"/>
      <c r="T90" s="106"/>
      <c r="U90" s="107"/>
      <c r="V90" s="106"/>
      <c r="W90" s="107"/>
      <c r="X90" s="106"/>
      <c r="Y90" s="107"/>
      <c r="Z90" s="106"/>
      <c r="AA90" s="107"/>
      <c r="AB90" s="106"/>
      <c r="AC90" s="107"/>
      <c r="AD90" s="106"/>
      <c r="AE90" s="116"/>
      <c r="AF90" s="118"/>
    </row>
    <row r="91" ht="22.5" customHeight="1">
      <c r="A91" s="401">
        <v>89.0</v>
      </c>
      <c r="B91" s="60">
        <v>105.0</v>
      </c>
      <c r="C91" s="362" t="s">
        <v>1016</v>
      </c>
      <c r="D91" s="64" t="s">
        <v>51</v>
      </c>
      <c r="E91" s="645"/>
      <c r="F91" s="843"/>
      <c r="G91" s="362"/>
      <c r="H91" s="364"/>
      <c r="I91" s="88">
        <f t="shared" si="1"/>
        <v>0</v>
      </c>
      <c r="J91" s="90">
        <v>4.0</v>
      </c>
      <c r="K91" s="92">
        <v>45393.0</v>
      </c>
      <c r="L91" s="647" t="b">
        <v>0</v>
      </c>
      <c r="M91" s="101">
        <v>45576.0</v>
      </c>
      <c r="N91" s="647" t="b">
        <v>0</v>
      </c>
      <c r="O91" s="101">
        <v>45758.0</v>
      </c>
      <c r="P91" s="649" t="b">
        <v>0</v>
      </c>
      <c r="Q91" s="107">
        <v>45941.0</v>
      </c>
      <c r="R91" s="164" t="b">
        <v>0</v>
      </c>
      <c r="S91" s="107"/>
      <c r="T91" s="106"/>
      <c r="U91" s="107"/>
      <c r="V91" s="106"/>
      <c r="W91" s="107"/>
      <c r="X91" s="106"/>
      <c r="Y91" s="107"/>
      <c r="Z91" s="106"/>
      <c r="AA91" s="107"/>
      <c r="AB91" s="106"/>
      <c r="AC91" s="107"/>
      <c r="AD91" s="106"/>
      <c r="AE91" s="116"/>
      <c r="AF91" s="118"/>
    </row>
    <row r="92" ht="22.5" customHeight="1">
      <c r="A92" s="401">
        <v>90.0</v>
      </c>
      <c r="B92" s="60">
        <v>1.0</v>
      </c>
      <c r="C92" s="362" t="s">
        <v>592</v>
      </c>
      <c r="D92" s="1026" t="s">
        <v>51</v>
      </c>
      <c r="E92" s="1026"/>
      <c r="F92" s="1209"/>
      <c r="G92" s="643" t="s">
        <v>594</v>
      </c>
      <c r="H92" s="1027">
        <v>6.28251979E8</v>
      </c>
      <c r="I92" s="88">
        <f t="shared" si="1"/>
        <v>4</v>
      </c>
      <c r="J92" s="269">
        <v>6.0</v>
      </c>
      <c r="K92" s="112">
        <v>44562.0</v>
      </c>
      <c r="L92" s="1222" t="b">
        <v>1</v>
      </c>
      <c r="M92" s="107">
        <v>44679.0</v>
      </c>
      <c r="N92" s="1222" t="b">
        <v>1</v>
      </c>
      <c r="O92" s="107">
        <v>44971.0</v>
      </c>
      <c r="P92" s="1222" t="b">
        <v>1</v>
      </c>
      <c r="Q92" s="107">
        <v>45140.0</v>
      </c>
      <c r="R92" s="164" t="b">
        <v>1</v>
      </c>
      <c r="S92" s="107">
        <v>45292.0</v>
      </c>
      <c r="T92" s="164" t="b">
        <v>0</v>
      </c>
      <c r="U92" s="107">
        <v>45446.0</v>
      </c>
      <c r="V92" s="164" t="b">
        <v>0</v>
      </c>
      <c r="W92" s="107"/>
      <c r="X92" s="164"/>
      <c r="Y92" s="107"/>
      <c r="Z92" s="106"/>
      <c r="AA92" s="107"/>
      <c r="AB92" s="106"/>
      <c r="AC92" s="107"/>
      <c r="AD92" s="106"/>
      <c r="AE92" s="283"/>
      <c r="AF92" s="118"/>
    </row>
    <row r="93" ht="22.5" customHeight="1">
      <c r="A93" s="401">
        <v>91.0</v>
      </c>
      <c r="B93" s="60">
        <v>25.0</v>
      </c>
      <c r="C93" s="70" t="s">
        <v>897</v>
      </c>
      <c r="D93" s="64" t="s">
        <v>51</v>
      </c>
      <c r="E93" s="64"/>
      <c r="F93" s="782"/>
      <c r="G93" s="70" t="s">
        <v>899</v>
      </c>
      <c r="H93" s="71">
        <v>8.3650888E8</v>
      </c>
      <c r="I93" s="88">
        <f t="shared" si="1"/>
        <v>3</v>
      </c>
      <c r="J93" s="90">
        <v>4.0</v>
      </c>
      <c r="K93" s="211">
        <v>44833.0</v>
      </c>
      <c r="L93" s="106" t="b">
        <v>1</v>
      </c>
      <c r="M93" s="171">
        <v>45014.0</v>
      </c>
      <c r="N93" s="106" t="b">
        <v>1</v>
      </c>
      <c r="O93" s="171">
        <v>45259.0</v>
      </c>
      <c r="P93" s="106" t="b">
        <v>1</v>
      </c>
      <c r="Q93" s="107">
        <v>45421.0</v>
      </c>
      <c r="R93" s="164" t="b">
        <v>0</v>
      </c>
      <c r="S93" s="107">
        <v>45604.0</v>
      </c>
      <c r="T93" s="106" t="b">
        <v>0</v>
      </c>
      <c r="U93" s="107">
        <v>45786.0</v>
      </c>
      <c r="V93" s="164" t="b">
        <v>0</v>
      </c>
      <c r="W93" s="107"/>
      <c r="X93" s="106"/>
      <c r="Y93" s="107"/>
      <c r="Z93" s="106"/>
      <c r="AA93" s="107"/>
      <c r="AB93" s="106"/>
      <c r="AC93" s="107"/>
      <c r="AD93" s="106"/>
      <c r="AE93" s="288"/>
      <c r="AF93" s="220" t="s">
        <v>204</v>
      </c>
    </row>
    <row r="94" ht="22.5" customHeight="1">
      <c r="A94" s="401">
        <v>92.0</v>
      </c>
      <c r="B94" s="60">
        <v>41.0</v>
      </c>
      <c r="C94" s="1233" t="s">
        <v>716</v>
      </c>
      <c r="D94" s="821" t="s">
        <v>55</v>
      </c>
      <c r="E94" s="821"/>
      <c r="F94" s="824"/>
      <c r="G94" s="825" t="s">
        <v>329</v>
      </c>
      <c r="H94" s="811"/>
      <c r="I94" s="1237">
        <f t="shared" si="1"/>
        <v>2</v>
      </c>
      <c r="J94" s="1035">
        <v>2.0</v>
      </c>
      <c r="K94" s="1036">
        <v>44963.0</v>
      </c>
      <c r="L94" s="1072" t="b">
        <v>1</v>
      </c>
      <c r="M94" s="1036">
        <v>45345.0</v>
      </c>
      <c r="N94" s="1072" t="b">
        <v>1</v>
      </c>
      <c r="O94" s="1036"/>
      <c r="P94" s="1072" t="b">
        <v>0</v>
      </c>
      <c r="Q94" s="1036"/>
      <c r="R94" s="237" t="b">
        <v>0</v>
      </c>
      <c r="S94" s="242"/>
      <c r="T94" s="237"/>
      <c r="U94" s="242"/>
      <c r="V94" s="237"/>
      <c r="W94" s="242"/>
      <c r="X94" s="237"/>
      <c r="Y94" s="107"/>
      <c r="Z94" s="106"/>
      <c r="AA94" s="107"/>
      <c r="AB94" s="106"/>
      <c r="AC94" s="242"/>
      <c r="AD94" s="237"/>
      <c r="AE94" s="1037"/>
      <c r="AF94" s="118"/>
    </row>
    <row r="95" ht="22.5" customHeight="1">
      <c r="A95" s="401">
        <v>93.0</v>
      </c>
      <c r="B95" s="60">
        <v>17.0</v>
      </c>
      <c r="C95" s="362" t="s">
        <v>604</v>
      </c>
      <c r="D95" s="645" t="s">
        <v>555</v>
      </c>
      <c r="E95" s="645"/>
      <c r="F95" s="843"/>
      <c r="G95" s="362" t="s">
        <v>605</v>
      </c>
      <c r="H95" s="364">
        <v>8.17369884E8</v>
      </c>
      <c r="I95" s="673">
        <f t="shared" si="1"/>
        <v>4</v>
      </c>
      <c r="J95" s="886">
        <v>4.0</v>
      </c>
      <c r="K95" s="261">
        <v>44564.0</v>
      </c>
      <c r="L95" s="321" t="b">
        <v>1</v>
      </c>
      <c r="M95" s="261">
        <v>44713.0</v>
      </c>
      <c r="N95" s="321" t="b">
        <v>1</v>
      </c>
      <c r="O95" s="261">
        <v>44931.0</v>
      </c>
      <c r="P95" s="321" t="b">
        <v>1</v>
      </c>
      <c r="Q95" s="264">
        <v>45114.0</v>
      </c>
      <c r="R95" s="106" t="b">
        <v>1</v>
      </c>
      <c r="S95" s="107"/>
      <c r="T95" s="106"/>
      <c r="U95" s="107"/>
      <c r="V95" s="106"/>
      <c r="W95" s="107"/>
      <c r="X95" s="106"/>
      <c r="Y95" s="107"/>
      <c r="Z95" s="106"/>
      <c r="AA95" s="107"/>
      <c r="AB95" s="106"/>
      <c r="AC95" s="107"/>
      <c r="AD95" s="106"/>
      <c r="AE95" s="862" t="s">
        <v>58</v>
      </c>
      <c r="AF95" s="118"/>
    </row>
    <row r="96" ht="22.5" customHeight="1">
      <c r="A96" s="401">
        <v>94.0</v>
      </c>
      <c r="B96" s="60">
        <v>111.0</v>
      </c>
      <c r="C96" s="362" t="s">
        <v>748</v>
      </c>
      <c r="D96" s="645" t="s">
        <v>51</v>
      </c>
      <c r="E96" s="645"/>
      <c r="F96" s="843"/>
      <c r="G96" s="362"/>
      <c r="H96" s="364"/>
      <c r="I96" s="673">
        <f t="shared" si="1"/>
        <v>0</v>
      </c>
      <c r="J96" s="886">
        <v>4.0</v>
      </c>
      <c r="K96" s="261">
        <v>45394.0</v>
      </c>
      <c r="L96" s="321" t="b">
        <v>0</v>
      </c>
      <c r="M96" s="261">
        <v>45577.0</v>
      </c>
      <c r="N96" s="321" t="b">
        <v>0</v>
      </c>
      <c r="O96" s="261">
        <v>45759.0</v>
      </c>
      <c r="P96" s="323" t="b">
        <v>0</v>
      </c>
      <c r="Q96" s="264">
        <v>45942.0</v>
      </c>
      <c r="R96" s="164" t="b">
        <v>0</v>
      </c>
      <c r="S96" s="107"/>
      <c r="T96" s="106"/>
      <c r="U96" s="107"/>
      <c r="V96" s="106"/>
      <c r="W96" s="107"/>
      <c r="X96" s="106"/>
      <c r="Y96" s="107"/>
      <c r="Z96" s="106"/>
      <c r="AA96" s="107"/>
      <c r="AB96" s="106"/>
      <c r="AC96" s="107"/>
      <c r="AD96" s="106"/>
      <c r="AE96" s="862"/>
      <c r="AF96" s="118"/>
    </row>
    <row r="97" ht="22.5" customHeight="1">
      <c r="A97" s="401">
        <v>95.0</v>
      </c>
      <c r="B97" s="60">
        <v>107.0</v>
      </c>
      <c r="C97" s="362" t="s">
        <v>773</v>
      </c>
      <c r="D97" s="645" t="s">
        <v>51</v>
      </c>
      <c r="E97" s="645"/>
      <c r="F97" s="843"/>
      <c r="G97" s="362"/>
      <c r="H97" s="364"/>
      <c r="I97" s="673">
        <f t="shared" si="1"/>
        <v>0</v>
      </c>
      <c r="J97" s="886">
        <v>4.0</v>
      </c>
      <c r="K97" s="261">
        <v>45393.0</v>
      </c>
      <c r="L97" s="321" t="b">
        <v>0</v>
      </c>
      <c r="M97" s="261">
        <v>45576.0</v>
      </c>
      <c r="N97" s="321" t="b">
        <v>0</v>
      </c>
      <c r="O97" s="261">
        <v>45758.0</v>
      </c>
      <c r="P97" s="323" t="b">
        <v>0</v>
      </c>
      <c r="Q97" s="264">
        <v>45941.0</v>
      </c>
      <c r="R97" s="164" t="b">
        <v>0</v>
      </c>
      <c r="S97" s="107"/>
      <c r="T97" s="106"/>
      <c r="U97" s="107"/>
      <c r="V97" s="106"/>
      <c r="W97" s="107"/>
      <c r="X97" s="106"/>
      <c r="Y97" s="107"/>
      <c r="Z97" s="106"/>
      <c r="AA97" s="107"/>
      <c r="AB97" s="106"/>
      <c r="AC97" s="107"/>
      <c r="AD97" s="106"/>
      <c r="AE97" s="862"/>
      <c r="AF97" s="118"/>
    </row>
    <row r="98" ht="22.5" customHeight="1">
      <c r="A98" s="401">
        <v>96.0</v>
      </c>
      <c r="B98" s="60">
        <v>99.0</v>
      </c>
      <c r="C98" s="362" t="s">
        <v>777</v>
      </c>
      <c r="D98" s="645" t="s">
        <v>51</v>
      </c>
      <c r="E98" s="645"/>
      <c r="F98" s="843"/>
      <c r="G98" s="362"/>
      <c r="H98" s="364"/>
      <c r="I98" s="673">
        <f t="shared" si="1"/>
        <v>0</v>
      </c>
      <c r="J98" s="886">
        <v>4.0</v>
      </c>
      <c r="K98" s="261">
        <v>45384.0</v>
      </c>
      <c r="L98" s="321" t="b">
        <v>0</v>
      </c>
      <c r="M98" s="261">
        <v>45567.0</v>
      </c>
      <c r="N98" s="321" t="b">
        <v>0</v>
      </c>
      <c r="O98" s="261">
        <v>45749.0</v>
      </c>
      <c r="P98" s="323" t="b">
        <v>0</v>
      </c>
      <c r="Q98" s="264">
        <v>45932.0</v>
      </c>
      <c r="R98" s="164" t="b">
        <v>0</v>
      </c>
      <c r="S98" s="107"/>
      <c r="T98" s="106"/>
      <c r="U98" s="107"/>
      <c r="V98" s="106"/>
      <c r="W98" s="107"/>
      <c r="X98" s="106"/>
      <c r="Y98" s="107"/>
      <c r="Z98" s="106"/>
      <c r="AA98" s="107"/>
      <c r="AB98" s="106"/>
      <c r="AC98" s="107"/>
      <c r="AD98" s="106"/>
      <c r="AE98" s="862"/>
      <c r="AF98" s="118"/>
    </row>
    <row r="99" ht="22.5" customHeight="1">
      <c r="A99" s="401">
        <v>102.0</v>
      </c>
      <c r="B99" s="60">
        <v>84.0</v>
      </c>
      <c r="C99" s="362" t="s">
        <v>608</v>
      </c>
      <c r="D99" s="645" t="s">
        <v>51</v>
      </c>
      <c r="E99" s="645"/>
      <c r="F99" s="843"/>
      <c r="G99" s="362" t="s">
        <v>1065</v>
      </c>
      <c r="H99" s="364" t="s">
        <v>958</v>
      </c>
      <c r="I99" s="673">
        <f t="shared" si="1"/>
        <v>0</v>
      </c>
      <c r="J99" s="886">
        <v>4.0</v>
      </c>
      <c r="K99" s="261">
        <v>45306.0</v>
      </c>
      <c r="L99" s="321" t="b">
        <v>0</v>
      </c>
      <c r="M99" s="261">
        <v>45453.0</v>
      </c>
      <c r="N99" s="323" t="b">
        <v>0</v>
      </c>
      <c r="O99" s="261">
        <v>45636.0</v>
      </c>
      <c r="P99" s="323" t="b">
        <v>0</v>
      </c>
      <c r="Q99" s="264">
        <v>45670.0</v>
      </c>
      <c r="R99" s="106" t="b">
        <v>0</v>
      </c>
      <c r="S99" s="107"/>
      <c r="T99" s="106"/>
      <c r="U99" s="107"/>
      <c r="V99" s="106"/>
      <c r="W99" s="107"/>
      <c r="X99" s="106"/>
      <c r="Y99" s="107"/>
      <c r="Z99" s="106"/>
      <c r="AA99" s="107"/>
      <c r="AB99" s="106"/>
      <c r="AC99" s="107"/>
      <c r="AD99" s="106"/>
      <c r="AE99" s="862"/>
      <c r="AF99" s="118"/>
    </row>
    <row r="100" ht="22.5" customHeight="1">
      <c r="A100" s="401">
        <v>97.0</v>
      </c>
      <c r="B100" s="60">
        <v>85.0</v>
      </c>
      <c r="C100" s="362" t="s">
        <v>611</v>
      </c>
      <c r="D100" s="645" t="s">
        <v>51</v>
      </c>
      <c r="E100" s="645"/>
      <c r="F100" s="843"/>
      <c r="G100" s="362"/>
      <c r="H100" s="364"/>
      <c r="I100" s="673">
        <f t="shared" si="1"/>
        <v>0</v>
      </c>
      <c r="J100" s="886">
        <v>4.0</v>
      </c>
      <c r="K100" s="261">
        <v>45306.0</v>
      </c>
      <c r="L100" s="323" t="b">
        <v>0</v>
      </c>
      <c r="M100" s="261">
        <v>45453.0</v>
      </c>
      <c r="N100" s="323" t="b">
        <v>0</v>
      </c>
      <c r="O100" s="261">
        <v>45636.0</v>
      </c>
      <c r="P100" s="323" t="b">
        <v>0</v>
      </c>
      <c r="Q100" s="264">
        <v>45670.0</v>
      </c>
      <c r="R100" s="106" t="b">
        <v>0</v>
      </c>
      <c r="S100" s="107"/>
      <c r="T100" s="106"/>
      <c r="U100" s="107"/>
      <c r="V100" s="106"/>
      <c r="W100" s="107"/>
      <c r="X100" s="106"/>
      <c r="Y100" s="107"/>
      <c r="Z100" s="106"/>
      <c r="AA100" s="107"/>
      <c r="AB100" s="106"/>
      <c r="AC100" s="107"/>
      <c r="AD100" s="106"/>
      <c r="AE100" s="862"/>
      <c r="AF100" s="118"/>
    </row>
    <row r="101" ht="22.5" customHeight="1">
      <c r="A101" s="401">
        <v>98.0</v>
      </c>
      <c r="B101" s="60">
        <v>101.0</v>
      </c>
      <c r="C101" s="362" t="s">
        <v>793</v>
      </c>
      <c r="D101" s="645" t="s">
        <v>51</v>
      </c>
      <c r="E101" s="645"/>
      <c r="F101" s="843"/>
      <c r="G101" s="362"/>
      <c r="H101" s="364"/>
      <c r="I101" s="673">
        <f t="shared" si="1"/>
        <v>0</v>
      </c>
      <c r="J101" s="886">
        <v>4.0</v>
      </c>
      <c r="K101" s="261">
        <v>45392.0</v>
      </c>
      <c r="L101" s="321" t="b">
        <v>0</v>
      </c>
      <c r="M101" s="261">
        <v>45575.0</v>
      </c>
      <c r="N101" s="321" t="b">
        <v>0</v>
      </c>
      <c r="O101" s="261">
        <v>45757.0</v>
      </c>
      <c r="P101" s="323" t="b">
        <v>0</v>
      </c>
      <c r="Q101" s="264">
        <v>45940.0</v>
      </c>
      <c r="R101" s="164" t="b">
        <v>0</v>
      </c>
      <c r="S101" s="107"/>
      <c r="T101" s="106"/>
      <c r="U101" s="107"/>
      <c r="V101" s="106"/>
      <c r="W101" s="107"/>
      <c r="X101" s="106"/>
      <c r="Y101" s="107"/>
      <c r="Z101" s="106"/>
      <c r="AA101" s="107"/>
      <c r="AB101" s="106"/>
      <c r="AC101" s="107"/>
      <c r="AD101" s="106"/>
      <c r="AE101" s="862"/>
      <c r="AF101" s="118"/>
    </row>
    <row r="102" ht="22.5" customHeight="1">
      <c r="A102" s="401">
        <v>99.0</v>
      </c>
      <c r="B102" s="60">
        <v>78.0</v>
      </c>
      <c r="C102" s="362" t="s">
        <v>619</v>
      </c>
      <c r="D102" s="645" t="s">
        <v>51</v>
      </c>
      <c r="E102" s="645"/>
      <c r="F102" s="843"/>
      <c r="G102" s="362" t="s">
        <v>988</v>
      </c>
      <c r="H102" s="364" t="s">
        <v>989</v>
      </c>
      <c r="I102" s="673">
        <f t="shared" si="1"/>
        <v>1</v>
      </c>
      <c r="J102" s="886">
        <v>4.0</v>
      </c>
      <c r="K102" s="261">
        <v>45299.0</v>
      </c>
      <c r="L102" s="321" t="b">
        <v>1</v>
      </c>
      <c r="M102" s="261">
        <v>45457.0</v>
      </c>
      <c r="N102" s="323" t="b">
        <v>0</v>
      </c>
      <c r="O102" s="261">
        <v>45642.0</v>
      </c>
      <c r="P102" s="323" t="b">
        <v>0</v>
      </c>
      <c r="Q102" s="264">
        <v>45824.0</v>
      </c>
      <c r="R102" s="106" t="b">
        <v>0</v>
      </c>
      <c r="S102" s="107"/>
      <c r="T102" s="106"/>
      <c r="U102" s="107"/>
      <c r="V102" s="106"/>
      <c r="W102" s="107"/>
      <c r="X102" s="106"/>
      <c r="Y102" s="107"/>
      <c r="Z102" s="106"/>
      <c r="AA102" s="107"/>
      <c r="AB102" s="106"/>
      <c r="AC102" s="107"/>
      <c r="AD102" s="106"/>
      <c r="AE102" s="862"/>
      <c r="AF102" s="118"/>
    </row>
    <row r="103" ht="22.5" customHeight="1">
      <c r="A103" s="401">
        <v>100.0</v>
      </c>
      <c r="B103" s="60">
        <v>72.0</v>
      </c>
      <c r="C103" s="362" t="s">
        <v>623</v>
      </c>
      <c r="D103" s="645" t="s">
        <v>51</v>
      </c>
      <c r="E103" s="645"/>
      <c r="F103" s="843"/>
      <c r="G103" s="362" t="s">
        <v>1076</v>
      </c>
      <c r="H103" s="364">
        <v>9.18144495E8</v>
      </c>
      <c r="I103" s="673">
        <f t="shared" si="1"/>
        <v>2</v>
      </c>
      <c r="J103" s="886">
        <v>4.0</v>
      </c>
      <c r="K103" s="261">
        <v>45236.0</v>
      </c>
      <c r="L103" s="321" t="b">
        <v>1</v>
      </c>
      <c r="M103" s="261">
        <v>45490.0</v>
      </c>
      <c r="N103" s="321" t="b">
        <v>1</v>
      </c>
      <c r="O103" s="261">
        <v>45637.0</v>
      </c>
      <c r="P103" s="323" t="b">
        <v>0</v>
      </c>
      <c r="Q103" s="264">
        <v>45674.0</v>
      </c>
      <c r="R103" s="106" t="b">
        <v>0</v>
      </c>
      <c r="S103" s="107"/>
      <c r="T103" s="106"/>
      <c r="U103" s="107"/>
      <c r="V103" s="106"/>
      <c r="W103" s="107"/>
      <c r="X103" s="106"/>
      <c r="Y103" s="107"/>
      <c r="Z103" s="106"/>
      <c r="AA103" s="107"/>
      <c r="AB103" s="106"/>
      <c r="AC103" s="107"/>
      <c r="AD103" s="106"/>
      <c r="AE103" s="862"/>
      <c r="AF103" s="118"/>
    </row>
    <row r="104" ht="22.5" customHeight="1">
      <c r="A104" s="401">
        <v>101.0</v>
      </c>
      <c r="B104" s="60">
        <v>33.0</v>
      </c>
      <c r="C104" s="362" t="s">
        <v>806</v>
      </c>
      <c r="D104" s="645" t="s">
        <v>51</v>
      </c>
      <c r="E104" s="645"/>
      <c r="F104" s="843"/>
      <c r="G104" s="362" t="s">
        <v>351</v>
      </c>
      <c r="H104" s="364" t="s">
        <v>992</v>
      </c>
      <c r="I104" s="673">
        <f t="shared" si="1"/>
        <v>2</v>
      </c>
      <c r="J104" s="886">
        <v>4.0</v>
      </c>
      <c r="K104" s="261">
        <v>44922.0</v>
      </c>
      <c r="L104" s="321" t="b">
        <v>1</v>
      </c>
      <c r="M104" s="261">
        <v>45246.0</v>
      </c>
      <c r="N104" s="321" t="b">
        <v>1</v>
      </c>
      <c r="O104" s="261">
        <v>45428.0</v>
      </c>
      <c r="P104" s="321" t="b">
        <v>0</v>
      </c>
      <c r="Q104" s="264">
        <v>45611.0</v>
      </c>
      <c r="R104" s="106" t="b">
        <v>0</v>
      </c>
      <c r="S104" s="107"/>
      <c r="T104" s="106"/>
      <c r="U104" s="107"/>
      <c r="V104" s="106"/>
      <c r="W104" s="107"/>
      <c r="X104" s="106"/>
      <c r="Y104" s="107"/>
      <c r="Z104" s="106"/>
      <c r="AA104" s="107"/>
      <c r="AB104" s="106"/>
      <c r="AC104" s="107"/>
      <c r="AD104" s="106"/>
      <c r="AE104" s="880"/>
      <c r="AF104" s="118"/>
    </row>
    <row r="105" ht="22.5" customHeight="1">
      <c r="A105" s="401">
        <v>103.0</v>
      </c>
      <c r="B105" s="60">
        <v>91.0</v>
      </c>
      <c r="C105" s="362" t="s">
        <v>808</v>
      </c>
      <c r="D105" s="645" t="s">
        <v>51</v>
      </c>
      <c r="E105" s="645"/>
      <c r="F105" s="843"/>
      <c r="G105" s="362" t="s">
        <v>1079</v>
      </c>
      <c r="H105" s="364">
        <v>8.67778043E8</v>
      </c>
      <c r="I105" s="673">
        <f t="shared" si="1"/>
        <v>0</v>
      </c>
      <c r="J105" s="886">
        <v>4.0</v>
      </c>
      <c r="K105" s="261">
        <v>45362.0</v>
      </c>
      <c r="L105" s="526" t="b">
        <v>0</v>
      </c>
      <c r="M105" s="261">
        <v>45546.0</v>
      </c>
      <c r="N105" s="526" t="b">
        <v>0</v>
      </c>
      <c r="O105" s="261">
        <v>45726.0</v>
      </c>
      <c r="P105" s="526" t="b">
        <v>0</v>
      </c>
      <c r="Q105" s="264">
        <v>45910.0</v>
      </c>
      <c r="R105" s="106" t="b">
        <v>0</v>
      </c>
      <c r="S105" s="107"/>
      <c r="T105" s="106"/>
      <c r="U105" s="107"/>
      <c r="V105" s="106"/>
      <c r="W105" s="107"/>
      <c r="X105" s="106"/>
      <c r="Y105" s="107"/>
      <c r="Z105" s="106"/>
      <c r="AA105" s="107"/>
      <c r="AB105" s="106"/>
      <c r="AC105" s="107"/>
      <c r="AD105" s="106"/>
      <c r="AE105" s="862"/>
      <c r="AF105" s="118"/>
    </row>
    <row r="106" ht="22.5" customHeight="1">
      <c r="A106" s="401">
        <v>104.0</v>
      </c>
      <c r="B106" s="60">
        <v>95.0</v>
      </c>
      <c r="C106" s="362" t="s">
        <v>822</v>
      </c>
      <c r="D106" s="645" t="s">
        <v>51</v>
      </c>
      <c r="E106" s="645"/>
      <c r="F106" s="843"/>
      <c r="G106" s="362"/>
      <c r="H106" s="364"/>
      <c r="I106" s="673">
        <f t="shared" si="1"/>
        <v>0</v>
      </c>
      <c r="J106" s="886">
        <v>4.0</v>
      </c>
      <c r="K106" s="261">
        <v>45371.0</v>
      </c>
      <c r="L106" s="321" t="b">
        <v>0</v>
      </c>
      <c r="M106" s="261">
        <v>45555.0</v>
      </c>
      <c r="N106" s="321" t="b">
        <v>0</v>
      </c>
      <c r="O106" s="261">
        <v>45736.0</v>
      </c>
      <c r="P106" s="323" t="b">
        <v>0</v>
      </c>
      <c r="Q106" s="264">
        <v>45922.0</v>
      </c>
      <c r="R106" s="164" t="b">
        <v>0</v>
      </c>
      <c r="S106" s="107"/>
      <c r="T106" s="106"/>
      <c r="U106" s="107"/>
      <c r="V106" s="106"/>
      <c r="W106" s="107"/>
      <c r="X106" s="651"/>
      <c r="Y106" s="107"/>
      <c r="Z106" s="106"/>
      <c r="AA106" s="107"/>
      <c r="AB106" s="106"/>
      <c r="AC106" s="107"/>
      <c r="AD106" s="651"/>
      <c r="AE106" s="862"/>
      <c r="AF106" s="118"/>
    </row>
    <row r="107" ht="22.5" customHeight="1">
      <c r="A107" s="401">
        <v>105.0</v>
      </c>
      <c r="B107" s="60">
        <v>18.0</v>
      </c>
      <c r="C107" s="1041" t="s">
        <v>625</v>
      </c>
      <c r="D107" s="1026" t="s">
        <v>55</v>
      </c>
      <c r="E107" s="1026"/>
      <c r="F107" s="1209"/>
      <c r="G107" s="643" t="s">
        <v>626</v>
      </c>
      <c r="H107" s="1027" t="s">
        <v>627</v>
      </c>
      <c r="I107" s="673">
        <f t="shared" si="1"/>
        <v>4</v>
      </c>
      <c r="J107" s="1028">
        <v>8.0</v>
      </c>
      <c r="K107" s="264">
        <v>44576.0</v>
      </c>
      <c r="L107" s="336" t="b">
        <v>1</v>
      </c>
      <c r="M107" s="264">
        <v>44744.0</v>
      </c>
      <c r="N107" s="336" t="b">
        <v>1</v>
      </c>
      <c r="O107" s="264">
        <v>44931.0</v>
      </c>
      <c r="P107" s="336" t="b">
        <v>1</v>
      </c>
      <c r="Q107" s="264">
        <v>45110.0</v>
      </c>
      <c r="R107" s="164" t="b">
        <v>1</v>
      </c>
      <c r="S107" s="101">
        <v>45321.0</v>
      </c>
      <c r="T107" s="164" t="b">
        <v>0</v>
      </c>
      <c r="U107" s="101">
        <v>45470.0</v>
      </c>
      <c r="V107" s="164" t="b">
        <v>0</v>
      </c>
      <c r="W107" s="107">
        <v>45684.0</v>
      </c>
      <c r="X107" s="1281" t="b">
        <v>0</v>
      </c>
      <c r="Y107" s="107">
        <v>45835.0</v>
      </c>
      <c r="Z107" s="164" t="b">
        <v>0</v>
      </c>
      <c r="AA107" s="107"/>
      <c r="AB107" s="106"/>
      <c r="AC107" s="107"/>
      <c r="AD107" s="1281"/>
      <c r="AE107" s="1029" t="s">
        <v>58</v>
      </c>
      <c r="AF107" s="118"/>
    </row>
    <row r="108" ht="22.5" customHeight="1">
      <c r="A108" s="401">
        <v>106.0</v>
      </c>
      <c r="B108" s="60">
        <v>54.0</v>
      </c>
      <c r="C108" s="362" t="s">
        <v>634</v>
      </c>
      <c r="D108" s="645" t="s">
        <v>51</v>
      </c>
      <c r="E108" s="645"/>
      <c r="F108" s="843"/>
      <c r="G108" s="362"/>
      <c r="H108" s="364" t="s">
        <v>408</v>
      </c>
      <c r="I108" s="673">
        <f t="shared" si="1"/>
        <v>2</v>
      </c>
      <c r="J108" s="886">
        <v>4.0</v>
      </c>
      <c r="K108" s="261">
        <v>45086.0</v>
      </c>
      <c r="L108" s="321" t="b">
        <v>1</v>
      </c>
      <c r="M108" s="261">
        <v>45330.0</v>
      </c>
      <c r="N108" s="321" t="b">
        <v>1</v>
      </c>
      <c r="O108" s="261">
        <v>45453.0</v>
      </c>
      <c r="P108" s="323" t="b">
        <v>0</v>
      </c>
      <c r="Q108" s="264">
        <v>45635.0</v>
      </c>
      <c r="R108" s="164" t="b">
        <v>0</v>
      </c>
      <c r="S108" s="107"/>
      <c r="T108" s="106"/>
      <c r="U108" s="107"/>
      <c r="V108" s="106"/>
      <c r="W108" s="107"/>
      <c r="X108" s="651"/>
      <c r="Y108" s="107"/>
      <c r="Z108" s="106"/>
      <c r="AA108" s="107"/>
      <c r="AB108" s="106"/>
      <c r="AC108" s="107"/>
      <c r="AD108" s="651"/>
      <c r="AE108" s="1022"/>
      <c r="AF108" s="118"/>
    </row>
    <row r="109" ht="22.5" customHeight="1">
      <c r="A109" s="401">
        <v>107.0</v>
      </c>
      <c r="B109" s="60">
        <v>2.0</v>
      </c>
      <c r="C109" s="362" t="s">
        <v>837</v>
      </c>
      <c r="D109" s="942" t="s">
        <v>51</v>
      </c>
      <c r="E109" s="645"/>
      <c r="F109" s="843"/>
      <c r="G109" s="362" t="s">
        <v>647</v>
      </c>
      <c r="H109" s="364">
        <v>8.42905559E8</v>
      </c>
      <c r="I109" s="673">
        <f t="shared" si="1"/>
        <v>4</v>
      </c>
      <c r="J109" s="886">
        <v>6.0</v>
      </c>
      <c r="K109" s="261">
        <v>44562.0</v>
      </c>
      <c r="L109" s="321" t="b">
        <v>1</v>
      </c>
      <c r="M109" s="261">
        <v>44562.0</v>
      </c>
      <c r="N109" s="321" t="b">
        <v>1</v>
      </c>
      <c r="O109" s="261">
        <v>45026.0</v>
      </c>
      <c r="P109" s="321" t="b">
        <v>1</v>
      </c>
      <c r="Q109" s="264">
        <v>45254.0</v>
      </c>
      <c r="R109" s="106" t="b">
        <v>1</v>
      </c>
      <c r="S109" s="107">
        <v>45390.0</v>
      </c>
      <c r="T109" s="106" t="b">
        <v>0</v>
      </c>
      <c r="U109" s="107">
        <v>45575.0</v>
      </c>
      <c r="V109" s="106" t="b">
        <v>0</v>
      </c>
      <c r="W109" s="107"/>
      <c r="X109" s="651"/>
      <c r="Y109" s="107"/>
      <c r="Z109" s="106"/>
      <c r="AA109" s="107"/>
      <c r="AB109" s="106"/>
      <c r="AC109" s="107"/>
      <c r="AD109" s="651"/>
      <c r="AE109" s="862"/>
      <c r="AF109" s="118"/>
    </row>
    <row r="110" ht="22.5" customHeight="1">
      <c r="A110" s="401">
        <v>108.0</v>
      </c>
      <c r="B110" s="60">
        <v>65.0</v>
      </c>
      <c r="C110" s="362" t="s">
        <v>1088</v>
      </c>
      <c r="D110" s="645" t="s">
        <v>51</v>
      </c>
      <c r="E110" s="645"/>
      <c r="F110" s="843"/>
      <c r="G110" s="362" t="s">
        <v>1089</v>
      </c>
      <c r="H110" s="1294" t="s">
        <v>1090</v>
      </c>
      <c r="I110" s="673">
        <f t="shared" si="1"/>
        <v>0</v>
      </c>
      <c r="J110" s="886">
        <v>4.0</v>
      </c>
      <c r="K110" s="261">
        <v>45222.0</v>
      </c>
      <c r="L110" s="323" t="b">
        <v>0</v>
      </c>
      <c r="M110" s="261">
        <v>45404.0</v>
      </c>
      <c r="N110" s="323" t="b">
        <v>0</v>
      </c>
      <c r="O110" s="261">
        <v>45586.0</v>
      </c>
      <c r="P110" s="323" t="b">
        <v>0</v>
      </c>
      <c r="Q110" s="264">
        <v>45768.0</v>
      </c>
      <c r="R110" s="106" t="b">
        <v>0</v>
      </c>
      <c r="S110" s="107"/>
      <c r="T110" s="106"/>
      <c r="U110" s="107"/>
      <c r="V110" s="106"/>
      <c r="W110" s="107"/>
      <c r="X110" s="651"/>
      <c r="Y110" s="107"/>
      <c r="Z110" s="106"/>
      <c r="AA110" s="107"/>
      <c r="AB110" s="106"/>
      <c r="AC110" s="107"/>
      <c r="AD110" s="651"/>
      <c r="AE110" s="862"/>
      <c r="AF110" s="118"/>
    </row>
    <row r="111" ht="22.5" customHeight="1">
      <c r="A111" s="401">
        <v>109.0</v>
      </c>
      <c r="B111" s="60">
        <v>20.0</v>
      </c>
      <c r="C111" s="953" t="s">
        <v>642</v>
      </c>
      <c r="D111" s="645" t="s">
        <v>51</v>
      </c>
      <c r="E111" s="358"/>
      <c r="F111" s="1301"/>
      <c r="G111" s="358" t="s">
        <v>1054</v>
      </c>
      <c r="H111" s="364" t="s">
        <v>1055</v>
      </c>
      <c r="I111" s="673">
        <f t="shared" si="1"/>
        <v>4</v>
      </c>
      <c r="J111" s="886">
        <v>6.0</v>
      </c>
      <c r="K111" s="261">
        <v>44676.0</v>
      </c>
      <c r="L111" s="321" t="b">
        <v>1</v>
      </c>
      <c r="M111" s="261">
        <v>44879.0</v>
      </c>
      <c r="N111" s="321" t="b">
        <v>1</v>
      </c>
      <c r="O111" s="261">
        <v>45068.0</v>
      </c>
      <c r="P111" s="321" t="b">
        <v>1</v>
      </c>
      <c r="Q111" s="264">
        <v>45254.0</v>
      </c>
      <c r="R111" s="164" t="b">
        <v>1</v>
      </c>
      <c r="S111" s="107">
        <v>45418.0</v>
      </c>
      <c r="T111" s="106" t="b">
        <v>0</v>
      </c>
      <c r="U111" s="107">
        <v>45598.0</v>
      </c>
      <c r="V111" s="164" t="b">
        <v>0</v>
      </c>
      <c r="W111" s="107"/>
      <c r="X111" s="651"/>
      <c r="Y111" s="107"/>
      <c r="Z111" s="106"/>
      <c r="AA111" s="107"/>
      <c r="AB111" s="106"/>
      <c r="AC111" s="107"/>
      <c r="AD111" s="651"/>
      <c r="AE111" s="862"/>
      <c r="AF111" s="118"/>
    </row>
    <row r="112" ht="22.5" customHeight="1">
      <c r="A112" s="401">
        <v>110.0</v>
      </c>
      <c r="B112" s="60">
        <v>51.0</v>
      </c>
      <c r="C112" s="362" t="s">
        <v>179</v>
      </c>
      <c r="D112" s="645" t="s">
        <v>51</v>
      </c>
      <c r="E112" s="645"/>
      <c r="F112" s="843"/>
      <c r="G112" s="362" t="s">
        <v>181</v>
      </c>
      <c r="H112" s="364"/>
      <c r="I112" s="673">
        <f t="shared" si="1"/>
        <v>0</v>
      </c>
      <c r="J112" s="886">
        <v>4.0</v>
      </c>
      <c r="K112" s="261">
        <v>45061.0</v>
      </c>
      <c r="L112" s="323" t="b">
        <v>0</v>
      </c>
      <c r="M112" s="261">
        <v>45245.0</v>
      </c>
      <c r="N112" s="323" t="b">
        <v>0</v>
      </c>
      <c r="O112" s="261">
        <v>45427.0</v>
      </c>
      <c r="P112" s="323" t="b">
        <v>0</v>
      </c>
      <c r="Q112" s="264">
        <v>45611.0</v>
      </c>
      <c r="R112" s="106" t="b">
        <v>0</v>
      </c>
      <c r="S112" s="107"/>
      <c r="T112" s="106"/>
      <c r="U112" s="107"/>
      <c r="V112" s="106"/>
      <c r="W112" s="107"/>
      <c r="X112" s="651"/>
      <c r="Y112" s="107"/>
      <c r="Z112" s="106"/>
      <c r="AA112" s="107"/>
      <c r="AB112" s="106"/>
      <c r="AC112" s="107"/>
      <c r="AD112" s="651"/>
      <c r="AE112" s="1022"/>
      <c r="AF112" s="118"/>
    </row>
    <row r="113" ht="22.5" customHeight="1">
      <c r="A113" s="401">
        <v>111.0</v>
      </c>
      <c r="B113" s="60">
        <v>45.0</v>
      </c>
      <c r="C113" s="362" t="s">
        <v>656</v>
      </c>
      <c r="D113" s="645" t="s">
        <v>51</v>
      </c>
      <c r="E113" s="645"/>
      <c r="F113" s="843"/>
      <c r="G113" s="362"/>
      <c r="H113" s="364"/>
      <c r="I113" s="673">
        <f t="shared" si="1"/>
        <v>2</v>
      </c>
      <c r="J113" s="886">
        <v>4.0</v>
      </c>
      <c r="K113" s="261">
        <v>45009.0</v>
      </c>
      <c r="L113" s="321" t="b">
        <v>1</v>
      </c>
      <c r="M113" s="261">
        <v>45189.0</v>
      </c>
      <c r="N113" s="321" t="b">
        <v>1</v>
      </c>
      <c r="O113" s="261">
        <v>45371.0</v>
      </c>
      <c r="P113" s="321" t="b">
        <v>0</v>
      </c>
      <c r="Q113" s="264">
        <v>45559.0</v>
      </c>
      <c r="R113" s="164" t="b">
        <v>0</v>
      </c>
      <c r="S113" s="107"/>
      <c r="T113" s="106"/>
      <c r="U113" s="107"/>
      <c r="V113" s="106"/>
      <c r="W113" s="107"/>
      <c r="X113" s="651"/>
      <c r="Y113" s="107"/>
      <c r="Z113" s="106"/>
      <c r="AA113" s="107"/>
      <c r="AB113" s="106"/>
      <c r="AC113" s="107"/>
      <c r="AD113" s="651"/>
      <c r="AE113" s="880"/>
      <c r="AF113" s="118"/>
    </row>
    <row r="114" ht="22.5" customHeight="1">
      <c r="A114" s="401">
        <v>112.0</v>
      </c>
      <c r="B114" s="60">
        <v>46.0</v>
      </c>
      <c r="C114" s="362" t="s">
        <v>662</v>
      </c>
      <c r="D114" s="645" t="s">
        <v>51</v>
      </c>
      <c r="E114" s="645"/>
      <c r="F114" s="843"/>
      <c r="G114" s="362" t="s">
        <v>663</v>
      </c>
      <c r="H114" s="364"/>
      <c r="I114" s="673">
        <f t="shared" si="1"/>
        <v>2</v>
      </c>
      <c r="J114" s="886">
        <v>4.0</v>
      </c>
      <c r="K114" s="261">
        <v>45009.0</v>
      </c>
      <c r="L114" s="321" t="b">
        <v>1</v>
      </c>
      <c r="M114" s="261">
        <v>45142.0</v>
      </c>
      <c r="N114" s="321" t="b">
        <v>1</v>
      </c>
      <c r="O114" s="261">
        <v>45326.0</v>
      </c>
      <c r="P114" s="321" t="b">
        <v>0</v>
      </c>
      <c r="Q114" s="264">
        <v>45509.0</v>
      </c>
      <c r="R114" s="164" t="b">
        <v>0</v>
      </c>
      <c r="S114" s="107"/>
      <c r="T114" s="106"/>
      <c r="U114" s="107"/>
      <c r="V114" s="106"/>
      <c r="W114" s="107"/>
      <c r="X114" s="651"/>
      <c r="Y114" s="107"/>
      <c r="Z114" s="106"/>
      <c r="AA114" s="107"/>
      <c r="AB114" s="106"/>
      <c r="AC114" s="107"/>
      <c r="AD114" s="651"/>
      <c r="AE114" s="880"/>
      <c r="AF114" s="118"/>
    </row>
    <row r="115" ht="22.5" customHeight="1">
      <c r="A115" s="401">
        <v>112.0</v>
      </c>
      <c r="B115" s="60">
        <v>110.0</v>
      </c>
      <c r="C115" s="362" t="s">
        <v>871</v>
      </c>
      <c r="D115" s="645" t="s">
        <v>51</v>
      </c>
      <c r="E115" s="645"/>
      <c r="F115" s="843"/>
      <c r="G115" s="362"/>
      <c r="H115" s="364"/>
      <c r="I115" s="673">
        <f t="shared" si="1"/>
        <v>0</v>
      </c>
      <c r="J115" s="886">
        <v>4.0</v>
      </c>
      <c r="K115" s="261">
        <v>45393.0</v>
      </c>
      <c r="L115" s="321" t="b">
        <v>0</v>
      </c>
      <c r="M115" s="261">
        <v>45576.0</v>
      </c>
      <c r="N115" s="321" t="b">
        <v>0</v>
      </c>
      <c r="O115" s="261">
        <v>45758.0</v>
      </c>
      <c r="P115" s="323" t="b">
        <v>0</v>
      </c>
      <c r="Q115" s="264">
        <v>45941.0</v>
      </c>
      <c r="R115" s="164" t="b">
        <v>0</v>
      </c>
      <c r="S115" s="107"/>
      <c r="T115" s="106"/>
      <c r="U115" s="107"/>
      <c r="V115" s="106"/>
      <c r="W115" s="107"/>
      <c r="X115" s="651"/>
      <c r="Y115" s="107"/>
      <c r="Z115" s="106"/>
      <c r="AA115" s="107"/>
      <c r="AB115" s="106"/>
      <c r="AC115" s="1089"/>
      <c r="AD115" s="651"/>
      <c r="AE115" s="862"/>
      <c r="AF115" s="118"/>
    </row>
    <row r="116" ht="7.5" customHeight="1">
      <c r="A116" s="401"/>
      <c r="B116" s="1223"/>
      <c r="C116" s="695"/>
      <c r="D116" s="694"/>
      <c r="E116" s="695"/>
      <c r="F116" s="695"/>
      <c r="G116" s="695"/>
      <c r="H116" s="696"/>
      <c r="I116" s="697"/>
      <c r="J116" s="698"/>
      <c r="K116" s="699"/>
      <c r="L116" s="700" t="b">
        <v>0</v>
      </c>
      <c r="M116" s="702"/>
      <c r="N116" s="700" t="b">
        <v>0</v>
      </c>
      <c r="O116" s="702"/>
      <c r="P116" s="700" t="b">
        <v>0</v>
      </c>
      <c r="Q116" s="702"/>
      <c r="R116" s="700" t="b">
        <v>0</v>
      </c>
      <c r="S116" s="702"/>
      <c r="T116" s="700"/>
      <c r="U116" s="702"/>
      <c r="V116" s="700"/>
      <c r="W116" s="702"/>
      <c r="X116" s="700"/>
      <c r="Y116" s="1318"/>
      <c r="Z116" s="1318"/>
      <c r="AA116" s="1318"/>
      <c r="AB116" s="1318"/>
      <c r="AC116" s="702"/>
      <c r="AD116" s="700"/>
      <c r="AE116" s="712"/>
      <c r="AF116" s="118"/>
    </row>
  </sheetData>
  <autoFilter ref="$B$3:$AE$116">
    <sortState ref="B3:AE116">
      <sortCondition ref="C3:C116"/>
      <sortCondition ref="B3:B116"/>
      <sortCondition ref="K3:K116"/>
      <sortCondition descending="1" ref="L3:L116"/>
    </sortState>
  </autoFilter>
  <mergeCells count="10">
    <mergeCell ref="U3:V3"/>
    <mergeCell ref="W3:X3"/>
    <mergeCell ref="D1:AE1"/>
    <mergeCell ref="I3:J3"/>
    <mergeCell ref="K3:L3"/>
    <mergeCell ref="M3:N3"/>
    <mergeCell ref="O3:P3"/>
    <mergeCell ref="Q3:R3"/>
    <mergeCell ref="S3:T3"/>
    <mergeCell ref="Y3:Z3"/>
  </mergeCells>
  <conditionalFormatting sqref="K4:AE116 AF12">
    <cfRule type="cellIs" dxfId="0" priority="1" operator="equal">
      <formula>"TRUE"</formula>
    </cfRule>
  </conditionalFormatting>
  <conditionalFormatting sqref="K4:AE116 AF12">
    <cfRule type="expression" dxfId="1" priority="2">
      <formula>AND(ISNUMBER(K4),TRUNC(K4)&lt;TODAY())</formula>
    </cfRule>
  </conditionalFormatting>
  <conditionalFormatting sqref="K4:AE116 AF12">
    <cfRule type="expression" dxfId="2" priority="3">
      <formula>AND(ISNUMBER(K4),TRUNC(K4)&gt;TODAY())</formula>
    </cfRule>
  </conditionalFormatting>
  <dataValidations>
    <dataValidation type="list" allowBlank="1" showErrorMessage="1" sqref="D4:D116">
      <formula1>"Send,Signed,Paid,Waiting,Not renew"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45.86"/>
    <col customWidth="1" min="2" max="2" width="29.14"/>
    <col customWidth="1" min="3" max="3" width="5.86"/>
    <col customWidth="1" min="4" max="4" width="18.14"/>
    <col customWidth="1" min="5" max="5" width="12.57"/>
  </cols>
  <sheetData>
    <row r="1" ht="33.0" customHeight="1">
      <c r="A1" s="1106" t="s">
        <v>953</v>
      </c>
      <c r="B1" s="1107"/>
      <c r="C1" s="1107"/>
      <c r="D1" s="1107"/>
      <c r="E1" s="1108"/>
    </row>
    <row r="2">
      <c r="A2" s="1109" t="s">
        <v>954</v>
      </c>
      <c r="B2" s="1111" t="s">
        <v>955</v>
      </c>
      <c r="C2" s="1114">
        <v>4.0</v>
      </c>
      <c r="D2" s="1116" t="s">
        <v>956</v>
      </c>
      <c r="E2" s="1119">
        <v>10000.0</v>
      </c>
    </row>
    <row r="3">
      <c r="A3" s="1109" t="s">
        <v>954</v>
      </c>
      <c r="B3" s="1111" t="s">
        <v>959</v>
      </c>
      <c r="C3" s="1114">
        <v>4.0</v>
      </c>
      <c r="D3" s="1116" t="s">
        <v>956</v>
      </c>
      <c r="E3" s="1119">
        <v>15000.0</v>
      </c>
    </row>
    <row r="4">
      <c r="A4" s="1109" t="s">
        <v>954</v>
      </c>
      <c r="B4" s="1111" t="s">
        <v>961</v>
      </c>
      <c r="C4" s="1114">
        <v>4.0</v>
      </c>
      <c r="D4" s="1116" t="s">
        <v>956</v>
      </c>
      <c r="E4" s="1119">
        <v>20000.0</v>
      </c>
    </row>
    <row r="5">
      <c r="A5" s="1109" t="s">
        <v>954</v>
      </c>
      <c r="B5" s="1111" t="s">
        <v>962</v>
      </c>
      <c r="C5" s="1114">
        <v>4.0</v>
      </c>
      <c r="D5" s="1116" t="s">
        <v>956</v>
      </c>
      <c r="E5" s="1119">
        <v>30000.0</v>
      </c>
    </row>
    <row r="6">
      <c r="A6" s="1109" t="s">
        <v>954</v>
      </c>
      <c r="B6" s="1111" t="s">
        <v>964</v>
      </c>
      <c r="C6" s="1114">
        <v>4.0</v>
      </c>
      <c r="D6" s="1116" t="s">
        <v>956</v>
      </c>
      <c r="E6" s="1119">
        <v>40000.0</v>
      </c>
    </row>
    <row r="7">
      <c r="A7" s="1109" t="s">
        <v>954</v>
      </c>
      <c r="B7" s="1111" t="s">
        <v>965</v>
      </c>
      <c r="C7" s="1114">
        <v>4.0</v>
      </c>
      <c r="D7" s="1116" t="s">
        <v>956</v>
      </c>
      <c r="E7" s="1119">
        <v>50000.0</v>
      </c>
    </row>
    <row r="8">
      <c r="A8" s="1109" t="s">
        <v>954</v>
      </c>
      <c r="B8" s="1111" t="s">
        <v>966</v>
      </c>
      <c r="C8" s="1114">
        <v>4.0</v>
      </c>
      <c r="D8" s="1116" t="s">
        <v>956</v>
      </c>
      <c r="E8" s="1119">
        <v>60000.0</v>
      </c>
    </row>
    <row r="9">
      <c r="A9" s="1124" t="s">
        <v>954</v>
      </c>
      <c r="B9" s="1125" t="s">
        <v>967</v>
      </c>
      <c r="C9" s="1126">
        <v>4.0</v>
      </c>
      <c r="D9" s="1127" t="s">
        <v>956</v>
      </c>
      <c r="E9" s="1128">
        <v>70000.0</v>
      </c>
    </row>
    <row r="10">
      <c r="A10" s="1129"/>
      <c r="B10" s="1130"/>
      <c r="C10" s="1131"/>
      <c r="D10" s="1129"/>
      <c r="E10" s="1132"/>
    </row>
    <row r="11">
      <c r="A11" s="1129"/>
      <c r="B11" s="1130"/>
      <c r="C11" s="1131"/>
      <c r="D11" s="1129"/>
      <c r="E11" s="1132"/>
    </row>
    <row r="12">
      <c r="A12" s="1133" t="s">
        <v>969</v>
      </c>
      <c r="B12" s="1137" t="s">
        <v>959</v>
      </c>
      <c r="C12" s="1138">
        <v>1.0</v>
      </c>
      <c r="D12" s="1133" t="s">
        <v>975</v>
      </c>
      <c r="E12" s="1146">
        <f>IF(B12=B2,E2/4,IF(B12=B3,E3/4,IF(B12=B4,E4/4,IF(B12=B5,E5/4,IF(B12=B6,E6/4,IF(B12=B7,E7/4,IF(B12=B8,E8/4,IF(B12=B9,E9/4,0))))))))</f>
        <v>3750</v>
      </c>
    </row>
    <row r="13">
      <c r="A13" s="1133" t="s">
        <v>983</v>
      </c>
      <c r="B13" s="1148">
        <v>2.0</v>
      </c>
      <c r="C13" s="1133" t="s">
        <v>984</v>
      </c>
      <c r="E13" s="1146">
        <f>B13*E12</f>
        <v>7500</v>
      </c>
    </row>
    <row r="14">
      <c r="A14" s="1133" t="s">
        <v>985</v>
      </c>
      <c r="B14" s="1148">
        <v>1.0</v>
      </c>
      <c r="C14" s="1133" t="s">
        <v>986</v>
      </c>
      <c r="E14" s="1150"/>
    </row>
    <row r="15">
      <c r="A15" s="1151" t="s">
        <v>987</v>
      </c>
      <c r="B15" s="1152">
        <f>E13*B14</f>
        <v>7500</v>
      </c>
      <c r="C15" s="1153"/>
      <c r="D15" s="1153"/>
      <c r="E15" s="1154"/>
    </row>
  </sheetData>
  <mergeCells count="2">
    <mergeCell ref="A1:E1"/>
    <mergeCell ref="C13:D13"/>
  </mergeCells>
  <dataValidations>
    <dataValidation type="list" allowBlank="1" showErrorMessage="1" sqref="B12">
      <formula1>'MA Price'!$B$2:$B$9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29"/>
    <col customWidth="1" min="2" max="2" width="37.71"/>
    <col customWidth="1" min="3" max="3" width="17.14"/>
    <col customWidth="1" min="4" max="4" width="32.43"/>
    <col customWidth="1" min="5" max="5" width="26.86"/>
    <col customWidth="1" min="6" max="6" width="7.29"/>
    <col customWidth="1" min="7" max="7" width="10.86"/>
    <col customWidth="1" min="8" max="8" width="13.0"/>
    <col customWidth="1" min="9" max="9" width="7.29"/>
    <col customWidth="1" min="10" max="10" width="13.0"/>
    <col customWidth="1" min="11" max="11" width="7.29"/>
    <col customWidth="1" min="12" max="12" width="13.0"/>
    <col customWidth="1" min="13" max="13" width="7.29"/>
    <col customWidth="1" min="14" max="14" width="13.0"/>
    <col customWidth="1" min="15" max="15" width="7.29"/>
    <col customWidth="1" min="16" max="16" width="13.0"/>
    <col customWidth="1" min="17" max="17" width="7.29"/>
    <col customWidth="1" min="18" max="18" width="13.0"/>
    <col customWidth="1" min="19" max="19" width="7.29"/>
    <col customWidth="1" min="20" max="20" width="13.0"/>
    <col customWidth="1" min="21" max="21" width="7.29"/>
    <col customWidth="1" min="22" max="22" width="13.0"/>
    <col customWidth="1" min="23" max="23" width="7.29"/>
    <col customWidth="1" min="24" max="24" width="43.0"/>
    <col customWidth="1" hidden="1" min="25" max="25" width="69.57"/>
  </cols>
  <sheetData>
    <row r="1" ht="52.5" customHeight="1">
      <c r="A1" s="749"/>
      <c r="B1" s="750" t="s">
        <v>997</v>
      </c>
      <c r="C1" s="5" t="s">
        <v>2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21"/>
      <c r="Y1" s="14"/>
    </row>
    <row r="2" ht="7.5" customHeight="1">
      <c r="A2" s="1" t="s">
        <v>0</v>
      </c>
      <c r="B2" s="1"/>
      <c r="C2" s="1"/>
      <c r="D2" s="1"/>
      <c r="E2" s="1"/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37.5" customHeight="1">
      <c r="A3" s="760" t="s">
        <v>6</v>
      </c>
      <c r="B3" s="23" t="s">
        <v>4</v>
      </c>
      <c r="C3" s="23" t="s">
        <v>9</v>
      </c>
      <c r="D3" s="23" t="s">
        <v>10</v>
      </c>
      <c r="E3" s="29" t="s">
        <v>11</v>
      </c>
      <c r="F3" s="35" t="s">
        <v>15</v>
      </c>
      <c r="G3" s="21"/>
      <c r="H3" s="39" t="s">
        <v>18</v>
      </c>
      <c r="I3" s="21"/>
      <c r="J3" s="39" t="s">
        <v>24</v>
      </c>
      <c r="K3" s="21"/>
      <c r="L3" s="39" t="s">
        <v>26</v>
      </c>
      <c r="M3" s="21"/>
      <c r="N3" s="39" t="s">
        <v>27</v>
      </c>
      <c r="O3" s="21"/>
      <c r="P3" s="39" t="s">
        <v>30</v>
      </c>
      <c r="Q3" s="21"/>
      <c r="R3" s="39" t="s">
        <v>32</v>
      </c>
      <c r="S3" s="21"/>
      <c r="T3" s="39" t="s">
        <v>33</v>
      </c>
      <c r="U3" s="21"/>
      <c r="V3" s="39" t="s">
        <v>35</v>
      </c>
      <c r="W3" s="21"/>
      <c r="X3" s="41" t="s">
        <v>39</v>
      </c>
      <c r="Y3" s="29" t="s">
        <v>12</v>
      </c>
    </row>
    <row r="4" ht="32.25" customHeight="1">
      <c r="A4" s="1173">
        <v>1.0</v>
      </c>
      <c r="B4" s="1112" t="s">
        <v>1011</v>
      </c>
      <c r="C4" s="1177" t="s">
        <v>55</v>
      </c>
      <c r="D4" s="1178" t="s">
        <v>1012</v>
      </c>
      <c r="E4" s="1179" t="s">
        <v>1013</v>
      </c>
      <c r="F4" s="1181">
        <f t="shared" ref="F4:F9" si="1">COUNTIFS(H4:X4,"True")</f>
        <v>3</v>
      </c>
      <c r="G4" s="1182">
        <v>2.0</v>
      </c>
      <c r="H4" s="576">
        <v>44392.0</v>
      </c>
      <c r="I4" s="1186" t="b">
        <v>1</v>
      </c>
      <c r="J4" s="242">
        <v>44679.0</v>
      </c>
      <c r="K4" s="1186" t="b">
        <v>1</v>
      </c>
      <c r="L4" s="242">
        <v>45671.0</v>
      </c>
      <c r="M4" s="1187" t="b">
        <v>1</v>
      </c>
      <c r="N4" s="242"/>
      <c r="O4" s="1186"/>
      <c r="P4" s="242"/>
      <c r="Q4" s="1186"/>
      <c r="R4" s="242"/>
      <c r="S4" s="1186"/>
      <c r="T4" s="242"/>
      <c r="U4" s="1186"/>
      <c r="V4" s="242"/>
      <c r="W4" s="1186"/>
      <c r="X4" s="1189"/>
      <c r="Y4" s="273" t="s">
        <v>1018</v>
      </c>
    </row>
    <row r="5" ht="22.5" customHeight="1">
      <c r="A5" s="1190">
        <v>2.0</v>
      </c>
      <c r="B5" s="63" t="s">
        <v>1019</v>
      </c>
      <c r="C5" s="228" t="s">
        <v>55</v>
      </c>
      <c r="D5" s="228" t="s">
        <v>1020</v>
      </c>
      <c r="E5" s="233" t="s">
        <v>79</v>
      </c>
      <c r="F5" s="574">
        <f t="shared" si="1"/>
        <v>2</v>
      </c>
      <c r="G5" s="234">
        <v>2.0</v>
      </c>
      <c r="H5" s="576">
        <v>44562.0</v>
      </c>
      <c r="I5" s="1196" t="b">
        <v>1</v>
      </c>
      <c r="J5" s="242">
        <v>44743.0</v>
      </c>
      <c r="K5" s="1196" t="b">
        <v>1</v>
      </c>
      <c r="L5" s="242"/>
      <c r="M5" s="1196"/>
      <c r="N5" s="242"/>
      <c r="O5" s="1196"/>
      <c r="P5" s="242"/>
      <c r="Q5" s="1196"/>
      <c r="R5" s="242"/>
      <c r="S5" s="1196"/>
      <c r="T5" s="242"/>
      <c r="U5" s="1196"/>
      <c r="V5" s="242"/>
      <c r="W5" s="1196"/>
      <c r="X5" s="297" t="s">
        <v>1022</v>
      </c>
      <c r="Y5" s="273" t="s">
        <v>148</v>
      </c>
    </row>
    <row r="6" ht="22.5" customHeight="1">
      <c r="A6" s="1190">
        <v>3.0</v>
      </c>
      <c r="B6" s="332" t="s">
        <v>1023</v>
      </c>
      <c r="C6" s="556" t="s">
        <v>55</v>
      </c>
      <c r="D6" s="556" t="s">
        <v>1024</v>
      </c>
      <c r="E6" s="340">
        <v>9.08689992E8</v>
      </c>
      <c r="F6" s="1144">
        <f t="shared" si="1"/>
        <v>2</v>
      </c>
      <c r="G6" s="1199">
        <v>2.0</v>
      </c>
      <c r="H6" s="559">
        <v>44562.0</v>
      </c>
      <c r="I6" s="1196" t="b">
        <v>1</v>
      </c>
      <c r="J6" s="1147">
        <v>44743.0</v>
      </c>
      <c r="K6" s="1196" t="b">
        <v>1</v>
      </c>
      <c r="L6" s="1147"/>
      <c r="M6" s="1196"/>
      <c r="N6" s="242"/>
      <c r="O6" s="1196"/>
      <c r="P6" s="242"/>
      <c r="Q6" s="1196"/>
      <c r="R6" s="242"/>
      <c r="S6" s="1196"/>
      <c r="T6" s="242"/>
      <c r="U6" s="1196"/>
      <c r="V6" s="242"/>
      <c r="W6" s="1196"/>
      <c r="X6" s="297" t="s">
        <v>1022</v>
      </c>
      <c r="Y6" s="1202" t="s">
        <v>1026</v>
      </c>
    </row>
    <row r="7" ht="22.5" customHeight="1">
      <c r="A7" s="1190">
        <v>7.0</v>
      </c>
      <c r="B7" s="63" t="s">
        <v>1027</v>
      </c>
      <c r="C7" s="568" t="s">
        <v>55</v>
      </c>
      <c r="D7" s="568"/>
      <c r="E7" s="571"/>
      <c r="F7" s="574">
        <f t="shared" si="1"/>
        <v>2</v>
      </c>
      <c r="G7" s="234">
        <v>2.0</v>
      </c>
      <c r="H7" s="576">
        <v>44562.0</v>
      </c>
      <c r="I7" s="1196" t="b">
        <v>1</v>
      </c>
      <c r="J7" s="242">
        <v>44562.0</v>
      </c>
      <c r="K7" s="1196" t="b">
        <v>1</v>
      </c>
      <c r="L7" s="242"/>
      <c r="M7" s="1196"/>
      <c r="N7" s="242"/>
      <c r="O7" s="1196"/>
      <c r="P7" s="242"/>
      <c r="Q7" s="1196"/>
      <c r="R7" s="242"/>
      <c r="S7" s="1196"/>
      <c r="T7" s="242"/>
      <c r="U7" s="1196"/>
      <c r="V7" s="242"/>
      <c r="W7" s="1196"/>
      <c r="X7" s="578"/>
      <c r="Y7" s="273" t="s">
        <v>1031</v>
      </c>
    </row>
    <row r="8" ht="22.5" customHeight="1">
      <c r="A8" s="1190">
        <v>8.0</v>
      </c>
      <c r="B8" s="63" t="s">
        <v>1032</v>
      </c>
      <c r="C8" s="568" t="s">
        <v>55</v>
      </c>
      <c r="D8" s="228" t="s">
        <v>1033</v>
      </c>
      <c r="E8" s="233" t="s">
        <v>1034</v>
      </c>
      <c r="F8" s="574">
        <f t="shared" si="1"/>
        <v>2</v>
      </c>
      <c r="G8" s="234">
        <v>2.0</v>
      </c>
      <c r="H8" s="235">
        <v>44725.0</v>
      </c>
      <c r="I8" s="1196" t="b">
        <v>1</v>
      </c>
      <c r="J8" s="238">
        <v>44919.0</v>
      </c>
      <c r="K8" s="1196" t="b">
        <v>1</v>
      </c>
      <c r="L8" s="238"/>
      <c r="M8" s="1196"/>
      <c r="N8" s="242"/>
      <c r="O8" s="1196"/>
      <c r="P8" s="242"/>
      <c r="Q8" s="1196"/>
      <c r="R8" s="242"/>
      <c r="S8" s="1196"/>
      <c r="T8" s="242"/>
      <c r="U8" s="1196"/>
      <c r="V8" s="242"/>
      <c r="W8" s="1196"/>
      <c r="X8" s="578"/>
      <c r="Y8" s="273" t="s">
        <v>1035</v>
      </c>
    </row>
    <row r="9" ht="22.5" customHeight="1">
      <c r="A9" s="1190">
        <v>10.0</v>
      </c>
      <c r="B9" s="332" t="s">
        <v>1036</v>
      </c>
      <c r="C9" s="556" t="s">
        <v>55</v>
      </c>
      <c r="D9" s="556" t="s">
        <v>1037</v>
      </c>
      <c r="E9" s="340" t="s">
        <v>1038</v>
      </c>
      <c r="F9" s="1144">
        <f t="shared" si="1"/>
        <v>2</v>
      </c>
      <c r="G9" s="1199">
        <v>2.0</v>
      </c>
      <c r="H9" s="342">
        <v>44562.0</v>
      </c>
      <c r="I9" s="1196" t="b">
        <v>1</v>
      </c>
      <c r="J9" s="1212">
        <v>44562.0</v>
      </c>
      <c r="K9" s="1196" t="b">
        <v>1</v>
      </c>
      <c r="L9" s="1212"/>
      <c r="M9" s="1196"/>
      <c r="N9" s="242"/>
      <c r="O9" s="1196"/>
      <c r="P9" s="242"/>
      <c r="Q9" s="1196"/>
      <c r="R9" s="242"/>
      <c r="S9" s="1196"/>
      <c r="T9" s="242"/>
      <c r="U9" s="1196"/>
      <c r="V9" s="242"/>
      <c r="W9" s="1196"/>
      <c r="X9" s="1216"/>
      <c r="Y9" s="1220" t="s">
        <v>1041</v>
      </c>
    </row>
    <row r="10" ht="35.25" customHeight="1">
      <c r="A10" s="1223"/>
      <c r="B10" s="695"/>
      <c r="C10" s="694"/>
      <c r="D10" s="694"/>
      <c r="E10" s="696"/>
      <c r="F10" s="697"/>
      <c r="G10" s="698"/>
      <c r="H10" s="699"/>
      <c r="I10" s="700" t="b">
        <v>0</v>
      </c>
      <c r="J10" s="702"/>
      <c r="K10" s="700" t="b">
        <v>0</v>
      </c>
      <c r="L10" s="702"/>
      <c r="M10" s="1187" t="b">
        <v>0</v>
      </c>
      <c r="N10" s="702"/>
      <c r="O10" s="700" t="b">
        <v>0</v>
      </c>
      <c r="P10" s="702"/>
      <c r="Q10" s="700"/>
      <c r="R10" s="702"/>
      <c r="S10" s="700"/>
      <c r="T10" s="702"/>
      <c r="U10" s="700"/>
      <c r="V10" s="702"/>
      <c r="W10" s="700"/>
      <c r="X10" s="712"/>
      <c r="Y10" s="118"/>
    </row>
  </sheetData>
  <mergeCells count="10">
    <mergeCell ref="R3:S3"/>
    <mergeCell ref="T3:U3"/>
    <mergeCell ref="C1:X1"/>
    <mergeCell ref="F3:G3"/>
    <mergeCell ref="H3:I3"/>
    <mergeCell ref="J3:K3"/>
    <mergeCell ref="L3:M3"/>
    <mergeCell ref="N3:O3"/>
    <mergeCell ref="P3:Q3"/>
    <mergeCell ref="V3:W3"/>
  </mergeCells>
  <conditionalFormatting sqref="H4:X10">
    <cfRule type="cellIs" dxfId="0" priority="1" operator="equal">
      <formula>"TRUE"</formula>
    </cfRule>
  </conditionalFormatting>
  <conditionalFormatting sqref="H4:X10">
    <cfRule type="expression" dxfId="1" priority="2">
      <formula>AND(ISNUMBER(H4),TRUNC(H4)&lt;TODAY())</formula>
    </cfRule>
  </conditionalFormatting>
  <conditionalFormatting sqref="H4:X10">
    <cfRule type="expression" dxfId="2" priority="3">
      <formula>AND(ISNUMBER(H4),TRUNC(H4)&gt;TODAY())</formula>
    </cfRule>
  </conditionalFormatting>
  <dataValidations>
    <dataValidation type="list" allowBlank="1" showErrorMessage="1" sqref="C4:C10">
      <formula1>"Send,Signed,Paid"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0.14"/>
    <col customWidth="1" min="2" max="2" width="37.71"/>
    <col customWidth="1" hidden="1" min="3" max="3" width="14.71"/>
    <col customWidth="1" hidden="1" min="4" max="4" width="13.29"/>
    <col customWidth="1" min="5" max="5" width="23.86"/>
    <col customWidth="1" min="6" max="6" width="20.43"/>
    <col customWidth="1" min="7" max="7" width="27.14"/>
    <col customWidth="1" min="8" max="8" width="17.0"/>
    <col customWidth="1" min="9" max="9" width="27.71"/>
    <col customWidth="1" min="10" max="10" width="7.29"/>
    <col customWidth="1" min="11" max="11" width="30.14"/>
    <col customWidth="1" min="12" max="12" width="11.29"/>
    <col customWidth="1" hidden="1" min="13" max="13" width="11.29"/>
    <col customWidth="1" hidden="1" min="14" max="14" width="7.29"/>
    <col customWidth="1" hidden="1" min="15" max="15" width="11.29"/>
    <col customWidth="1" hidden="1" min="16" max="16" width="7.29"/>
    <col customWidth="1" hidden="1" min="17" max="17" width="11.29"/>
    <col customWidth="1" hidden="1" min="18" max="18" width="7.29"/>
    <col customWidth="1" hidden="1" min="19" max="19" width="11.29"/>
    <col customWidth="1" hidden="1" min="20" max="20" width="7.29"/>
    <col customWidth="1" hidden="1" min="21" max="21" width="13.0"/>
    <col customWidth="1" hidden="1" min="22" max="22" width="7.29"/>
    <col customWidth="1" hidden="1" min="23" max="23" width="13.0"/>
    <col customWidth="1" hidden="1" min="24" max="24" width="7.29"/>
    <col customWidth="1" min="25" max="25" width="43.0"/>
    <col customWidth="1" hidden="1" min="26" max="26" width="69.57"/>
  </cols>
  <sheetData>
    <row r="1">
      <c r="A1" s="749"/>
      <c r="B1" s="750" t="s">
        <v>1060</v>
      </c>
      <c r="C1" s="5" t="s">
        <v>1062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21"/>
      <c r="Z1" s="14"/>
    </row>
    <row r="2" ht="7.5" customHeight="1">
      <c r="A2" s="1" t="s">
        <v>0</v>
      </c>
      <c r="B2" s="1"/>
      <c r="C2" s="1"/>
      <c r="D2" s="1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5.25" customHeight="1">
      <c r="A3" s="760" t="s">
        <v>6</v>
      </c>
      <c r="B3" s="23" t="s">
        <v>4</v>
      </c>
      <c r="C3" s="23" t="s">
        <v>9</v>
      </c>
      <c r="D3" s="23" t="s">
        <v>718</v>
      </c>
      <c r="E3" s="27" t="s">
        <v>10</v>
      </c>
      <c r="F3" s="29" t="s">
        <v>11</v>
      </c>
      <c r="G3" s="1256" t="s">
        <v>1069</v>
      </c>
      <c r="H3" s="1257" t="s">
        <v>1070</v>
      </c>
      <c r="I3" s="1258" t="s">
        <v>1071</v>
      </c>
      <c r="J3" s="21"/>
      <c r="K3" s="1258" t="s">
        <v>1072</v>
      </c>
      <c r="L3" s="21"/>
      <c r="M3" s="39" t="s">
        <v>26</v>
      </c>
      <c r="N3" s="21"/>
      <c r="O3" s="39" t="s">
        <v>27</v>
      </c>
      <c r="P3" s="21"/>
      <c r="Q3" s="39" t="s">
        <v>30</v>
      </c>
      <c r="R3" s="21"/>
      <c r="S3" s="39" t="s">
        <v>32</v>
      </c>
      <c r="T3" s="21"/>
      <c r="U3" s="39" t="s">
        <v>33</v>
      </c>
      <c r="V3" s="21"/>
      <c r="W3" s="39" t="s">
        <v>35</v>
      </c>
      <c r="X3" s="21"/>
      <c r="Y3" s="41" t="s">
        <v>39</v>
      </c>
      <c r="Z3" s="29" t="s">
        <v>12</v>
      </c>
    </row>
    <row r="4" ht="22.5" hidden="1" customHeight="1">
      <c r="A4" s="60">
        <v>1.0</v>
      </c>
      <c r="B4" s="1259" t="s">
        <v>365</v>
      </c>
      <c r="C4" s="64" t="s">
        <v>786</v>
      </c>
      <c r="D4" s="64"/>
      <c r="E4" s="70" t="s">
        <v>52</v>
      </c>
      <c r="F4" s="71"/>
      <c r="G4" s="1261">
        <v>45242.0</v>
      </c>
      <c r="H4" s="130" t="b">
        <v>0</v>
      </c>
      <c r="I4" s="1261">
        <v>44562.0</v>
      </c>
      <c r="J4" s="98" t="b">
        <v>0</v>
      </c>
      <c r="K4" s="1264">
        <v>45085.0</v>
      </c>
      <c r="L4" s="130" t="b">
        <v>0</v>
      </c>
      <c r="M4" s="101">
        <v>45315.0</v>
      </c>
      <c r="N4" s="98" t="b">
        <v>0</v>
      </c>
      <c r="O4" s="101">
        <v>45467.0</v>
      </c>
      <c r="P4" s="106" t="b">
        <v>0</v>
      </c>
      <c r="Q4" s="101">
        <v>45684.0</v>
      </c>
      <c r="R4" s="106" t="b">
        <v>0</v>
      </c>
      <c r="S4" s="101">
        <v>45831.0</v>
      </c>
      <c r="T4" s="106" t="b">
        <v>0</v>
      </c>
      <c r="U4" s="107"/>
      <c r="V4" s="106"/>
      <c r="W4" s="107"/>
      <c r="X4" s="106"/>
      <c r="Y4" s="116" t="s">
        <v>58</v>
      </c>
      <c r="Z4" s="118"/>
    </row>
    <row r="5" ht="22.5" hidden="1" customHeight="1">
      <c r="A5" s="60">
        <v>2.0</v>
      </c>
      <c r="B5" s="63" t="s">
        <v>59</v>
      </c>
      <c r="C5" s="64" t="s">
        <v>51</v>
      </c>
      <c r="D5" s="64"/>
      <c r="E5" s="70" t="s">
        <v>67</v>
      </c>
      <c r="F5" s="71" t="s">
        <v>737</v>
      </c>
      <c r="G5" s="1261">
        <v>45297.0</v>
      </c>
      <c r="H5" s="130" t="b">
        <v>0</v>
      </c>
      <c r="I5" s="1261">
        <v>45246.0</v>
      </c>
      <c r="J5" s="106" t="b">
        <v>0</v>
      </c>
      <c r="K5" s="1268">
        <v>45427.0</v>
      </c>
      <c r="L5" s="99" t="b">
        <v>0</v>
      </c>
      <c r="M5" s="171">
        <v>45550.0</v>
      </c>
      <c r="N5" s="99" t="b">
        <v>0</v>
      </c>
      <c r="O5" s="107">
        <v>45731.0</v>
      </c>
      <c r="P5" s="106" t="b">
        <v>0</v>
      </c>
      <c r="Q5" s="107"/>
      <c r="R5" s="106"/>
      <c r="S5" s="107"/>
      <c r="T5" s="106"/>
      <c r="U5" s="107"/>
      <c r="V5" s="106"/>
      <c r="W5" s="107"/>
      <c r="X5" s="106"/>
      <c r="Y5" s="116"/>
      <c r="Z5" s="123" t="s">
        <v>361</v>
      </c>
    </row>
    <row r="6" ht="22.5" hidden="1" customHeight="1">
      <c r="A6" s="60">
        <v>3.0</v>
      </c>
      <c r="B6" s="70" t="s">
        <v>61</v>
      </c>
      <c r="C6" s="64" t="s">
        <v>51</v>
      </c>
      <c r="D6" s="64"/>
      <c r="E6" s="70"/>
      <c r="F6" s="71" t="s">
        <v>75</v>
      </c>
      <c r="G6" s="1261">
        <v>45288.0</v>
      </c>
      <c r="H6" s="130" t="b">
        <v>0</v>
      </c>
      <c r="I6" s="1271">
        <v>45211.0</v>
      </c>
      <c r="J6" s="106" t="b">
        <v>0</v>
      </c>
      <c r="K6" s="1264">
        <v>45408.0</v>
      </c>
      <c r="L6" s="99" t="b">
        <v>0</v>
      </c>
      <c r="M6" s="101">
        <v>45590.0</v>
      </c>
      <c r="N6" s="99" t="b">
        <v>0</v>
      </c>
      <c r="O6" s="107">
        <v>45804.0</v>
      </c>
      <c r="P6" s="106" t="b">
        <v>0</v>
      </c>
      <c r="Q6" s="107"/>
      <c r="R6" s="106"/>
      <c r="S6" s="107"/>
      <c r="T6" s="106"/>
      <c r="U6" s="107"/>
      <c r="V6" s="106"/>
      <c r="W6" s="107"/>
      <c r="X6" s="106"/>
      <c r="Y6" s="116"/>
      <c r="Z6" s="220" t="s">
        <v>148</v>
      </c>
    </row>
    <row r="7" ht="22.5" hidden="1" customHeight="1">
      <c r="A7" s="60">
        <v>4.0</v>
      </c>
      <c r="B7" s="70" t="s">
        <v>70</v>
      </c>
      <c r="C7" s="64" t="s">
        <v>51</v>
      </c>
      <c r="D7" s="64"/>
      <c r="E7" s="70"/>
      <c r="F7" s="71"/>
      <c r="G7" s="1261">
        <v>45309.0</v>
      </c>
      <c r="H7" s="130" t="b">
        <v>0</v>
      </c>
      <c r="I7" s="1261">
        <v>45360.0</v>
      </c>
      <c r="J7" s="106" t="b">
        <v>0</v>
      </c>
      <c r="K7" s="1264">
        <v>45544.0</v>
      </c>
      <c r="L7" s="99" t="b">
        <v>0</v>
      </c>
      <c r="M7" s="101">
        <v>45724.0</v>
      </c>
      <c r="N7" s="99" t="b">
        <v>0</v>
      </c>
      <c r="O7" s="107">
        <v>45909.0</v>
      </c>
      <c r="P7" s="164" t="b">
        <v>0</v>
      </c>
      <c r="Q7" s="107"/>
      <c r="R7" s="106"/>
      <c r="S7" s="107"/>
      <c r="T7" s="106"/>
      <c r="U7" s="107"/>
      <c r="V7" s="106"/>
      <c r="W7" s="107"/>
      <c r="X7" s="106"/>
      <c r="Y7" s="116"/>
      <c r="Z7" s="146" t="s">
        <v>106</v>
      </c>
    </row>
    <row r="8" ht="22.5" hidden="1" customHeight="1">
      <c r="A8" s="60">
        <v>5.0</v>
      </c>
      <c r="B8" s="70" t="s">
        <v>81</v>
      </c>
      <c r="C8" s="64" t="s">
        <v>51</v>
      </c>
      <c r="D8" s="64"/>
      <c r="E8" s="70"/>
      <c r="F8" s="71" t="s">
        <v>103</v>
      </c>
      <c r="G8" s="1261">
        <v>45331.0</v>
      </c>
      <c r="H8" s="130" t="b">
        <v>0</v>
      </c>
      <c r="I8" s="1271">
        <v>45397.0</v>
      </c>
      <c r="J8" s="106" t="b">
        <v>0</v>
      </c>
      <c r="K8" s="1268">
        <v>45580.0</v>
      </c>
      <c r="L8" s="99" t="b">
        <v>0</v>
      </c>
      <c r="M8" s="171">
        <v>45762.0</v>
      </c>
      <c r="N8" s="99" t="b">
        <v>0</v>
      </c>
      <c r="O8" s="107">
        <v>45945.0</v>
      </c>
      <c r="P8" s="164" t="b">
        <v>0</v>
      </c>
      <c r="Q8" s="107"/>
      <c r="R8" s="106"/>
      <c r="S8" s="107"/>
      <c r="T8" s="106"/>
      <c r="U8" s="107"/>
      <c r="V8" s="106"/>
      <c r="W8" s="107"/>
      <c r="X8" s="106"/>
      <c r="Y8" s="116"/>
      <c r="Z8" s="123" t="s">
        <v>225</v>
      </c>
    </row>
    <row r="9" ht="22.5" hidden="1" customHeight="1">
      <c r="A9" s="60">
        <v>6.0</v>
      </c>
      <c r="B9" s="70" t="s">
        <v>799</v>
      </c>
      <c r="C9" s="64" t="s">
        <v>51</v>
      </c>
      <c r="D9" s="64"/>
      <c r="E9" s="70"/>
      <c r="F9" s="71"/>
      <c r="G9" s="1261">
        <v>45311.0</v>
      </c>
      <c r="H9" s="130" t="b">
        <v>0</v>
      </c>
      <c r="I9" s="1261">
        <v>45363.0</v>
      </c>
      <c r="J9" s="106" t="b">
        <v>0</v>
      </c>
      <c r="K9" s="1264">
        <v>45547.0</v>
      </c>
      <c r="L9" s="99" t="b">
        <v>0</v>
      </c>
      <c r="M9" s="101">
        <v>45728.0</v>
      </c>
      <c r="N9" s="130" t="b">
        <v>0</v>
      </c>
      <c r="O9" s="107">
        <v>45912.0</v>
      </c>
      <c r="P9" s="164" t="b">
        <v>0</v>
      </c>
      <c r="Q9" s="107"/>
      <c r="R9" s="106"/>
      <c r="S9" s="107"/>
      <c r="T9" s="106"/>
      <c r="U9" s="107"/>
      <c r="V9" s="106"/>
      <c r="W9" s="107"/>
      <c r="X9" s="106"/>
      <c r="Y9" s="116"/>
      <c r="Z9" s="118"/>
    </row>
    <row r="10" ht="22.5" hidden="1" customHeight="1">
      <c r="A10" s="60">
        <v>7.0</v>
      </c>
      <c r="B10" s="362" t="s">
        <v>800</v>
      </c>
      <c r="C10" s="645" t="s">
        <v>51</v>
      </c>
      <c r="D10" s="645"/>
      <c r="E10" s="362" t="s">
        <v>132</v>
      </c>
      <c r="F10" s="364"/>
      <c r="G10" s="1261">
        <v>45232.0</v>
      </c>
      <c r="H10" s="130" t="b">
        <v>0</v>
      </c>
      <c r="I10" s="1261">
        <v>45265.0</v>
      </c>
      <c r="J10" s="106" t="b">
        <v>0</v>
      </c>
      <c r="K10" s="1264">
        <v>45448.0</v>
      </c>
      <c r="L10" s="99" t="b">
        <v>0</v>
      </c>
      <c r="M10" s="101">
        <v>45631.0</v>
      </c>
      <c r="N10" s="649" t="b">
        <v>0</v>
      </c>
      <c r="O10" s="107">
        <v>45813.0</v>
      </c>
      <c r="P10" s="106" t="b">
        <v>0</v>
      </c>
      <c r="Q10" s="107"/>
      <c r="R10" s="106"/>
      <c r="S10" s="107"/>
      <c r="T10" s="106"/>
      <c r="U10" s="107"/>
      <c r="V10" s="106"/>
      <c r="W10" s="107"/>
      <c r="X10" s="106"/>
      <c r="Y10" s="116"/>
      <c r="Z10" s="118"/>
    </row>
    <row r="11" ht="22.5" hidden="1" customHeight="1">
      <c r="A11" s="60">
        <v>8.0</v>
      </c>
      <c r="B11" s="362" t="s">
        <v>374</v>
      </c>
      <c r="C11" s="645" t="s">
        <v>51</v>
      </c>
      <c r="D11" s="645"/>
      <c r="E11" s="362" t="s">
        <v>144</v>
      </c>
      <c r="F11" s="364"/>
      <c r="G11" s="1261">
        <v>45233.0</v>
      </c>
      <c r="H11" s="130" t="b">
        <v>0</v>
      </c>
      <c r="I11" s="1261">
        <v>45302.0</v>
      </c>
      <c r="J11" s="106" t="b">
        <v>0</v>
      </c>
      <c r="K11" s="1264">
        <v>45422.0</v>
      </c>
      <c r="L11" s="99" t="b">
        <v>0</v>
      </c>
      <c r="M11" s="101">
        <v>45667.0</v>
      </c>
      <c r="N11" s="649" t="b">
        <v>0</v>
      </c>
      <c r="O11" s="107">
        <v>45789.0</v>
      </c>
      <c r="P11" s="106" t="b">
        <v>0</v>
      </c>
      <c r="Q11" s="107"/>
      <c r="R11" s="106"/>
      <c r="S11" s="107"/>
      <c r="T11" s="106"/>
      <c r="U11" s="107"/>
      <c r="V11" s="106"/>
      <c r="W11" s="107"/>
      <c r="X11" s="106"/>
      <c r="Y11" s="116"/>
      <c r="Z11" s="118"/>
    </row>
    <row r="12" ht="22.5" hidden="1" customHeight="1">
      <c r="A12" s="60">
        <v>9.0</v>
      </c>
      <c r="B12" s="70" t="s">
        <v>803</v>
      </c>
      <c r="C12" s="64" t="s">
        <v>51</v>
      </c>
      <c r="D12" s="64"/>
      <c r="E12" s="70"/>
      <c r="F12" s="71"/>
      <c r="G12" s="1261">
        <v>45312.0</v>
      </c>
      <c r="H12" s="130" t="b">
        <v>0</v>
      </c>
      <c r="I12" s="1271">
        <v>45364.0</v>
      </c>
      <c r="J12" s="106" t="b">
        <v>0</v>
      </c>
      <c r="K12" s="1268">
        <v>45548.0</v>
      </c>
      <c r="L12" s="99" t="b">
        <v>0</v>
      </c>
      <c r="M12" s="171">
        <v>45729.0</v>
      </c>
      <c r="N12" s="99" t="b">
        <v>0</v>
      </c>
      <c r="O12" s="107">
        <v>45913.0</v>
      </c>
      <c r="P12" s="164" t="b">
        <v>0</v>
      </c>
      <c r="Q12" s="107"/>
      <c r="R12" s="106"/>
      <c r="S12" s="107"/>
      <c r="T12" s="106"/>
      <c r="U12" s="107"/>
      <c r="V12" s="106"/>
      <c r="W12" s="107"/>
      <c r="X12" s="106"/>
      <c r="Y12" s="116"/>
      <c r="Z12" s="273" t="s">
        <v>139</v>
      </c>
    </row>
    <row r="13" ht="22.5" hidden="1" customHeight="1">
      <c r="A13" s="60">
        <v>10.0</v>
      </c>
      <c r="B13" s="70" t="s">
        <v>147</v>
      </c>
      <c r="C13" s="64" t="s">
        <v>51</v>
      </c>
      <c r="D13" s="64"/>
      <c r="E13" s="70" t="s">
        <v>157</v>
      </c>
      <c r="F13" s="71"/>
      <c r="G13" s="1261">
        <v>45315.0</v>
      </c>
      <c r="H13" s="130" t="b">
        <v>0</v>
      </c>
      <c r="I13" s="1261">
        <v>45376.0</v>
      </c>
      <c r="J13" s="106" t="b">
        <v>0</v>
      </c>
      <c r="K13" s="1264">
        <v>45560.0</v>
      </c>
      <c r="L13" s="99" t="b">
        <v>0</v>
      </c>
      <c r="M13" s="101">
        <v>45741.0</v>
      </c>
      <c r="N13" s="130" t="b">
        <v>0</v>
      </c>
      <c r="O13" s="107">
        <v>45925.0</v>
      </c>
      <c r="P13" s="1289" t="b">
        <v>0</v>
      </c>
      <c r="Q13" s="859"/>
      <c r="R13" s="106"/>
      <c r="S13" s="107"/>
      <c r="T13" s="106"/>
      <c r="U13" s="107"/>
      <c r="V13" s="106"/>
      <c r="W13" s="107"/>
      <c r="X13" s="106"/>
      <c r="Y13" s="116"/>
      <c r="Z13" s="118"/>
    </row>
    <row r="14" ht="22.5" hidden="1" customHeight="1">
      <c r="A14" s="60">
        <v>11.0</v>
      </c>
      <c r="B14" s="70" t="s">
        <v>153</v>
      </c>
      <c r="C14" s="64" t="s">
        <v>51</v>
      </c>
      <c r="D14" s="64"/>
      <c r="E14" s="70"/>
      <c r="F14" s="71"/>
      <c r="G14" s="1261">
        <v>45317.0</v>
      </c>
      <c r="H14" s="130" t="b">
        <v>0</v>
      </c>
      <c r="I14" s="1261">
        <v>45378.0</v>
      </c>
      <c r="J14" s="106" t="b">
        <v>0</v>
      </c>
      <c r="K14" s="1264">
        <v>45562.0</v>
      </c>
      <c r="L14" s="99" t="b">
        <v>0</v>
      </c>
      <c r="M14" s="101">
        <v>45743.0</v>
      </c>
      <c r="N14" s="130" t="b">
        <v>0</v>
      </c>
      <c r="O14" s="107">
        <v>45926.0</v>
      </c>
      <c r="P14" s="164" t="b">
        <v>0</v>
      </c>
      <c r="Q14" s="107"/>
      <c r="R14" s="106"/>
      <c r="S14" s="107"/>
      <c r="T14" s="106"/>
      <c r="U14" s="107"/>
      <c r="V14" s="106"/>
      <c r="W14" s="107"/>
      <c r="X14" s="106"/>
      <c r="Y14" s="116"/>
      <c r="Z14" s="118"/>
    </row>
    <row r="15" ht="22.5" hidden="1" customHeight="1">
      <c r="A15" s="60">
        <v>12.0</v>
      </c>
      <c r="B15" s="70" t="s">
        <v>161</v>
      </c>
      <c r="C15" s="64" t="s">
        <v>51</v>
      </c>
      <c r="D15" s="64"/>
      <c r="E15" s="70" t="s">
        <v>193</v>
      </c>
      <c r="F15" s="71" t="s">
        <v>194</v>
      </c>
      <c r="G15" s="1261">
        <v>45302.0</v>
      </c>
      <c r="H15" s="130" t="b">
        <v>0</v>
      </c>
      <c r="I15" s="1261">
        <v>45299.0</v>
      </c>
      <c r="J15" s="106" t="b">
        <v>0</v>
      </c>
      <c r="K15" s="1264">
        <v>45458.0</v>
      </c>
      <c r="L15" s="99" t="b">
        <v>0</v>
      </c>
      <c r="M15" s="101">
        <v>45643.0</v>
      </c>
      <c r="N15" s="130" t="b">
        <v>0</v>
      </c>
      <c r="O15" s="107">
        <v>45825.0</v>
      </c>
      <c r="P15" s="106" t="b">
        <v>0</v>
      </c>
      <c r="Q15" s="107"/>
      <c r="R15" s="106"/>
      <c r="S15" s="107"/>
      <c r="T15" s="106"/>
      <c r="U15" s="107"/>
      <c r="V15" s="106"/>
      <c r="W15" s="107"/>
      <c r="X15" s="106"/>
      <c r="Y15" s="116"/>
      <c r="Z15" s="118"/>
    </row>
    <row r="16" ht="22.5" hidden="1" customHeight="1">
      <c r="A16" s="60">
        <v>13.0</v>
      </c>
      <c r="B16" s="70" t="s">
        <v>174</v>
      </c>
      <c r="C16" s="64" t="s">
        <v>51</v>
      </c>
      <c r="D16" s="64"/>
      <c r="E16" s="70"/>
      <c r="F16" s="71" t="s">
        <v>207</v>
      </c>
      <c r="G16" s="1261">
        <v>45280.0</v>
      </c>
      <c r="H16" s="130" t="b">
        <v>0</v>
      </c>
      <c r="I16" s="1261">
        <v>45083.0</v>
      </c>
      <c r="J16" s="106" t="b">
        <v>0</v>
      </c>
      <c r="K16" s="1264">
        <v>45266.0</v>
      </c>
      <c r="L16" s="99" t="b">
        <v>0</v>
      </c>
      <c r="M16" s="101">
        <v>45449.0</v>
      </c>
      <c r="N16" s="1293" t="b">
        <v>0</v>
      </c>
      <c r="O16" s="107">
        <v>45632.0</v>
      </c>
      <c r="P16" s="106" t="b">
        <v>0</v>
      </c>
      <c r="Q16" s="107"/>
      <c r="R16" s="106"/>
      <c r="S16" s="107"/>
      <c r="T16" s="106"/>
      <c r="U16" s="107"/>
      <c r="V16" s="106"/>
      <c r="W16" s="107"/>
      <c r="X16" s="106"/>
      <c r="Y16" s="262"/>
      <c r="Z16" s="118"/>
    </row>
    <row r="17" ht="22.5" hidden="1" customHeight="1">
      <c r="A17" s="60">
        <v>14.0</v>
      </c>
      <c r="B17" s="70" t="s">
        <v>197</v>
      </c>
      <c r="C17" s="64" t="s">
        <v>51</v>
      </c>
      <c r="D17" s="64"/>
      <c r="E17" s="70" t="s">
        <v>256</v>
      </c>
      <c r="F17" s="71" t="s">
        <v>257</v>
      </c>
      <c r="G17" s="1261">
        <v>45273.0</v>
      </c>
      <c r="H17" s="130" t="b">
        <v>0</v>
      </c>
      <c r="I17" s="1261">
        <v>45013.0</v>
      </c>
      <c r="J17" s="106" t="b">
        <v>0</v>
      </c>
      <c r="K17" s="1264">
        <v>45227.0</v>
      </c>
      <c r="L17" s="99" t="b">
        <v>0</v>
      </c>
      <c r="M17" s="101">
        <v>45399.0</v>
      </c>
      <c r="N17" s="98" t="b">
        <v>0</v>
      </c>
      <c r="O17" s="107">
        <v>45582.0</v>
      </c>
      <c r="P17" s="106" t="b">
        <v>0</v>
      </c>
      <c r="Q17" s="107"/>
      <c r="R17" s="106"/>
      <c r="S17" s="107"/>
      <c r="T17" s="106"/>
      <c r="U17" s="107"/>
      <c r="V17" s="106"/>
      <c r="W17" s="107"/>
      <c r="X17" s="106"/>
      <c r="Y17" s="288"/>
      <c r="Z17" s="118"/>
    </row>
    <row r="18" ht="22.5" hidden="1" customHeight="1">
      <c r="A18" s="60">
        <v>15.0</v>
      </c>
      <c r="B18" s="332" t="s">
        <v>200</v>
      </c>
      <c r="C18" s="324" t="s">
        <v>51</v>
      </c>
      <c r="D18" s="265"/>
      <c r="E18" s="125" t="s">
        <v>395</v>
      </c>
      <c r="F18" s="448" t="s">
        <v>396</v>
      </c>
      <c r="G18" s="1261">
        <v>45253.0</v>
      </c>
      <c r="H18" s="130" t="b">
        <v>0</v>
      </c>
      <c r="I18" s="1300">
        <v>44676.0</v>
      </c>
      <c r="J18" s="106" t="b">
        <v>0</v>
      </c>
      <c r="K18" s="1302">
        <v>44880.0</v>
      </c>
      <c r="L18" s="99" t="b">
        <v>0</v>
      </c>
      <c r="M18" s="107">
        <v>45120.0</v>
      </c>
      <c r="N18" s="339" t="b">
        <v>1</v>
      </c>
      <c r="O18" s="107">
        <v>45295.0</v>
      </c>
      <c r="P18" s="164" t="b">
        <v>1</v>
      </c>
      <c r="Q18" s="107">
        <v>45483.0</v>
      </c>
      <c r="R18" s="164" t="b">
        <v>0</v>
      </c>
      <c r="S18" s="107">
        <v>45670.0</v>
      </c>
      <c r="T18" s="164" t="b">
        <v>0</v>
      </c>
      <c r="U18" s="107"/>
      <c r="V18" s="164"/>
      <c r="W18" s="107"/>
      <c r="X18" s="164"/>
      <c r="Y18" s="344"/>
      <c r="Z18" s="118"/>
    </row>
    <row r="19" ht="22.5" hidden="1" customHeight="1">
      <c r="A19" s="60">
        <v>16.0</v>
      </c>
      <c r="B19" s="70" t="s">
        <v>209</v>
      </c>
      <c r="C19" s="64" t="s">
        <v>51</v>
      </c>
      <c r="D19" s="64"/>
      <c r="E19" s="70"/>
      <c r="F19" s="71"/>
      <c r="G19" s="1261">
        <v>45313.0</v>
      </c>
      <c r="H19" s="130" t="b">
        <v>0</v>
      </c>
      <c r="I19" s="1261">
        <v>45369.0</v>
      </c>
      <c r="J19" s="106" t="b">
        <v>0</v>
      </c>
      <c r="K19" s="1264">
        <v>45551.0</v>
      </c>
      <c r="L19" s="99" t="b">
        <v>0</v>
      </c>
      <c r="M19" s="101">
        <v>45733.0</v>
      </c>
      <c r="N19" s="99" t="b">
        <v>0</v>
      </c>
      <c r="O19" s="107">
        <v>45915.0</v>
      </c>
      <c r="P19" s="106" t="b">
        <v>0</v>
      </c>
      <c r="Q19" s="107"/>
      <c r="R19" s="106"/>
      <c r="S19" s="107"/>
      <c r="T19" s="106"/>
      <c r="U19" s="107"/>
      <c r="V19" s="106"/>
      <c r="W19" s="107"/>
      <c r="X19" s="106"/>
      <c r="Y19" s="116"/>
      <c r="Z19" s="131"/>
    </row>
    <row r="20" ht="22.5" hidden="1" customHeight="1">
      <c r="A20" s="60">
        <v>17.0</v>
      </c>
      <c r="B20" s="70" t="s">
        <v>210</v>
      </c>
      <c r="C20" s="64" t="s">
        <v>51</v>
      </c>
      <c r="D20" s="64"/>
      <c r="E20" s="70" t="s">
        <v>287</v>
      </c>
      <c r="F20" s="71" t="s">
        <v>288</v>
      </c>
      <c r="G20" s="1261">
        <v>45303.0</v>
      </c>
      <c r="H20" s="130" t="b">
        <v>0</v>
      </c>
      <c r="I20" s="1261">
        <v>45299.0</v>
      </c>
      <c r="J20" s="106" t="b">
        <v>0</v>
      </c>
      <c r="K20" s="1264">
        <v>45481.0</v>
      </c>
      <c r="L20" s="99" t="b">
        <v>0</v>
      </c>
      <c r="M20" s="101">
        <v>45665.0</v>
      </c>
      <c r="N20" s="130" t="b">
        <v>0</v>
      </c>
      <c r="O20" s="107">
        <v>45846.0</v>
      </c>
      <c r="P20" s="106" t="b">
        <v>0</v>
      </c>
      <c r="Q20" s="107"/>
      <c r="R20" s="106"/>
      <c r="S20" s="107"/>
      <c r="T20" s="106"/>
      <c r="U20" s="107"/>
      <c r="V20" s="106"/>
      <c r="W20" s="107"/>
      <c r="X20" s="106"/>
      <c r="Y20" s="116"/>
      <c r="Z20" s="118"/>
    </row>
    <row r="21" ht="22.5" hidden="1" customHeight="1">
      <c r="A21" s="60">
        <v>18.0</v>
      </c>
      <c r="B21" s="70" t="s">
        <v>222</v>
      </c>
      <c r="C21" s="64" t="s">
        <v>51</v>
      </c>
      <c r="D21" s="64"/>
      <c r="E21" s="70" t="s">
        <v>297</v>
      </c>
      <c r="F21" s="71" t="s">
        <v>412</v>
      </c>
      <c r="G21" s="1261">
        <v>45270.0</v>
      </c>
      <c r="H21" s="130" t="b">
        <v>0</v>
      </c>
      <c r="I21" s="1261">
        <v>44987.0</v>
      </c>
      <c r="J21" s="106" t="b">
        <v>0</v>
      </c>
      <c r="K21" s="1264">
        <v>45184.0</v>
      </c>
      <c r="L21" s="99" t="b">
        <v>0</v>
      </c>
      <c r="M21" s="101">
        <v>45366.0</v>
      </c>
      <c r="N21" s="98" t="b">
        <v>0</v>
      </c>
      <c r="O21" s="107">
        <v>45551.0</v>
      </c>
      <c r="P21" s="106" t="b">
        <v>0</v>
      </c>
      <c r="Q21" s="107"/>
      <c r="R21" s="106"/>
      <c r="S21" s="107"/>
      <c r="T21" s="106"/>
      <c r="U21" s="107"/>
      <c r="V21" s="106"/>
      <c r="W21" s="107"/>
      <c r="X21" s="106"/>
      <c r="Y21" s="116"/>
      <c r="Z21" s="118"/>
    </row>
    <row r="22" ht="22.5" hidden="1" customHeight="1">
      <c r="A22" s="60">
        <v>19.0</v>
      </c>
      <c r="B22" s="70" t="s">
        <v>231</v>
      </c>
      <c r="C22" s="64" t="s">
        <v>51</v>
      </c>
      <c r="D22" s="64"/>
      <c r="E22" s="70"/>
      <c r="F22" s="71" t="s">
        <v>319</v>
      </c>
      <c r="G22" s="1261">
        <v>45221.0</v>
      </c>
      <c r="H22" s="130" t="b">
        <v>0</v>
      </c>
      <c r="I22" s="1261">
        <v>45148.0</v>
      </c>
      <c r="J22" s="106" t="b">
        <v>0</v>
      </c>
      <c r="K22" s="1264">
        <v>45334.0</v>
      </c>
      <c r="L22" s="99" t="b">
        <v>0</v>
      </c>
      <c r="M22" s="101"/>
      <c r="N22" s="99"/>
      <c r="O22" s="107"/>
      <c r="P22" s="106" t="b">
        <v>0</v>
      </c>
      <c r="Q22" s="107"/>
      <c r="R22" s="106"/>
      <c r="S22" s="107"/>
      <c r="T22" s="106"/>
      <c r="U22" s="107"/>
      <c r="V22" s="106"/>
      <c r="W22" s="107"/>
      <c r="X22" s="106"/>
      <c r="Y22" s="116"/>
      <c r="Z22" s="123" t="s">
        <v>87</v>
      </c>
    </row>
    <row r="23" ht="22.5" hidden="1" customHeight="1">
      <c r="A23" s="60">
        <v>20.0</v>
      </c>
      <c r="B23" s="918" t="s">
        <v>817</v>
      </c>
      <c r="C23" s="910" t="s">
        <v>945</v>
      </c>
      <c r="D23" s="914">
        <v>45344.0</v>
      </c>
      <c r="E23" s="918" t="s">
        <v>220</v>
      </c>
      <c r="F23" s="919" t="s">
        <v>820</v>
      </c>
      <c r="G23" s="1261">
        <v>45247.0</v>
      </c>
      <c r="H23" s="130" t="b">
        <v>0</v>
      </c>
      <c r="I23" s="1303">
        <v>44562.0</v>
      </c>
      <c r="J23" s="106" t="b">
        <v>0</v>
      </c>
      <c r="K23" s="1304">
        <v>45227.0</v>
      </c>
      <c r="L23" s="99" t="b">
        <v>0</v>
      </c>
      <c r="M23" s="171">
        <v>45350.0</v>
      </c>
      <c r="N23" s="106" t="b">
        <v>0</v>
      </c>
      <c r="O23" s="101">
        <v>45532.0</v>
      </c>
      <c r="P23" s="106" t="b">
        <v>0</v>
      </c>
      <c r="Q23" s="101">
        <v>45716.0</v>
      </c>
      <c r="R23" s="106" t="b">
        <v>0</v>
      </c>
      <c r="S23" s="101">
        <v>45897.0</v>
      </c>
      <c r="T23" s="106" t="b">
        <v>0</v>
      </c>
      <c r="U23" s="107"/>
      <c r="V23" s="106"/>
      <c r="W23" s="107"/>
      <c r="X23" s="106"/>
      <c r="Y23" s="283" t="s">
        <v>1098</v>
      </c>
      <c r="Z23" s="335" t="s">
        <v>196</v>
      </c>
    </row>
    <row r="24" ht="22.5" hidden="1" customHeight="1">
      <c r="A24" s="60">
        <v>21.0</v>
      </c>
      <c r="B24" s="70" t="s">
        <v>187</v>
      </c>
      <c r="C24" s="265" t="s">
        <v>51</v>
      </c>
      <c r="D24" s="265"/>
      <c r="E24" s="125" t="s">
        <v>189</v>
      </c>
      <c r="F24" s="1314" t="s">
        <v>190</v>
      </c>
      <c r="G24" s="1261">
        <v>45274.0</v>
      </c>
      <c r="H24" s="130" t="b">
        <v>0</v>
      </c>
      <c r="I24" s="1303">
        <v>44942.0</v>
      </c>
      <c r="J24" s="106" t="b">
        <v>0</v>
      </c>
      <c r="K24" s="1304">
        <v>45226.0</v>
      </c>
      <c r="L24" s="99" t="b">
        <v>0</v>
      </c>
      <c r="M24" s="107">
        <v>45398.0</v>
      </c>
      <c r="N24" s="164" t="b">
        <v>0</v>
      </c>
      <c r="O24" s="107">
        <v>45502.0</v>
      </c>
      <c r="P24" s="164" t="b">
        <v>0</v>
      </c>
      <c r="Q24" s="107"/>
      <c r="R24" s="164"/>
      <c r="S24" s="107"/>
      <c r="T24" s="164"/>
      <c r="U24" s="107"/>
      <c r="V24" s="164"/>
      <c r="W24" s="107"/>
      <c r="X24" s="164"/>
      <c r="Y24" s="283"/>
      <c r="Z24" s="146" t="s">
        <v>107</v>
      </c>
    </row>
    <row r="25" ht="22.5" hidden="1" customHeight="1">
      <c r="A25" s="60">
        <v>22.0</v>
      </c>
      <c r="B25" s="70" t="s">
        <v>321</v>
      </c>
      <c r="C25" s="64" t="s">
        <v>51</v>
      </c>
      <c r="D25" s="64"/>
      <c r="E25" s="70"/>
      <c r="F25" s="71"/>
      <c r="G25" s="1261">
        <v>45308.0</v>
      </c>
      <c r="H25" s="130" t="b">
        <v>0</v>
      </c>
      <c r="I25" s="1261">
        <v>45359.0</v>
      </c>
      <c r="J25" s="106" t="b">
        <v>0</v>
      </c>
      <c r="K25" s="1264">
        <v>45544.0</v>
      </c>
      <c r="L25" s="99" t="b">
        <v>0</v>
      </c>
      <c r="M25" s="101">
        <v>45723.0</v>
      </c>
      <c r="N25" s="99" t="b">
        <v>0</v>
      </c>
      <c r="O25" s="107">
        <v>45908.0</v>
      </c>
      <c r="P25" s="164" t="b">
        <v>0</v>
      </c>
      <c r="Q25" s="112"/>
      <c r="R25" s="106"/>
      <c r="S25" s="107"/>
      <c r="T25" s="106"/>
      <c r="U25" s="107"/>
      <c r="V25" s="106"/>
      <c r="W25" s="107"/>
      <c r="X25" s="106"/>
      <c r="Y25" s="116"/>
      <c r="Z25" s="123" t="s">
        <v>165</v>
      </c>
    </row>
    <row r="26" ht="22.5" hidden="1" customHeight="1">
      <c r="A26" s="60">
        <v>23.0</v>
      </c>
      <c r="B26" s="70" t="s">
        <v>342</v>
      </c>
      <c r="C26" s="64" t="s">
        <v>51</v>
      </c>
      <c r="D26" s="64"/>
      <c r="E26" s="70" t="s">
        <v>419</v>
      </c>
      <c r="F26" s="71"/>
      <c r="G26" s="1261">
        <v>45287.0</v>
      </c>
      <c r="H26" s="130" t="b">
        <v>0</v>
      </c>
      <c r="I26" s="1261">
        <v>45208.0</v>
      </c>
      <c r="J26" s="106" t="b">
        <v>0</v>
      </c>
      <c r="K26" s="1264">
        <v>45334.0</v>
      </c>
      <c r="L26" s="99" t="b">
        <v>0</v>
      </c>
      <c r="M26" s="92">
        <v>45453.0</v>
      </c>
      <c r="N26" s="99" t="b">
        <v>0</v>
      </c>
      <c r="O26" s="107">
        <v>45575.0</v>
      </c>
      <c r="P26" s="106" t="b">
        <v>0</v>
      </c>
      <c r="Q26" s="112"/>
      <c r="R26" s="106"/>
      <c r="S26" s="107"/>
      <c r="T26" s="106"/>
      <c r="U26" s="107"/>
      <c r="V26" s="106"/>
      <c r="W26" s="107"/>
      <c r="X26" s="106"/>
      <c r="Y26" s="116"/>
      <c r="Z26" s="118"/>
    </row>
    <row r="27" ht="22.5" hidden="1" customHeight="1">
      <c r="A27" s="60">
        <v>24.0</v>
      </c>
      <c r="B27" s="70" t="s">
        <v>350</v>
      </c>
      <c r="C27" s="64" t="s">
        <v>51</v>
      </c>
      <c r="D27" s="64"/>
      <c r="E27" s="70" t="s">
        <v>467</v>
      </c>
      <c r="F27" s="71" t="s">
        <v>427</v>
      </c>
      <c r="G27" s="1261">
        <v>45275.0</v>
      </c>
      <c r="H27" s="130" t="b">
        <v>0</v>
      </c>
      <c r="I27" s="1261">
        <v>45019.0</v>
      </c>
      <c r="J27" s="106" t="b">
        <v>0</v>
      </c>
      <c r="K27" s="1264">
        <v>45201.0</v>
      </c>
      <c r="L27" s="99" t="b">
        <v>0</v>
      </c>
      <c r="M27" s="92">
        <v>45386.0</v>
      </c>
      <c r="N27" s="106" t="b">
        <v>0</v>
      </c>
      <c r="O27" s="107">
        <v>45569.0</v>
      </c>
      <c r="P27" s="106" t="b">
        <v>0</v>
      </c>
      <c r="Q27" s="112"/>
      <c r="R27" s="106"/>
      <c r="S27" s="107"/>
      <c r="T27" s="106"/>
      <c r="U27" s="107"/>
      <c r="V27" s="106"/>
      <c r="W27" s="107"/>
      <c r="X27" s="106"/>
      <c r="Y27" s="288"/>
      <c r="Z27" s="146" t="s">
        <v>127</v>
      </c>
    </row>
    <row r="28" ht="22.5" hidden="1" customHeight="1">
      <c r="A28" s="60">
        <v>25.0</v>
      </c>
      <c r="B28" s="70" t="s">
        <v>356</v>
      </c>
      <c r="C28" s="64" t="s">
        <v>51</v>
      </c>
      <c r="D28" s="64"/>
      <c r="E28" s="70" t="s">
        <v>436</v>
      </c>
      <c r="F28" s="71" t="s">
        <v>437</v>
      </c>
      <c r="G28" s="1261">
        <v>45265.0</v>
      </c>
      <c r="H28" s="130" t="b">
        <v>0</v>
      </c>
      <c r="I28" s="1261">
        <v>44932.0</v>
      </c>
      <c r="J28" s="106" t="b">
        <v>0</v>
      </c>
      <c r="K28" s="1264">
        <v>44675.0</v>
      </c>
      <c r="L28" s="99" t="b">
        <v>0</v>
      </c>
      <c r="M28" s="92">
        <v>45223.0</v>
      </c>
      <c r="N28" s="106" t="b">
        <v>0</v>
      </c>
      <c r="O28" s="107">
        <v>45404.0</v>
      </c>
      <c r="P28" s="106" t="b">
        <v>0</v>
      </c>
      <c r="Q28" s="112"/>
      <c r="R28" s="106"/>
      <c r="S28" s="107"/>
      <c r="T28" s="106"/>
      <c r="U28" s="107"/>
      <c r="V28" s="106"/>
      <c r="W28" s="107"/>
      <c r="X28" s="106"/>
      <c r="Y28" s="116"/>
      <c r="Z28" s="146" t="s">
        <v>208</v>
      </c>
    </row>
    <row r="29" ht="22.5" hidden="1" customHeight="1">
      <c r="A29" s="60">
        <v>26.0</v>
      </c>
      <c r="B29" s="70" t="s">
        <v>205</v>
      </c>
      <c r="C29" s="64" t="s">
        <v>51</v>
      </c>
      <c r="D29" s="64"/>
      <c r="E29" s="70"/>
      <c r="F29" s="71" t="s">
        <v>843</v>
      </c>
      <c r="G29" s="1261">
        <v>45267.0</v>
      </c>
      <c r="H29" s="130" t="b">
        <v>0</v>
      </c>
      <c r="I29" s="1261">
        <v>44942.0</v>
      </c>
      <c r="J29" s="106" t="b">
        <v>0</v>
      </c>
      <c r="K29" s="1264">
        <v>45268.0</v>
      </c>
      <c r="L29" s="99" t="b">
        <v>0</v>
      </c>
      <c r="M29" s="92">
        <v>45386.0</v>
      </c>
      <c r="N29" s="106" t="b">
        <v>0</v>
      </c>
      <c r="O29" s="107">
        <v>45569.0</v>
      </c>
      <c r="P29" s="106" t="b">
        <v>0</v>
      </c>
      <c r="Q29" s="112"/>
      <c r="R29" s="106"/>
      <c r="S29" s="107"/>
      <c r="T29" s="106"/>
      <c r="U29" s="107"/>
      <c r="V29" s="106"/>
      <c r="W29" s="107"/>
      <c r="X29" s="106"/>
      <c r="Y29" s="288"/>
      <c r="Z29" s="384"/>
    </row>
    <row r="30" ht="22.5" hidden="1" customHeight="1">
      <c r="A30" s="60">
        <v>27.0</v>
      </c>
      <c r="B30" s="70" t="s">
        <v>439</v>
      </c>
      <c r="C30" s="64" t="s">
        <v>51</v>
      </c>
      <c r="D30" s="64"/>
      <c r="E30" s="70" t="s">
        <v>441</v>
      </c>
      <c r="F30" s="71" t="s">
        <v>442</v>
      </c>
      <c r="G30" s="1261">
        <v>45229.0</v>
      </c>
      <c r="H30" s="130" t="b">
        <v>0</v>
      </c>
      <c r="I30" s="1271">
        <v>44562.0</v>
      </c>
      <c r="J30" s="106" t="b">
        <v>0</v>
      </c>
      <c r="K30" s="1268">
        <v>45091.0</v>
      </c>
      <c r="L30" s="99" t="b">
        <v>0</v>
      </c>
      <c r="M30" s="92">
        <v>45271.0</v>
      </c>
      <c r="N30" s="106" t="b">
        <v>0</v>
      </c>
      <c r="O30" s="107">
        <v>45453.0</v>
      </c>
      <c r="P30" s="963"/>
      <c r="Q30" s="1241"/>
      <c r="R30" s="106"/>
      <c r="S30" s="107"/>
      <c r="T30" s="106"/>
      <c r="U30" s="107"/>
      <c r="V30" s="106"/>
      <c r="W30" s="107"/>
      <c r="X30" s="106"/>
      <c r="Y30" s="288"/>
      <c r="Z30" s="220" t="s">
        <v>211</v>
      </c>
    </row>
    <row r="31" ht="22.5" hidden="1" customHeight="1">
      <c r="A31" s="60">
        <v>28.0</v>
      </c>
      <c r="B31" s="965" t="s">
        <v>386</v>
      </c>
      <c r="C31" s="64" t="s">
        <v>55</v>
      </c>
      <c r="D31" s="64"/>
      <c r="E31" s="70" t="s">
        <v>445</v>
      </c>
      <c r="F31" s="71" t="s">
        <v>763</v>
      </c>
      <c r="G31" s="1261">
        <v>45240.0</v>
      </c>
      <c r="H31" s="130" t="b">
        <v>0</v>
      </c>
      <c r="I31" s="1271">
        <v>44562.0</v>
      </c>
      <c r="J31" s="106" t="b">
        <v>0</v>
      </c>
      <c r="K31" s="1268">
        <v>45008.0</v>
      </c>
      <c r="L31" s="99" t="b">
        <v>0</v>
      </c>
      <c r="M31" s="92"/>
      <c r="N31" s="106"/>
      <c r="O31" s="107"/>
      <c r="P31" s="106"/>
      <c r="Q31" s="112"/>
      <c r="R31" s="106"/>
      <c r="S31" s="107"/>
      <c r="T31" s="106"/>
      <c r="U31" s="107"/>
      <c r="V31" s="106"/>
      <c r="W31" s="107"/>
      <c r="X31" s="106"/>
      <c r="Y31" s="297" t="s">
        <v>447</v>
      </c>
      <c r="Z31" s="220" t="s">
        <v>99</v>
      </c>
    </row>
    <row r="32" ht="22.5" hidden="1" customHeight="1">
      <c r="A32" s="60">
        <v>29.0</v>
      </c>
      <c r="B32" s="70" t="s">
        <v>214</v>
      </c>
      <c r="C32" s="64" t="s">
        <v>51</v>
      </c>
      <c r="D32" s="64"/>
      <c r="E32" s="70" t="s">
        <v>215</v>
      </c>
      <c r="F32" s="71" t="s">
        <v>216</v>
      </c>
      <c r="G32" s="1261">
        <v>45237.0</v>
      </c>
      <c r="H32" s="130" t="b">
        <v>0</v>
      </c>
      <c r="I32" s="1261">
        <v>44562.0</v>
      </c>
      <c r="J32" s="106" t="b">
        <v>0</v>
      </c>
      <c r="K32" s="1264">
        <v>45008.0</v>
      </c>
      <c r="L32" s="99" t="b">
        <v>0</v>
      </c>
      <c r="M32" s="101">
        <v>45266.0</v>
      </c>
      <c r="N32" s="106" t="b">
        <v>1</v>
      </c>
      <c r="O32" s="107">
        <v>45376.0</v>
      </c>
      <c r="P32" s="106" t="b">
        <v>0</v>
      </c>
      <c r="Q32" s="107"/>
      <c r="R32" s="106"/>
      <c r="S32" s="107"/>
      <c r="T32" s="106"/>
      <c r="U32" s="107"/>
      <c r="V32" s="106"/>
      <c r="W32" s="107"/>
      <c r="X32" s="106"/>
      <c r="Y32" s="297" t="s">
        <v>224</v>
      </c>
      <c r="Z32" s="146" t="s">
        <v>115</v>
      </c>
    </row>
    <row r="33" ht="22.5" hidden="1" customHeight="1">
      <c r="A33" s="60">
        <v>30.0</v>
      </c>
      <c r="B33" s="70" t="s">
        <v>449</v>
      </c>
      <c r="C33" s="64" t="s">
        <v>51</v>
      </c>
      <c r="D33" s="64"/>
      <c r="E33" s="70" t="s">
        <v>450</v>
      </c>
      <c r="F33" s="71"/>
      <c r="G33" s="1261">
        <v>45268.0</v>
      </c>
      <c r="H33" s="130" t="b">
        <v>0</v>
      </c>
      <c r="I33" s="1261">
        <v>44949.0</v>
      </c>
      <c r="J33" s="106" t="b">
        <v>0</v>
      </c>
      <c r="K33" s="1264">
        <v>45266.0</v>
      </c>
      <c r="L33" s="99" t="b">
        <v>0</v>
      </c>
      <c r="M33" s="101">
        <v>45313.0</v>
      </c>
      <c r="N33" s="98" t="b">
        <v>0</v>
      </c>
      <c r="O33" s="107">
        <v>45558.0</v>
      </c>
      <c r="P33" s="106" t="b">
        <v>0</v>
      </c>
      <c r="Q33" s="107"/>
      <c r="R33" s="106"/>
      <c r="S33" s="107"/>
      <c r="T33" s="106"/>
      <c r="U33" s="107"/>
      <c r="V33" s="106"/>
      <c r="W33" s="107"/>
      <c r="X33" s="106"/>
      <c r="Y33" s="288"/>
      <c r="Z33" s="245"/>
    </row>
    <row r="34" ht="22.5" hidden="1" customHeight="1">
      <c r="A34" s="60">
        <v>31.0</v>
      </c>
      <c r="B34" s="70" t="s">
        <v>399</v>
      </c>
      <c r="C34" s="64" t="s">
        <v>51</v>
      </c>
      <c r="D34" s="64"/>
      <c r="E34" s="70" t="s">
        <v>532</v>
      </c>
      <c r="F34" s="206" t="s">
        <v>866</v>
      </c>
      <c r="G34" s="1261">
        <v>45224.0</v>
      </c>
      <c r="H34" s="130" t="b">
        <v>0</v>
      </c>
      <c r="I34" s="1261">
        <v>45008.0</v>
      </c>
      <c r="J34" s="106" t="b">
        <v>0</v>
      </c>
      <c r="K34" s="1264">
        <v>45306.0</v>
      </c>
      <c r="L34" s="99" t="b">
        <v>0</v>
      </c>
      <c r="M34" s="101">
        <v>45370.0</v>
      </c>
      <c r="N34" s="98" t="b">
        <v>0</v>
      </c>
      <c r="O34" s="107">
        <v>45554.0</v>
      </c>
      <c r="P34" s="106" t="b">
        <v>0</v>
      </c>
      <c r="Q34" s="107"/>
      <c r="R34" s="106"/>
      <c r="S34" s="107"/>
      <c r="T34" s="106"/>
      <c r="U34" s="107"/>
      <c r="V34" s="106"/>
      <c r="W34" s="107"/>
      <c r="X34" s="106"/>
      <c r="Y34" s="288"/>
      <c r="Z34" s="131"/>
    </row>
    <row r="35" ht="22.5" hidden="1" customHeight="1">
      <c r="A35" s="60">
        <v>32.0</v>
      </c>
      <c r="B35" s="70" t="s">
        <v>404</v>
      </c>
      <c r="C35" s="265" t="s">
        <v>51</v>
      </c>
      <c r="D35" s="265"/>
      <c r="E35" s="125"/>
      <c r="F35" s="266"/>
      <c r="G35" s="1261">
        <v>45262.0</v>
      </c>
      <c r="H35" s="130" t="b">
        <v>0</v>
      </c>
      <c r="I35" s="1300">
        <v>44881.0</v>
      </c>
      <c r="J35" s="106" t="b">
        <v>0</v>
      </c>
      <c r="K35" s="1302">
        <v>44999.0</v>
      </c>
      <c r="L35" s="99" t="b">
        <v>0</v>
      </c>
      <c r="M35" s="107">
        <v>45120.0</v>
      </c>
      <c r="N35" s="164" t="b">
        <v>1</v>
      </c>
      <c r="O35" s="107">
        <v>45306.0</v>
      </c>
      <c r="P35" s="164" t="b">
        <v>0</v>
      </c>
      <c r="Q35" s="107"/>
      <c r="R35" s="164"/>
      <c r="S35" s="107"/>
      <c r="T35" s="164"/>
      <c r="U35" s="107"/>
      <c r="V35" s="164"/>
      <c r="W35" s="107"/>
      <c r="X35" s="164"/>
      <c r="Y35" s="283"/>
      <c r="Z35" s="118"/>
    </row>
    <row r="36" ht="22.5" hidden="1" customHeight="1">
      <c r="A36" s="60">
        <v>33.0</v>
      </c>
      <c r="B36" s="70" t="s">
        <v>411</v>
      </c>
      <c r="C36" s="64" t="s">
        <v>51</v>
      </c>
      <c r="D36" s="64"/>
      <c r="E36" s="70" t="s">
        <v>468</v>
      </c>
      <c r="F36" s="71" t="s">
        <v>469</v>
      </c>
      <c r="G36" s="1261">
        <v>45266.0</v>
      </c>
      <c r="H36" s="130" t="b">
        <v>0</v>
      </c>
      <c r="I36" s="1261">
        <v>44939.0</v>
      </c>
      <c r="J36" s="106" t="b">
        <v>0</v>
      </c>
      <c r="K36" s="1268">
        <v>45180.0</v>
      </c>
      <c r="L36" s="99" t="b">
        <v>0</v>
      </c>
      <c r="M36" s="171">
        <v>45302.0</v>
      </c>
      <c r="N36" s="106" t="b">
        <v>0</v>
      </c>
      <c r="O36" s="107">
        <v>45544.0</v>
      </c>
      <c r="P36" s="106" t="b">
        <v>0</v>
      </c>
      <c r="Q36" s="107"/>
      <c r="R36" s="106"/>
      <c r="S36" s="107"/>
      <c r="T36" s="106"/>
      <c r="U36" s="107"/>
      <c r="V36" s="106"/>
      <c r="W36" s="107"/>
      <c r="X36" s="106"/>
      <c r="Y36" s="288"/>
      <c r="Z36" s="131"/>
    </row>
    <row r="37" ht="22.5" hidden="1" customHeight="1">
      <c r="A37" s="60">
        <v>34.0</v>
      </c>
      <c r="B37" s="70" t="s">
        <v>413</v>
      </c>
      <c r="C37" s="64" t="s">
        <v>51</v>
      </c>
      <c r="D37" s="64"/>
      <c r="E37" s="70" t="s">
        <v>582</v>
      </c>
      <c r="F37" s="71">
        <v>9.52565912E8</v>
      </c>
      <c r="G37" s="1261">
        <v>45298.0</v>
      </c>
      <c r="H37" s="130" t="b">
        <v>0</v>
      </c>
      <c r="I37" s="1261">
        <v>45255.0</v>
      </c>
      <c r="J37" s="106" t="b">
        <v>0</v>
      </c>
      <c r="K37" s="1264">
        <v>45432.0</v>
      </c>
      <c r="L37" s="99" t="b">
        <v>0</v>
      </c>
      <c r="M37" s="101">
        <v>45617.0</v>
      </c>
      <c r="N37" s="130" t="b">
        <v>0</v>
      </c>
      <c r="O37" s="107">
        <v>45798.0</v>
      </c>
      <c r="P37" s="106" t="b">
        <v>0</v>
      </c>
      <c r="Q37" s="107"/>
      <c r="R37" s="106"/>
      <c r="S37" s="107"/>
      <c r="T37" s="106"/>
      <c r="U37" s="107"/>
      <c r="V37" s="106"/>
      <c r="W37" s="107"/>
      <c r="X37" s="106"/>
      <c r="Y37" s="116"/>
      <c r="Z37" s="118"/>
    </row>
    <row r="38" ht="22.5" hidden="1" customHeight="1">
      <c r="A38" s="60">
        <v>35.0</v>
      </c>
      <c r="B38" s="70" t="s">
        <v>416</v>
      </c>
      <c r="C38" s="64" t="s">
        <v>51</v>
      </c>
      <c r="D38" s="64"/>
      <c r="E38" s="70"/>
      <c r="F38" s="71" t="s">
        <v>477</v>
      </c>
      <c r="G38" s="1261">
        <v>45282.0</v>
      </c>
      <c r="H38" s="130" t="b">
        <v>0</v>
      </c>
      <c r="I38" s="1261">
        <v>45104.0</v>
      </c>
      <c r="J38" s="106" t="b">
        <v>0</v>
      </c>
      <c r="K38" s="1264">
        <v>45280.0</v>
      </c>
      <c r="L38" s="99" t="b">
        <v>0</v>
      </c>
      <c r="M38" s="101">
        <v>45463.0</v>
      </c>
      <c r="N38" s="130" t="b">
        <v>0</v>
      </c>
      <c r="O38" s="107">
        <v>45646.0</v>
      </c>
      <c r="P38" s="106" t="b">
        <v>0</v>
      </c>
      <c r="Q38" s="107"/>
      <c r="R38" s="106"/>
      <c r="S38" s="107"/>
      <c r="T38" s="106"/>
      <c r="U38" s="107"/>
      <c r="V38" s="106"/>
      <c r="W38" s="107"/>
      <c r="X38" s="106"/>
      <c r="Y38" s="262"/>
      <c r="Z38" s="118"/>
    </row>
    <row r="39" ht="22.5" hidden="1" customHeight="1">
      <c r="A39" s="60">
        <v>36.0</v>
      </c>
      <c r="B39" s="70" t="s">
        <v>424</v>
      </c>
      <c r="C39" s="64" t="s">
        <v>51</v>
      </c>
      <c r="D39" s="64"/>
      <c r="E39" s="70"/>
      <c r="F39" s="71" t="s">
        <v>73</v>
      </c>
      <c r="G39" s="1261">
        <v>45295.0</v>
      </c>
      <c r="H39" s="130" t="b">
        <v>0</v>
      </c>
      <c r="I39" s="1261">
        <v>45227.0</v>
      </c>
      <c r="J39" s="106" t="b">
        <v>0</v>
      </c>
      <c r="K39" s="1264">
        <v>45440.0</v>
      </c>
      <c r="L39" s="99" t="b">
        <v>0</v>
      </c>
      <c r="M39" s="101">
        <v>45616.0</v>
      </c>
      <c r="N39" s="99" t="b">
        <v>0</v>
      </c>
      <c r="O39" s="107">
        <v>45799.0</v>
      </c>
      <c r="P39" s="106" t="b">
        <v>0</v>
      </c>
      <c r="Q39" s="107"/>
      <c r="R39" s="106"/>
      <c r="S39" s="107"/>
      <c r="T39" s="106"/>
      <c r="U39" s="107"/>
      <c r="V39" s="106"/>
      <c r="W39" s="107"/>
      <c r="X39" s="106"/>
      <c r="Y39" s="116"/>
      <c r="Z39" s="146" t="s">
        <v>186</v>
      </c>
    </row>
    <row r="40" ht="22.5" hidden="1" customHeight="1">
      <c r="A40" s="60">
        <v>37.0</v>
      </c>
      <c r="B40" s="1259" t="s">
        <v>428</v>
      </c>
      <c r="C40" s="64" t="s">
        <v>786</v>
      </c>
      <c r="D40" s="64"/>
      <c r="E40" s="70" t="s">
        <v>616</v>
      </c>
      <c r="F40" s="71" t="s">
        <v>879</v>
      </c>
      <c r="G40" s="1261">
        <v>45243.0</v>
      </c>
      <c r="H40" s="130" t="b">
        <v>0</v>
      </c>
      <c r="I40" s="1261">
        <v>44562.0</v>
      </c>
      <c r="J40" s="106" t="b">
        <v>0</v>
      </c>
      <c r="K40" s="1264">
        <v>45086.0</v>
      </c>
      <c r="L40" s="99" t="b">
        <v>0</v>
      </c>
      <c r="M40" s="101">
        <v>45315.0</v>
      </c>
      <c r="N40" s="98" t="b">
        <v>0</v>
      </c>
      <c r="O40" s="101">
        <v>45467.0</v>
      </c>
      <c r="P40" s="106" t="b">
        <v>0</v>
      </c>
      <c r="Q40" s="101">
        <v>45684.0</v>
      </c>
      <c r="R40" s="106" t="b">
        <v>0</v>
      </c>
      <c r="S40" s="101">
        <v>45831.0</v>
      </c>
      <c r="T40" s="106" t="b">
        <v>0</v>
      </c>
      <c r="U40" s="107"/>
      <c r="V40" s="106"/>
      <c r="W40" s="107"/>
      <c r="X40" s="106"/>
      <c r="Y40" s="116" t="s">
        <v>58</v>
      </c>
      <c r="Z40" s="245"/>
    </row>
    <row r="41" ht="22.5" hidden="1" customHeight="1">
      <c r="A41" s="60">
        <v>38.0</v>
      </c>
      <c r="B41" s="70" t="s">
        <v>438</v>
      </c>
      <c r="C41" s="64" t="s">
        <v>51</v>
      </c>
      <c r="D41" s="64"/>
      <c r="E41" s="70" t="s">
        <v>883</v>
      </c>
      <c r="F41" s="71">
        <v>8.98119674E8</v>
      </c>
      <c r="G41" s="1261">
        <v>45250.0</v>
      </c>
      <c r="H41" s="130" t="b">
        <v>0</v>
      </c>
      <c r="I41" s="1261">
        <v>44562.0</v>
      </c>
      <c r="J41" s="106" t="b">
        <v>0</v>
      </c>
      <c r="K41" s="1264">
        <v>44562.0</v>
      </c>
      <c r="L41" s="99" t="b">
        <v>0</v>
      </c>
      <c r="M41" s="101">
        <v>45082.0</v>
      </c>
      <c r="N41" s="106" t="b">
        <v>1</v>
      </c>
      <c r="O41" s="107">
        <v>45239.0</v>
      </c>
      <c r="P41" s="106" t="b">
        <v>0</v>
      </c>
      <c r="Q41" s="107"/>
      <c r="R41" s="106" t="b">
        <v>0</v>
      </c>
      <c r="S41" s="107"/>
      <c r="T41" s="106" t="b">
        <v>0</v>
      </c>
      <c r="U41" s="107"/>
      <c r="V41" s="106"/>
      <c r="W41" s="107"/>
      <c r="X41" s="106"/>
      <c r="Y41" s="116" t="s">
        <v>885</v>
      </c>
      <c r="Z41" s="146"/>
    </row>
    <row r="42" ht="22.5" hidden="1" customHeight="1">
      <c r="A42" s="60">
        <v>39.0</v>
      </c>
      <c r="B42" s="70" t="s">
        <v>485</v>
      </c>
      <c r="C42" s="301" t="s">
        <v>51</v>
      </c>
      <c r="D42" s="64"/>
      <c r="E42" s="70" t="s">
        <v>148</v>
      </c>
      <c r="F42" s="71" t="s">
        <v>488</v>
      </c>
      <c r="G42" s="1261">
        <v>45228.0</v>
      </c>
      <c r="H42" s="130" t="b">
        <v>0</v>
      </c>
      <c r="I42" s="1261">
        <v>44562.0</v>
      </c>
      <c r="J42" s="106" t="b">
        <v>0</v>
      </c>
      <c r="K42" s="1264">
        <v>44679.0</v>
      </c>
      <c r="L42" s="99" t="b">
        <v>0</v>
      </c>
      <c r="M42" s="101">
        <v>44876.0</v>
      </c>
      <c r="N42" s="98" t="b">
        <v>1</v>
      </c>
      <c r="O42" s="101">
        <v>45055.0</v>
      </c>
      <c r="P42" s="106" t="b">
        <v>1</v>
      </c>
      <c r="Q42" s="107">
        <v>45240.0</v>
      </c>
      <c r="R42" s="106" t="b">
        <v>0</v>
      </c>
      <c r="S42" s="107">
        <v>45488.0</v>
      </c>
      <c r="T42" s="106" t="b">
        <v>0</v>
      </c>
      <c r="U42" s="107">
        <v>45607.0</v>
      </c>
      <c r="V42" s="106" t="b">
        <v>0</v>
      </c>
      <c r="W42" s="107">
        <v>45789.0</v>
      </c>
      <c r="X42" s="106" t="b">
        <v>0</v>
      </c>
      <c r="Y42" s="116"/>
      <c r="Z42" s="118"/>
    </row>
    <row r="43" ht="22.5" hidden="1" customHeight="1">
      <c r="A43" s="60">
        <v>40.0</v>
      </c>
      <c r="B43" s="362" t="s">
        <v>446</v>
      </c>
      <c r="C43" s="64" t="s">
        <v>51</v>
      </c>
      <c r="D43" s="645"/>
      <c r="E43" s="362"/>
      <c r="F43" s="364"/>
      <c r="G43" s="1261">
        <v>45323.0</v>
      </c>
      <c r="H43" s="130" t="b">
        <v>0</v>
      </c>
      <c r="I43" s="1261">
        <v>45393.0</v>
      </c>
      <c r="J43" s="106" t="b">
        <v>0</v>
      </c>
      <c r="K43" s="1264">
        <v>45576.0</v>
      </c>
      <c r="L43" s="99" t="b">
        <v>0</v>
      </c>
      <c r="M43" s="101">
        <v>45758.0</v>
      </c>
      <c r="N43" s="649" t="b">
        <v>0</v>
      </c>
      <c r="O43" s="107">
        <v>45941.0</v>
      </c>
      <c r="P43" s="164" t="b">
        <v>0</v>
      </c>
      <c r="Q43" s="107"/>
      <c r="R43" s="106"/>
      <c r="S43" s="107"/>
      <c r="T43" s="106"/>
      <c r="U43" s="107"/>
      <c r="V43" s="106"/>
      <c r="W43" s="107"/>
      <c r="X43" s="106"/>
      <c r="Y43" s="116"/>
      <c r="Z43" s="118"/>
    </row>
    <row r="44" ht="22.5" hidden="1" customHeight="1">
      <c r="A44" s="60">
        <v>41.0</v>
      </c>
      <c r="B44" s="70" t="s">
        <v>475</v>
      </c>
      <c r="C44" s="64" t="s">
        <v>51</v>
      </c>
      <c r="D44" s="64"/>
      <c r="E44" s="70" t="s">
        <v>491</v>
      </c>
      <c r="F44" s="71"/>
      <c r="G44" s="1261">
        <v>45284.0</v>
      </c>
      <c r="H44" s="130" t="b">
        <v>0</v>
      </c>
      <c r="I44" s="1261">
        <v>45139.0</v>
      </c>
      <c r="J44" s="106" t="b">
        <v>0</v>
      </c>
      <c r="K44" s="1268">
        <v>45324.0</v>
      </c>
      <c r="L44" s="99" t="b">
        <v>0</v>
      </c>
      <c r="M44" s="171"/>
      <c r="N44" s="99" t="b">
        <v>0</v>
      </c>
      <c r="O44" s="107"/>
      <c r="P44" s="106" t="b">
        <v>0</v>
      </c>
      <c r="Q44" s="107"/>
      <c r="R44" s="106"/>
      <c r="S44" s="107"/>
      <c r="T44" s="106"/>
      <c r="U44" s="107"/>
      <c r="V44" s="106"/>
      <c r="W44" s="107"/>
      <c r="X44" s="106"/>
      <c r="Y44" s="116"/>
      <c r="Z44" s="118"/>
    </row>
    <row r="45" ht="22.5" hidden="1" customHeight="1">
      <c r="A45" s="60">
        <v>42.0</v>
      </c>
      <c r="B45" s="70" t="s">
        <v>478</v>
      </c>
      <c r="C45" s="64" t="s">
        <v>786</v>
      </c>
      <c r="D45" s="64"/>
      <c r="E45" s="70" t="s">
        <v>491</v>
      </c>
      <c r="F45" s="71" t="s">
        <v>661</v>
      </c>
      <c r="G45" s="1261">
        <v>45251.0</v>
      </c>
      <c r="H45" s="130" t="b">
        <v>0</v>
      </c>
      <c r="I45" s="1261">
        <v>44562.0</v>
      </c>
      <c r="J45" s="106" t="b">
        <v>0</v>
      </c>
      <c r="K45" s="1264">
        <v>44562.0</v>
      </c>
      <c r="L45" s="99" t="b">
        <v>0</v>
      </c>
      <c r="M45" s="101">
        <v>44562.0</v>
      </c>
      <c r="N45" s="106" t="b">
        <v>1</v>
      </c>
      <c r="O45" s="107">
        <v>45254.0</v>
      </c>
      <c r="P45" s="106" t="b">
        <v>1</v>
      </c>
      <c r="Q45" s="107">
        <v>45371.0</v>
      </c>
      <c r="R45" s="106" t="b">
        <v>0</v>
      </c>
      <c r="S45" s="107">
        <v>45495.0</v>
      </c>
      <c r="T45" s="106" t="b">
        <v>0</v>
      </c>
      <c r="U45" s="107">
        <v>45618.0</v>
      </c>
      <c r="V45" s="106" t="b">
        <v>0</v>
      </c>
      <c r="W45" s="107">
        <v>45740.0</v>
      </c>
      <c r="X45" s="106" t="b">
        <v>0</v>
      </c>
      <c r="Y45" s="262"/>
      <c r="Z45" s="401"/>
    </row>
    <row r="46" ht="22.5" hidden="1" customHeight="1">
      <c r="A46" s="60">
        <v>43.0</v>
      </c>
      <c r="B46" s="70" t="s">
        <v>495</v>
      </c>
      <c r="C46" s="64" t="s">
        <v>51</v>
      </c>
      <c r="D46" s="64"/>
      <c r="E46" s="70" t="s">
        <v>491</v>
      </c>
      <c r="F46" s="71"/>
      <c r="G46" s="1261">
        <v>45305.0</v>
      </c>
      <c r="H46" s="130" t="b">
        <v>0</v>
      </c>
      <c r="I46" s="1261">
        <v>45309.0</v>
      </c>
      <c r="J46" s="106" t="b">
        <v>0</v>
      </c>
      <c r="K46" s="1264">
        <v>45428.0</v>
      </c>
      <c r="L46" s="99" t="b">
        <v>0</v>
      </c>
      <c r="M46" s="101">
        <v>45916.0</v>
      </c>
      <c r="N46" s="130" t="b">
        <v>0</v>
      </c>
      <c r="O46" s="107">
        <v>45672.0</v>
      </c>
      <c r="P46" s="106" t="b">
        <v>0</v>
      </c>
      <c r="Q46" s="107"/>
      <c r="R46" s="106"/>
      <c r="S46" s="107"/>
      <c r="T46" s="106"/>
      <c r="U46" s="107"/>
      <c r="V46" s="106"/>
      <c r="W46" s="107"/>
      <c r="X46" s="106"/>
      <c r="Y46" s="116"/>
      <c r="Z46" s="118"/>
    </row>
    <row r="47" ht="22.5" hidden="1" customHeight="1">
      <c r="A47" s="60">
        <v>44.0</v>
      </c>
      <c r="B47" s="70" t="s">
        <v>92</v>
      </c>
      <c r="C47" s="64" t="s">
        <v>51</v>
      </c>
      <c r="D47" s="64"/>
      <c r="E47" s="70" t="s">
        <v>671</v>
      </c>
      <c r="F47" s="71" t="s">
        <v>672</v>
      </c>
      <c r="G47" s="1261">
        <v>45291.0</v>
      </c>
      <c r="H47" s="130" t="b">
        <v>0</v>
      </c>
      <c r="I47" s="1261">
        <v>45226.0</v>
      </c>
      <c r="J47" s="106" t="b">
        <v>0</v>
      </c>
      <c r="K47" s="1264">
        <v>45399.0</v>
      </c>
      <c r="L47" s="99" t="b">
        <v>0</v>
      </c>
      <c r="M47" s="101">
        <v>45582.0</v>
      </c>
      <c r="N47" s="99" t="b">
        <v>0</v>
      </c>
      <c r="O47" s="107">
        <v>45764.0</v>
      </c>
      <c r="P47" s="106" t="b">
        <v>0</v>
      </c>
      <c r="Q47" s="107"/>
      <c r="R47" s="106"/>
      <c r="S47" s="107"/>
      <c r="T47" s="106"/>
      <c r="U47" s="107"/>
      <c r="V47" s="106"/>
      <c r="W47" s="107"/>
      <c r="X47" s="106"/>
      <c r="Y47" s="116"/>
      <c r="Z47" s="146" t="s">
        <v>251</v>
      </c>
    </row>
    <row r="48" ht="22.5" hidden="1" customHeight="1">
      <c r="A48" s="60">
        <v>45.0</v>
      </c>
      <c r="B48" s="70" t="s">
        <v>490</v>
      </c>
      <c r="C48" s="64" t="s">
        <v>51</v>
      </c>
      <c r="D48" s="64"/>
      <c r="E48" s="70"/>
      <c r="F48" s="71"/>
      <c r="G48" s="1261">
        <v>45316.0</v>
      </c>
      <c r="H48" s="130" t="b">
        <v>0</v>
      </c>
      <c r="I48" s="1261">
        <v>45378.0</v>
      </c>
      <c r="J48" s="106" t="b">
        <v>0</v>
      </c>
      <c r="K48" s="1264">
        <v>45562.0</v>
      </c>
      <c r="L48" s="99" t="b">
        <v>0</v>
      </c>
      <c r="M48" s="101">
        <v>45743.0</v>
      </c>
      <c r="N48" s="99" t="b">
        <v>0</v>
      </c>
      <c r="O48" s="107">
        <v>45927.0</v>
      </c>
      <c r="P48" s="164" t="b">
        <v>0</v>
      </c>
      <c r="Q48" s="107"/>
      <c r="R48" s="106"/>
      <c r="S48" s="107"/>
      <c r="T48" s="106"/>
      <c r="U48" s="107"/>
      <c r="V48" s="106"/>
      <c r="W48" s="107"/>
      <c r="X48" s="106"/>
      <c r="Y48" s="116"/>
      <c r="Z48" s="123" t="s">
        <v>62</v>
      </c>
    </row>
    <row r="49" ht="22.5" hidden="1" customHeight="1">
      <c r="A49" s="60">
        <v>46.0</v>
      </c>
      <c r="B49" s="70" t="s">
        <v>500</v>
      </c>
      <c r="C49" s="64" t="s">
        <v>51</v>
      </c>
      <c r="D49" s="64"/>
      <c r="E49" s="70"/>
      <c r="F49" s="71"/>
      <c r="G49" s="1261">
        <v>45321.0</v>
      </c>
      <c r="H49" s="130" t="b">
        <v>0</v>
      </c>
      <c r="I49" s="1261">
        <v>45393.0</v>
      </c>
      <c r="J49" s="106" t="b">
        <v>0</v>
      </c>
      <c r="K49" s="1264">
        <v>45576.0</v>
      </c>
      <c r="L49" s="99" t="b">
        <v>0</v>
      </c>
      <c r="M49" s="101">
        <v>45758.0</v>
      </c>
      <c r="N49" s="99" t="b">
        <v>0</v>
      </c>
      <c r="O49" s="107">
        <v>45941.0</v>
      </c>
      <c r="P49" s="164" t="b">
        <v>0</v>
      </c>
      <c r="Q49" s="107"/>
      <c r="R49" s="106"/>
      <c r="S49" s="107"/>
      <c r="T49" s="106"/>
      <c r="U49" s="107"/>
      <c r="V49" s="106"/>
      <c r="W49" s="107"/>
      <c r="X49" s="106"/>
      <c r="Y49" s="116"/>
      <c r="Z49" s="123" t="s">
        <v>120</v>
      </c>
    </row>
    <row r="50" ht="22.5" hidden="1" customHeight="1">
      <c r="A50" s="60">
        <v>47.0</v>
      </c>
      <c r="B50" s="70" t="s">
        <v>504</v>
      </c>
      <c r="C50" s="64" t="s">
        <v>51</v>
      </c>
      <c r="D50" s="64"/>
      <c r="E50" s="70" t="s">
        <v>846</v>
      </c>
      <c r="F50" s="71" t="s">
        <v>848</v>
      </c>
      <c r="G50" s="1261">
        <v>45304.0</v>
      </c>
      <c r="H50" s="130" t="b">
        <v>0</v>
      </c>
      <c r="I50" s="1261">
        <v>45301.0</v>
      </c>
      <c r="J50" s="106" t="b">
        <v>0</v>
      </c>
      <c r="K50" s="1264">
        <v>45450.0</v>
      </c>
      <c r="L50" s="99" t="b">
        <v>0</v>
      </c>
      <c r="M50" s="101">
        <v>45635.0</v>
      </c>
      <c r="N50" s="99" t="b">
        <v>0</v>
      </c>
      <c r="O50" s="107">
        <v>45817.0</v>
      </c>
      <c r="P50" s="106" t="b">
        <v>0</v>
      </c>
      <c r="Q50" s="107"/>
      <c r="R50" s="106"/>
      <c r="S50" s="107"/>
      <c r="T50" s="106"/>
      <c r="U50" s="107"/>
      <c r="V50" s="106"/>
      <c r="W50" s="107"/>
      <c r="X50" s="106"/>
      <c r="Y50" s="116"/>
      <c r="Z50" s="205" t="s">
        <v>133</v>
      </c>
    </row>
    <row r="51" ht="22.5" hidden="1" customHeight="1">
      <c r="A51" s="60">
        <v>48.0</v>
      </c>
      <c r="B51" s="332" t="s">
        <v>506</v>
      </c>
      <c r="C51" s="64" t="s">
        <v>51</v>
      </c>
      <c r="D51" s="64"/>
      <c r="E51" s="70" t="s">
        <v>508</v>
      </c>
      <c r="F51" s="71" t="s">
        <v>694</v>
      </c>
      <c r="G51" s="1261">
        <v>45230.0</v>
      </c>
      <c r="H51" s="130" t="b">
        <v>0</v>
      </c>
      <c r="I51" s="1261">
        <v>44562.0</v>
      </c>
      <c r="J51" s="106" t="b">
        <v>0</v>
      </c>
      <c r="K51" s="1264">
        <v>44562.0</v>
      </c>
      <c r="L51" s="99" t="b">
        <v>0</v>
      </c>
      <c r="M51" s="101">
        <v>45120.0</v>
      </c>
      <c r="N51" s="98" t="b">
        <v>1</v>
      </c>
      <c r="O51" s="107">
        <v>45308.0</v>
      </c>
      <c r="P51" s="106" t="b">
        <v>0</v>
      </c>
      <c r="Q51" s="107">
        <v>45427.0</v>
      </c>
      <c r="R51" s="106" t="b">
        <v>0</v>
      </c>
      <c r="S51" s="107">
        <v>45611.0</v>
      </c>
      <c r="T51" s="106" t="b">
        <v>0</v>
      </c>
      <c r="U51" s="107"/>
      <c r="V51" s="106"/>
      <c r="W51" s="107"/>
      <c r="X51" s="106"/>
      <c r="Y51" s="288"/>
      <c r="Z51" s="245"/>
    </row>
    <row r="52" ht="22.5" hidden="1" customHeight="1">
      <c r="A52" s="60">
        <v>49.0</v>
      </c>
      <c r="B52" s="70" t="s">
        <v>226</v>
      </c>
      <c r="C52" s="301" t="s">
        <v>51</v>
      </c>
      <c r="D52" s="301"/>
      <c r="E52" s="305"/>
      <c r="F52" s="307"/>
      <c r="G52" s="1261">
        <v>45238.0</v>
      </c>
      <c r="H52" s="130" t="b">
        <v>0</v>
      </c>
      <c r="I52" s="1271">
        <v>44562.0</v>
      </c>
      <c r="J52" s="106" t="b">
        <v>0</v>
      </c>
      <c r="K52" s="1264">
        <v>44623.0</v>
      </c>
      <c r="L52" s="99" t="b">
        <v>0</v>
      </c>
      <c r="M52" s="101">
        <v>45264.0</v>
      </c>
      <c r="N52" s="106" t="b">
        <v>1</v>
      </c>
      <c r="O52" s="107">
        <v>45385.0</v>
      </c>
      <c r="P52" s="106" t="b">
        <v>0</v>
      </c>
      <c r="Q52" s="107"/>
      <c r="R52" s="106"/>
      <c r="S52" s="107"/>
      <c r="T52" s="106"/>
      <c r="U52" s="107"/>
      <c r="V52" s="106"/>
      <c r="W52" s="107"/>
      <c r="X52" s="106"/>
      <c r="Y52" s="116"/>
      <c r="Z52" s="146" t="s">
        <v>164</v>
      </c>
    </row>
    <row r="53" ht="22.5" hidden="1" customHeight="1">
      <c r="A53" s="60">
        <v>50.0</v>
      </c>
      <c r="B53" s="70" t="s">
        <v>513</v>
      </c>
      <c r="C53" s="64" t="s">
        <v>51</v>
      </c>
      <c r="D53" s="64"/>
      <c r="E53" s="70" t="s">
        <v>514</v>
      </c>
      <c r="F53" s="71" t="s">
        <v>515</v>
      </c>
      <c r="G53" s="1261">
        <v>45277.0</v>
      </c>
      <c r="H53" s="130" t="b">
        <v>0</v>
      </c>
      <c r="I53" s="1271">
        <v>45040.0</v>
      </c>
      <c r="J53" s="106" t="b">
        <v>0</v>
      </c>
      <c r="K53" s="1268">
        <v>45250.0</v>
      </c>
      <c r="L53" s="99" t="b">
        <v>0</v>
      </c>
      <c r="M53" s="171">
        <v>45404.0</v>
      </c>
      <c r="N53" s="1060" t="b">
        <v>0</v>
      </c>
      <c r="O53" s="107">
        <v>45585.0</v>
      </c>
      <c r="P53" s="106" t="b">
        <v>0</v>
      </c>
      <c r="Q53" s="107"/>
      <c r="R53" s="106"/>
      <c r="S53" s="107"/>
      <c r="T53" s="106"/>
      <c r="U53" s="107"/>
      <c r="V53" s="106"/>
      <c r="W53" s="107"/>
      <c r="X53" s="106"/>
      <c r="Y53" s="288"/>
      <c r="Z53" s="123" t="s">
        <v>178</v>
      </c>
    </row>
    <row r="54" ht="22.5" hidden="1" customHeight="1">
      <c r="A54" s="60">
        <v>51.0</v>
      </c>
      <c r="B54" s="70" t="s">
        <v>108</v>
      </c>
      <c r="C54" s="64" t="s">
        <v>51</v>
      </c>
      <c r="D54" s="64"/>
      <c r="E54" s="70"/>
      <c r="F54" s="71" t="s">
        <v>118</v>
      </c>
      <c r="G54" s="1261">
        <v>45286.0</v>
      </c>
      <c r="H54" s="130" t="b">
        <v>0</v>
      </c>
      <c r="I54" s="1261">
        <v>45154.0</v>
      </c>
      <c r="J54" s="106" t="b">
        <v>0</v>
      </c>
      <c r="K54" s="1264">
        <v>45338.0</v>
      </c>
      <c r="L54" s="99" t="b">
        <v>0</v>
      </c>
      <c r="M54" s="101">
        <v>45520.0</v>
      </c>
      <c r="N54" s="99" t="b">
        <v>0</v>
      </c>
      <c r="O54" s="107">
        <v>45698.0</v>
      </c>
      <c r="P54" s="106" t="b">
        <v>0</v>
      </c>
      <c r="Q54" s="107"/>
      <c r="R54" s="106"/>
      <c r="S54" s="107"/>
      <c r="T54" s="106"/>
      <c r="U54" s="107"/>
      <c r="V54" s="106"/>
      <c r="W54" s="107"/>
      <c r="X54" s="106"/>
      <c r="Y54" s="116"/>
      <c r="Z54" s="146" t="s">
        <v>88</v>
      </c>
    </row>
    <row r="55" ht="22.5" hidden="1" customHeight="1">
      <c r="A55" s="60">
        <v>52.0</v>
      </c>
      <c r="B55" s="70" t="s">
        <v>916</v>
      </c>
      <c r="C55" s="64" t="s">
        <v>51</v>
      </c>
      <c r="D55" s="64"/>
      <c r="E55" s="70"/>
      <c r="F55" s="71" t="s">
        <v>917</v>
      </c>
      <c r="G55" s="1261">
        <v>45222.0</v>
      </c>
      <c r="H55" s="130" t="b">
        <v>0</v>
      </c>
      <c r="I55" s="1271">
        <v>44952.0</v>
      </c>
      <c r="J55" s="106" t="b">
        <v>0</v>
      </c>
      <c r="K55" s="1268">
        <v>45117.0</v>
      </c>
      <c r="L55" s="99" t="b">
        <v>0</v>
      </c>
      <c r="M55" s="171">
        <v>45301.0</v>
      </c>
      <c r="N55" s="106" t="b">
        <v>0</v>
      </c>
      <c r="O55" s="107">
        <v>45483.0</v>
      </c>
      <c r="P55" s="106" t="b">
        <v>0</v>
      </c>
      <c r="Q55" s="107"/>
      <c r="R55" s="106"/>
      <c r="S55" s="107"/>
      <c r="T55" s="106"/>
      <c r="U55" s="107"/>
      <c r="V55" s="106"/>
      <c r="W55" s="107"/>
      <c r="X55" s="106"/>
      <c r="Y55" s="288"/>
      <c r="Z55" s="346" t="s">
        <v>290</v>
      </c>
    </row>
    <row r="56" ht="22.5" hidden="1" customHeight="1">
      <c r="A56" s="60">
        <v>53.0</v>
      </c>
      <c r="B56" s="70" t="s">
        <v>522</v>
      </c>
      <c r="C56" s="64" t="s">
        <v>51</v>
      </c>
      <c r="D56" s="64"/>
      <c r="E56" s="70" t="s">
        <v>523</v>
      </c>
      <c r="F56" s="71" t="s">
        <v>524</v>
      </c>
      <c r="G56" s="1261">
        <v>45285.0</v>
      </c>
      <c r="H56" s="130" t="b">
        <v>0</v>
      </c>
      <c r="I56" s="1271">
        <v>45153.0</v>
      </c>
      <c r="J56" s="106" t="b">
        <v>0</v>
      </c>
      <c r="K56" s="1268">
        <v>45337.0</v>
      </c>
      <c r="L56" s="99" t="b">
        <v>0</v>
      </c>
      <c r="M56" s="171">
        <v>45516.0</v>
      </c>
      <c r="N56" s="99" t="b">
        <v>0</v>
      </c>
      <c r="O56" s="107">
        <v>45699.0</v>
      </c>
      <c r="P56" s="106" t="b">
        <v>0</v>
      </c>
      <c r="Q56" s="107"/>
      <c r="R56" s="106"/>
      <c r="S56" s="107"/>
      <c r="T56" s="106"/>
      <c r="U56" s="107"/>
      <c r="V56" s="106"/>
      <c r="W56" s="107"/>
      <c r="X56" s="106"/>
      <c r="Y56" s="116"/>
      <c r="Z56" s="313"/>
    </row>
    <row r="57" ht="22.5" hidden="1" customHeight="1">
      <c r="A57" s="60">
        <v>54.0</v>
      </c>
      <c r="B57" s="70" t="s">
        <v>923</v>
      </c>
      <c r="C57" s="64" t="s">
        <v>51</v>
      </c>
      <c r="D57" s="64"/>
      <c r="E57" s="70"/>
      <c r="F57" s="71"/>
      <c r="G57" s="1261">
        <v>45327.0</v>
      </c>
      <c r="H57" s="130" t="b">
        <v>0</v>
      </c>
      <c r="I57" s="1271">
        <v>45393.0</v>
      </c>
      <c r="J57" s="106" t="b">
        <v>0</v>
      </c>
      <c r="K57" s="1268">
        <v>45576.0</v>
      </c>
      <c r="L57" s="99" t="b">
        <v>0</v>
      </c>
      <c r="M57" s="171">
        <v>45758.0</v>
      </c>
      <c r="N57" s="99" t="b">
        <v>0</v>
      </c>
      <c r="O57" s="107">
        <v>45941.0</v>
      </c>
      <c r="P57" s="164" t="b">
        <v>0</v>
      </c>
      <c r="Q57" s="107"/>
      <c r="R57" s="106"/>
      <c r="S57" s="107"/>
      <c r="T57" s="106"/>
      <c r="U57" s="107"/>
      <c r="V57" s="106"/>
      <c r="W57" s="107"/>
      <c r="X57" s="106"/>
      <c r="Y57" s="116"/>
      <c r="Z57" s="220" t="s">
        <v>241</v>
      </c>
    </row>
    <row r="58" ht="22.5" hidden="1" customHeight="1">
      <c r="A58" s="60">
        <v>55.0</v>
      </c>
      <c r="B58" s="70" t="s">
        <v>930</v>
      </c>
      <c r="C58" s="64" t="s">
        <v>51</v>
      </c>
      <c r="D58" s="64"/>
      <c r="E58" s="70"/>
      <c r="F58" s="71"/>
      <c r="G58" s="1261">
        <v>45328.0</v>
      </c>
      <c r="H58" s="130" t="b">
        <v>0</v>
      </c>
      <c r="I58" s="1271">
        <v>45393.0</v>
      </c>
      <c r="J58" s="106" t="b">
        <v>0</v>
      </c>
      <c r="K58" s="1268">
        <v>45576.0</v>
      </c>
      <c r="L58" s="99" t="b">
        <v>0</v>
      </c>
      <c r="M58" s="101">
        <v>45758.0</v>
      </c>
      <c r="N58" s="99" t="b">
        <v>0</v>
      </c>
      <c r="O58" s="107">
        <v>45941.0</v>
      </c>
      <c r="P58" s="164" t="b">
        <v>0</v>
      </c>
      <c r="Q58" s="107"/>
      <c r="R58" s="106"/>
      <c r="S58" s="107"/>
      <c r="T58" s="106"/>
      <c r="U58" s="107"/>
      <c r="V58" s="106"/>
      <c r="W58" s="107"/>
      <c r="X58" s="106"/>
      <c r="Y58" s="116"/>
      <c r="Z58" s="123" t="s">
        <v>172</v>
      </c>
    </row>
    <row r="59" ht="26.25" hidden="1" customHeight="1">
      <c r="A59" s="60">
        <v>56.0</v>
      </c>
      <c r="B59" s="70" t="s">
        <v>1105</v>
      </c>
      <c r="C59" s="265" t="s">
        <v>51</v>
      </c>
      <c r="D59" s="265"/>
      <c r="E59" s="125" t="s">
        <v>253</v>
      </c>
      <c r="F59" s="266" t="s">
        <v>255</v>
      </c>
      <c r="G59" s="1261">
        <v>45255.0</v>
      </c>
      <c r="H59" s="130" t="b">
        <v>0</v>
      </c>
      <c r="I59" s="1303">
        <v>44774.0</v>
      </c>
      <c r="J59" s="106" t="b">
        <v>0</v>
      </c>
      <c r="K59" s="1304">
        <v>44959.0</v>
      </c>
      <c r="L59" s="99" t="b">
        <v>0</v>
      </c>
      <c r="M59" s="274">
        <v>45166.0</v>
      </c>
      <c r="N59" s="164" t="b">
        <v>0</v>
      </c>
      <c r="O59" s="107">
        <v>45348.0</v>
      </c>
      <c r="P59" s="164" t="b">
        <v>0</v>
      </c>
      <c r="Q59" s="107"/>
      <c r="R59" s="106"/>
      <c r="S59" s="107"/>
      <c r="T59" s="106"/>
      <c r="U59" s="107"/>
      <c r="V59" s="164"/>
      <c r="W59" s="107"/>
      <c r="X59" s="164"/>
      <c r="Y59" s="283"/>
      <c r="Z59" s="346" t="s">
        <v>281</v>
      </c>
    </row>
    <row r="60" ht="22.5" hidden="1" customHeight="1">
      <c r="A60" s="60">
        <v>57.0</v>
      </c>
      <c r="B60" s="70" t="s">
        <v>932</v>
      </c>
      <c r="C60" s="301" t="s">
        <v>51</v>
      </c>
      <c r="D60" s="64"/>
      <c r="E60" s="70" t="s">
        <v>263</v>
      </c>
      <c r="F60" s="71" t="s">
        <v>264</v>
      </c>
      <c r="G60" s="1261">
        <v>45248.0</v>
      </c>
      <c r="H60" s="130" t="b">
        <v>0</v>
      </c>
      <c r="I60" s="1261">
        <v>44562.0</v>
      </c>
      <c r="J60" s="106" t="b">
        <v>0</v>
      </c>
      <c r="K60" s="1264">
        <v>44562.0</v>
      </c>
      <c r="L60" s="99" t="b">
        <v>0</v>
      </c>
      <c r="M60" s="101">
        <v>45254.0</v>
      </c>
      <c r="N60" s="98" t="b">
        <v>1</v>
      </c>
      <c r="O60" s="107">
        <v>45362.0</v>
      </c>
      <c r="P60" s="106" t="b">
        <v>0</v>
      </c>
      <c r="Q60" s="107"/>
      <c r="R60" s="106"/>
      <c r="S60" s="107"/>
      <c r="T60" s="106"/>
      <c r="U60" s="107"/>
      <c r="V60" s="106"/>
      <c r="W60" s="107"/>
      <c r="X60" s="106"/>
      <c r="Y60" s="116"/>
      <c r="Z60" s="118"/>
    </row>
    <row r="61" ht="22.5" hidden="1" customHeight="1">
      <c r="A61" s="60">
        <v>58.0</v>
      </c>
      <c r="B61" s="305" t="s">
        <v>938</v>
      </c>
      <c r="C61" s="64" t="s">
        <v>51</v>
      </c>
      <c r="D61" s="64"/>
      <c r="E61" s="548" t="s">
        <v>526</v>
      </c>
      <c r="F61" s="71" t="s">
        <v>527</v>
      </c>
      <c r="G61" s="1261">
        <v>45259.0</v>
      </c>
      <c r="H61" s="130" t="b">
        <v>0</v>
      </c>
      <c r="I61" s="1271">
        <v>44873.0</v>
      </c>
      <c r="J61" s="106" t="b">
        <v>0</v>
      </c>
      <c r="K61" s="1268">
        <v>44973.0</v>
      </c>
      <c r="L61" s="99" t="b">
        <v>0</v>
      </c>
      <c r="M61" s="171">
        <v>45338.0</v>
      </c>
      <c r="N61" s="99" t="b">
        <v>0</v>
      </c>
      <c r="O61" s="107">
        <v>45881.0</v>
      </c>
      <c r="P61" s="106" t="b">
        <v>0</v>
      </c>
      <c r="Q61" s="107">
        <v>45701.0</v>
      </c>
      <c r="R61" s="106" t="b">
        <v>0</v>
      </c>
      <c r="S61" s="107">
        <v>45702.0</v>
      </c>
      <c r="T61" s="106" t="b">
        <v>0</v>
      </c>
      <c r="U61" s="107"/>
      <c r="V61" s="106"/>
      <c r="W61" s="107"/>
      <c r="X61" s="106"/>
      <c r="Y61" s="116" t="s">
        <v>58</v>
      </c>
      <c r="Z61" s="353" t="s">
        <v>302</v>
      </c>
    </row>
    <row r="62" ht="22.5" hidden="1" customHeight="1">
      <c r="A62" s="60">
        <v>59.0</v>
      </c>
      <c r="B62" s="70" t="s">
        <v>943</v>
      </c>
      <c r="C62" s="64" t="s">
        <v>51</v>
      </c>
      <c r="D62" s="64"/>
      <c r="E62" s="70" t="s">
        <v>649</v>
      </c>
      <c r="F62" s="71" t="s">
        <v>650</v>
      </c>
      <c r="G62" s="1261">
        <v>45257.0</v>
      </c>
      <c r="H62" s="130" t="b">
        <v>0</v>
      </c>
      <c r="I62" s="1261">
        <v>44833.0</v>
      </c>
      <c r="J62" s="106" t="b">
        <v>0</v>
      </c>
      <c r="K62" s="1264">
        <v>45014.0</v>
      </c>
      <c r="L62" s="99" t="b">
        <v>0</v>
      </c>
      <c r="M62" s="101">
        <v>45259.0</v>
      </c>
      <c r="N62" s="106" t="b">
        <v>0</v>
      </c>
      <c r="O62" s="107">
        <v>45421.0</v>
      </c>
      <c r="P62" s="164" t="b">
        <v>0</v>
      </c>
      <c r="Q62" s="107">
        <v>45604.0</v>
      </c>
      <c r="R62" s="106" t="b">
        <v>0</v>
      </c>
      <c r="S62" s="107">
        <v>45786.0</v>
      </c>
      <c r="T62" s="164" t="b">
        <v>0</v>
      </c>
      <c r="U62" s="107"/>
      <c r="V62" s="106"/>
      <c r="W62" s="107"/>
      <c r="X62" s="106"/>
      <c r="Y62" s="288"/>
      <c r="Z62" s="146"/>
    </row>
    <row r="63" ht="22.5" hidden="1" customHeight="1">
      <c r="A63" s="60">
        <v>60.0</v>
      </c>
      <c r="B63" s="70" t="s">
        <v>1108</v>
      </c>
      <c r="C63" s="64" t="s">
        <v>51</v>
      </c>
      <c r="D63" s="64"/>
      <c r="E63" s="70"/>
      <c r="F63" s="71"/>
      <c r="G63" s="1261">
        <v>45292.0</v>
      </c>
      <c r="H63" s="130" t="b">
        <v>0</v>
      </c>
      <c r="I63" s="1271">
        <v>45226.0</v>
      </c>
      <c r="J63" s="106" t="b">
        <v>0</v>
      </c>
      <c r="K63" s="1268">
        <v>45400.0</v>
      </c>
      <c r="L63" s="99" t="b">
        <v>0</v>
      </c>
      <c r="M63" s="171">
        <v>45583.0</v>
      </c>
      <c r="N63" s="99" t="b">
        <v>0</v>
      </c>
      <c r="O63" s="107">
        <v>45765.0</v>
      </c>
      <c r="P63" s="106" t="b">
        <v>0</v>
      </c>
      <c r="Q63" s="107"/>
      <c r="R63" s="106"/>
      <c r="S63" s="107"/>
      <c r="T63" s="106"/>
      <c r="U63" s="107"/>
      <c r="V63" s="106"/>
      <c r="W63" s="107"/>
      <c r="X63" s="106"/>
      <c r="Y63" s="116"/>
      <c r="Z63" s="146" t="s">
        <v>347</v>
      </c>
    </row>
    <row r="64" ht="22.5" hidden="1" customHeight="1">
      <c r="A64" s="60">
        <v>61.0</v>
      </c>
      <c r="B64" s="63" t="s">
        <v>1111</v>
      </c>
      <c r="C64" s="337" t="s">
        <v>51</v>
      </c>
      <c r="D64" s="556"/>
      <c r="E64" s="63" t="s">
        <v>140</v>
      </c>
      <c r="F64" s="340" t="s">
        <v>141</v>
      </c>
      <c r="G64" s="1261">
        <v>45261.0</v>
      </c>
      <c r="H64" s="130" t="b">
        <v>0</v>
      </c>
      <c r="I64" s="1336">
        <v>44881.0</v>
      </c>
      <c r="J64" s="106" t="b">
        <v>0</v>
      </c>
      <c r="K64" s="1268">
        <v>45037.0</v>
      </c>
      <c r="L64" s="99" t="b">
        <v>0</v>
      </c>
      <c r="M64" s="101">
        <v>45272.0</v>
      </c>
      <c r="N64" s="106" t="b">
        <v>1</v>
      </c>
      <c r="O64" s="857">
        <v>45392.0</v>
      </c>
      <c r="P64" s="106" t="b">
        <v>0</v>
      </c>
      <c r="Q64" s="107"/>
      <c r="R64" s="106"/>
      <c r="S64" s="107"/>
      <c r="T64" s="106"/>
      <c r="U64" s="107"/>
      <c r="V64" s="106"/>
      <c r="W64" s="107"/>
      <c r="X64" s="106"/>
      <c r="Y64" s="116"/>
      <c r="Z64" s="146" t="s">
        <v>363</v>
      </c>
    </row>
    <row r="65" ht="22.5" hidden="1" customHeight="1">
      <c r="A65" s="60">
        <v>62.0</v>
      </c>
      <c r="B65" s="70" t="s">
        <v>944</v>
      </c>
      <c r="C65" s="301" t="s">
        <v>51</v>
      </c>
      <c r="D65" s="301"/>
      <c r="E65" s="305"/>
      <c r="F65" s="71" t="s">
        <v>876</v>
      </c>
      <c r="G65" s="1261">
        <v>45263.0</v>
      </c>
      <c r="H65" s="130" t="b">
        <v>0</v>
      </c>
      <c r="I65" s="1271">
        <v>44883.0</v>
      </c>
      <c r="J65" s="106" t="b">
        <v>0</v>
      </c>
      <c r="K65" s="1268">
        <v>44655.0</v>
      </c>
      <c r="L65" s="99" t="b">
        <v>0</v>
      </c>
      <c r="M65" s="171">
        <v>45295.0</v>
      </c>
      <c r="N65" s="106" t="b">
        <v>1</v>
      </c>
      <c r="O65" s="107">
        <v>45447.0</v>
      </c>
      <c r="P65" s="106" t="b">
        <v>0</v>
      </c>
      <c r="Q65" s="107">
        <v>45630.0</v>
      </c>
      <c r="R65" s="106" t="b">
        <v>0</v>
      </c>
      <c r="S65" s="107">
        <v>45812.0</v>
      </c>
      <c r="T65" s="106" t="b">
        <v>0</v>
      </c>
      <c r="U65" s="107"/>
      <c r="V65" s="106"/>
      <c r="W65" s="107"/>
      <c r="X65" s="106"/>
      <c r="Y65" s="116"/>
      <c r="Z65" s="146" t="s">
        <v>261</v>
      </c>
    </row>
    <row r="66" ht="22.5" hidden="1" customHeight="1">
      <c r="A66" s="60">
        <v>63.0</v>
      </c>
      <c r="B66" s="965" t="s">
        <v>534</v>
      </c>
      <c r="C66" s="556" t="s">
        <v>55</v>
      </c>
      <c r="D66" s="556"/>
      <c r="E66" s="63" t="s">
        <v>281</v>
      </c>
      <c r="F66" s="557"/>
      <c r="G66" s="1261">
        <v>45239.0</v>
      </c>
      <c r="H66" s="130" t="b">
        <v>0</v>
      </c>
      <c r="I66" s="1337">
        <v>44784.0</v>
      </c>
      <c r="J66" s="106" t="b">
        <v>0</v>
      </c>
      <c r="K66" s="1268">
        <v>45048.0</v>
      </c>
      <c r="L66" s="99" t="b">
        <v>0</v>
      </c>
      <c r="M66" s="171"/>
      <c r="N66" s="106"/>
      <c r="O66" s="107"/>
      <c r="P66" s="106"/>
      <c r="Q66" s="107"/>
      <c r="R66" s="106"/>
      <c r="S66" s="107"/>
      <c r="T66" s="106"/>
      <c r="U66" s="107"/>
      <c r="V66" s="106"/>
      <c r="W66" s="107"/>
      <c r="X66" s="106"/>
      <c r="Y66" s="116" t="s">
        <v>58</v>
      </c>
      <c r="Z66" s="353" t="s">
        <v>317</v>
      </c>
    </row>
    <row r="67" ht="22.5" hidden="1" customHeight="1">
      <c r="A67" s="60">
        <v>64.0</v>
      </c>
      <c r="B67" s="305" t="s">
        <v>537</v>
      </c>
      <c r="C67" s="301" t="s">
        <v>51</v>
      </c>
      <c r="D67" s="301"/>
      <c r="E67" s="305"/>
      <c r="F67" s="71" t="s">
        <v>538</v>
      </c>
      <c r="G67" s="1261">
        <v>45260.0</v>
      </c>
      <c r="H67" s="130" t="b">
        <v>0</v>
      </c>
      <c r="I67" s="1261">
        <v>44880.0</v>
      </c>
      <c r="J67" s="106" t="b">
        <v>0</v>
      </c>
      <c r="K67" s="1264">
        <v>45017.0</v>
      </c>
      <c r="L67" s="99" t="b">
        <v>0</v>
      </c>
      <c r="M67" s="101">
        <v>45253.0</v>
      </c>
      <c r="N67" s="106" t="b">
        <v>1</v>
      </c>
      <c r="O67" s="101">
        <v>45435.0</v>
      </c>
      <c r="P67" s="106" t="b">
        <v>0</v>
      </c>
      <c r="Q67" s="107"/>
      <c r="R67" s="106"/>
      <c r="S67" s="107"/>
      <c r="T67" s="106"/>
      <c r="U67" s="101"/>
      <c r="V67" s="106"/>
      <c r="W67" s="101"/>
      <c r="X67" s="106"/>
      <c r="Y67" s="427" t="s">
        <v>792</v>
      </c>
      <c r="Z67" s="146" t="s">
        <v>372</v>
      </c>
    </row>
    <row r="68" ht="22.5" hidden="1" customHeight="1">
      <c r="A68" s="60">
        <v>65.0</v>
      </c>
      <c r="B68" s="70" t="s">
        <v>952</v>
      </c>
      <c r="C68" s="64" t="s">
        <v>51</v>
      </c>
      <c r="D68" s="64"/>
      <c r="E68" s="70" t="s">
        <v>899</v>
      </c>
      <c r="F68" s="71">
        <v>8.3650888E8</v>
      </c>
      <c r="G68" s="1261">
        <v>45256.0</v>
      </c>
      <c r="H68" s="130" t="b">
        <v>0</v>
      </c>
      <c r="I68" s="1271">
        <v>44832.0</v>
      </c>
      <c r="J68" s="106" t="b">
        <v>0</v>
      </c>
      <c r="K68" s="1268">
        <v>45014.0</v>
      </c>
      <c r="L68" s="99" t="b">
        <v>0</v>
      </c>
      <c r="M68" s="171">
        <v>45259.0</v>
      </c>
      <c r="N68" s="106" t="b">
        <v>0</v>
      </c>
      <c r="O68" s="107">
        <v>45421.0</v>
      </c>
      <c r="P68" s="164" t="b">
        <v>0</v>
      </c>
      <c r="Q68" s="107">
        <v>45604.0</v>
      </c>
      <c r="R68" s="106" t="b">
        <v>0</v>
      </c>
      <c r="S68" s="107">
        <v>45786.0</v>
      </c>
      <c r="T68" s="164" t="b">
        <v>0</v>
      </c>
      <c r="U68" s="107"/>
      <c r="V68" s="106"/>
      <c r="W68" s="107"/>
      <c r="X68" s="106"/>
      <c r="Y68" s="288"/>
      <c r="Z68" s="353" t="s">
        <v>325</v>
      </c>
    </row>
    <row r="69" ht="22.5" hidden="1" customHeight="1">
      <c r="A69" s="60">
        <v>66.0</v>
      </c>
      <c r="B69" s="965" t="s">
        <v>541</v>
      </c>
      <c r="C69" s="228" t="s">
        <v>786</v>
      </c>
      <c r="D69" s="568"/>
      <c r="E69" s="569"/>
      <c r="F69" s="233" t="s">
        <v>761</v>
      </c>
      <c r="G69" s="1261">
        <v>45244.0</v>
      </c>
      <c r="H69" s="130" t="b">
        <v>0</v>
      </c>
      <c r="I69" s="1339">
        <v>44904.0</v>
      </c>
      <c r="J69" s="106" t="b">
        <v>0</v>
      </c>
      <c r="K69" s="1340">
        <v>45087.0</v>
      </c>
      <c r="L69" s="99" t="b">
        <v>0</v>
      </c>
      <c r="M69" s="101">
        <v>45315.0</v>
      </c>
      <c r="N69" s="106" t="b">
        <v>0</v>
      </c>
      <c r="O69" s="101">
        <v>45468.0</v>
      </c>
      <c r="P69" s="106" t="b">
        <v>0</v>
      </c>
      <c r="Q69" s="101">
        <v>45684.0</v>
      </c>
      <c r="R69" s="106" t="b">
        <v>0</v>
      </c>
      <c r="S69" s="101">
        <v>45831.0</v>
      </c>
      <c r="T69" s="106" t="b">
        <v>0</v>
      </c>
      <c r="U69" s="242"/>
      <c r="V69" s="237"/>
      <c r="W69" s="242"/>
      <c r="X69" s="237"/>
      <c r="Y69" s="578"/>
      <c r="Z69" s="146" t="s">
        <v>385</v>
      </c>
    </row>
    <row r="70" ht="22.5" hidden="1" customHeight="1">
      <c r="A70" s="60">
        <v>67.0</v>
      </c>
      <c r="B70" s="63" t="s">
        <v>544</v>
      </c>
      <c r="C70" s="64" t="s">
        <v>51</v>
      </c>
      <c r="D70" s="64"/>
      <c r="E70" s="70" t="s">
        <v>968</v>
      </c>
      <c r="F70" s="71">
        <v>6.17901261E8</v>
      </c>
      <c r="G70" s="1261">
        <v>45289.0</v>
      </c>
      <c r="H70" s="130" t="b">
        <v>0</v>
      </c>
      <c r="I70" s="1261">
        <v>45216.0</v>
      </c>
      <c r="J70" s="106" t="b">
        <v>0</v>
      </c>
      <c r="K70" s="1264">
        <v>45399.0</v>
      </c>
      <c r="L70" s="99" t="b">
        <v>0</v>
      </c>
      <c r="M70" s="101">
        <v>45582.0</v>
      </c>
      <c r="N70" s="98" t="b">
        <v>0</v>
      </c>
      <c r="O70" s="107">
        <v>45764.0</v>
      </c>
      <c r="P70" s="106" t="b">
        <v>0</v>
      </c>
      <c r="Q70" s="107"/>
      <c r="R70" s="106"/>
      <c r="S70" s="107"/>
      <c r="T70" s="106"/>
      <c r="U70" s="107"/>
      <c r="V70" s="106"/>
      <c r="W70" s="107"/>
      <c r="X70" s="106"/>
      <c r="Y70" s="116"/>
      <c r="Z70" s="131"/>
    </row>
    <row r="71" ht="22.5" hidden="1" customHeight="1">
      <c r="A71" s="60">
        <v>68.0</v>
      </c>
      <c r="B71" s="70" t="s">
        <v>569</v>
      </c>
      <c r="C71" s="64" t="s">
        <v>51</v>
      </c>
      <c r="D71" s="64"/>
      <c r="E71" s="70" t="s">
        <v>756</v>
      </c>
      <c r="F71" s="71" t="s">
        <v>758</v>
      </c>
      <c r="G71" s="1261">
        <v>45296.0</v>
      </c>
      <c r="H71" s="130" t="b">
        <v>0</v>
      </c>
      <c r="I71" s="1261">
        <v>45227.0</v>
      </c>
      <c r="J71" s="106" t="b">
        <v>0</v>
      </c>
      <c r="K71" s="1264">
        <v>45401.0</v>
      </c>
      <c r="L71" s="99" t="b">
        <v>0</v>
      </c>
      <c r="M71" s="101">
        <v>45584.0</v>
      </c>
      <c r="N71" s="99" t="b">
        <v>0</v>
      </c>
      <c r="O71" s="107">
        <v>45766.0</v>
      </c>
      <c r="P71" s="106" t="b">
        <v>0</v>
      </c>
      <c r="Q71" s="107"/>
      <c r="R71" s="106"/>
      <c r="S71" s="107"/>
      <c r="T71" s="106"/>
      <c r="U71" s="107"/>
      <c r="V71" s="106"/>
      <c r="W71" s="107"/>
      <c r="X71" s="106"/>
      <c r="Y71" s="116"/>
      <c r="Z71" s="146" t="s">
        <v>398</v>
      </c>
    </row>
    <row r="72" ht="22.5" hidden="1" customHeight="1">
      <c r="A72" s="60">
        <v>69.0</v>
      </c>
      <c r="B72" s="70" t="s">
        <v>973</v>
      </c>
      <c r="C72" s="64" t="s">
        <v>51</v>
      </c>
      <c r="D72" s="64"/>
      <c r="E72" s="70"/>
      <c r="F72" s="71"/>
      <c r="G72" s="1261">
        <v>45319.0</v>
      </c>
      <c r="H72" s="130" t="b">
        <v>0</v>
      </c>
      <c r="I72" s="1261">
        <v>45385.0</v>
      </c>
      <c r="J72" s="106" t="b">
        <v>0</v>
      </c>
      <c r="K72" s="1264">
        <v>45568.0</v>
      </c>
      <c r="L72" s="99" t="b">
        <v>0</v>
      </c>
      <c r="M72" s="101">
        <v>45750.0</v>
      </c>
      <c r="N72" s="99" t="b">
        <v>0</v>
      </c>
      <c r="O72" s="107">
        <v>45933.0</v>
      </c>
      <c r="P72" s="164" t="b">
        <v>0</v>
      </c>
      <c r="Q72" s="107"/>
      <c r="R72" s="106"/>
      <c r="S72" s="107"/>
      <c r="T72" s="106"/>
      <c r="U72" s="107"/>
      <c r="V72" s="106"/>
      <c r="W72" s="107"/>
      <c r="X72" s="106"/>
      <c r="Y72" s="116"/>
      <c r="Z72" s="146" t="s">
        <v>400</v>
      </c>
    </row>
    <row r="73" ht="22.5" hidden="1" customHeight="1">
      <c r="A73" s="60">
        <v>70.0</v>
      </c>
      <c r="B73" s="703" t="s">
        <v>547</v>
      </c>
      <c r="C73" s="64" t="s">
        <v>51</v>
      </c>
      <c r="D73" s="1140"/>
      <c r="E73" s="581" t="s">
        <v>548</v>
      </c>
      <c r="F73" s="71" t="s">
        <v>549</v>
      </c>
      <c r="G73" s="1261">
        <v>45236.0</v>
      </c>
      <c r="H73" s="130" t="b">
        <v>0</v>
      </c>
      <c r="I73" s="1261">
        <v>44562.0</v>
      </c>
      <c r="J73" s="106" t="b">
        <v>0</v>
      </c>
      <c r="K73" s="1264">
        <v>44562.0</v>
      </c>
      <c r="L73" s="99" t="b">
        <v>0</v>
      </c>
      <c r="M73" s="101">
        <v>45017.0</v>
      </c>
      <c r="N73" s="106" t="b">
        <v>1</v>
      </c>
      <c r="O73" s="107">
        <v>45216.0</v>
      </c>
      <c r="P73" s="106" t="b">
        <v>1</v>
      </c>
      <c r="Q73" s="107">
        <v>45384.0</v>
      </c>
      <c r="R73" s="106" t="b">
        <v>0</v>
      </c>
      <c r="S73" s="107">
        <v>45567.0</v>
      </c>
      <c r="T73" s="106" t="b">
        <v>0</v>
      </c>
      <c r="U73" s="107"/>
      <c r="V73" s="106"/>
      <c r="W73" s="107"/>
      <c r="X73" s="106"/>
      <c r="Y73" s="116"/>
      <c r="Z73" s="131"/>
    </row>
    <row r="74" ht="22.5" hidden="1" customHeight="1">
      <c r="A74" s="60">
        <v>71.0</v>
      </c>
      <c r="B74" s="70" t="s">
        <v>596</v>
      </c>
      <c r="C74" s="64" t="s">
        <v>51</v>
      </c>
      <c r="D74" s="64"/>
      <c r="E74" s="70" t="s">
        <v>784</v>
      </c>
      <c r="F74" s="71" t="s">
        <v>785</v>
      </c>
      <c r="G74" s="1261">
        <v>45325.0</v>
      </c>
      <c r="H74" s="130" t="b">
        <v>0</v>
      </c>
      <c r="I74" s="1261">
        <v>45393.0</v>
      </c>
      <c r="J74" s="106" t="b">
        <v>0</v>
      </c>
      <c r="K74" s="1264">
        <v>45576.0</v>
      </c>
      <c r="L74" s="99" t="b">
        <v>0</v>
      </c>
      <c r="M74" s="101">
        <v>45758.0</v>
      </c>
      <c r="N74" s="130" t="b">
        <v>0</v>
      </c>
      <c r="O74" s="107">
        <v>45941.0</v>
      </c>
      <c r="P74" s="164" t="b">
        <v>0</v>
      </c>
      <c r="Q74" s="107"/>
      <c r="R74" s="106"/>
      <c r="S74" s="107"/>
      <c r="T74" s="106"/>
      <c r="U74" s="107"/>
      <c r="V74" s="106"/>
      <c r="W74" s="107"/>
      <c r="X74" s="106"/>
      <c r="Y74" s="116"/>
      <c r="Z74" s="118"/>
    </row>
    <row r="75" ht="22.5" hidden="1" customHeight="1">
      <c r="A75" s="60">
        <v>72.0</v>
      </c>
      <c r="B75" s="70" t="s">
        <v>552</v>
      </c>
      <c r="C75" s="64" t="s">
        <v>51</v>
      </c>
      <c r="D75" s="64"/>
      <c r="E75" s="70"/>
      <c r="F75" s="71"/>
      <c r="G75" s="1261">
        <v>45300.0</v>
      </c>
      <c r="H75" s="130" t="b">
        <v>0</v>
      </c>
      <c r="I75" s="1261">
        <v>45279.0</v>
      </c>
      <c r="J75" s="106" t="b">
        <v>0</v>
      </c>
      <c r="K75" s="1264">
        <v>45462.0</v>
      </c>
      <c r="L75" s="99" t="b">
        <v>0</v>
      </c>
      <c r="M75" s="101">
        <v>45645.0</v>
      </c>
      <c r="N75" s="130" t="b">
        <v>0</v>
      </c>
      <c r="O75" s="107">
        <v>45827.0</v>
      </c>
      <c r="P75" s="106" t="b">
        <v>0</v>
      </c>
      <c r="Q75" s="107"/>
      <c r="R75" s="106"/>
      <c r="S75" s="107"/>
      <c r="T75" s="106"/>
      <c r="U75" s="107"/>
      <c r="V75" s="106"/>
      <c r="W75" s="107"/>
      <c r="X75" s="106"/>
      <c r="Y75" s="116"/>
      <c r="Z75" s="118"/>
    </row>
    <row r="76" ht="22.5" hidden="1" customHeight="1">
      <c r="A76" s="60">
        <v>73.0</v>
      </c>
      <c r="B76" s="70" t="s">
        <v>990</v>
      </c>
      <c r="C76" s="64" t="s">
        <v>51</v>
      </c>
      <c r="D76" s="64"/>
      <c r="E76" s="70"/>
      <c r="F76" s="71"/>
      <c r="G76" s="1261">
        <v>45322.0</v>
      </c>
      <c r="H76" s="130" t="b">
        <v>0</v>
      </c>
      <c r="I76" s="1261">
        <v>45393.0</v>
      </c>
      <c r="J76" s="106" t="b">
        <v>0</v>
      </c>
      <c r="K76" s="1264">
        <v>45576.0</v>
      </c>
      <c r="L76" s="99" t="b">
        <v>0</v>
      </c>
      <c r="M76" s="101">
        <v>45758.0</v>
      </c>
      <c r="N76" s="130" t="b">
        <v>0</v>
      </c>
      <c r="O76" s="107">
        <v>45941.0</v>
      </c>
      <c r="P76" s="164" t="b">
        <v>0</v>
      </c>
      <c r="Q76" s="107"/>
      <c r="R76" s="106"/>
      <c r="S76" s="107"/>
      <c r="T76" s="106"/>
      <c r="U76" s="107"/>
      <c r="V76" s="106"/>
      <c r="W76" s="107"/>
      <c r="X76" s="106"/>
      <c r="Y76" s="116"/>
      <c r="Z76" s="118"/>
    </row>
    <row r="77" ht="22.5" hidden="1" customHeight="1">
      <c r="A77" s="60">
        <v>74.0</v>
      </c>
      <c r="B77" s="70" t="s">
        <v>554</v>
      </c>
      <c r="C77" s="64" t="s">
        <v>51</v>
      </c>
      <c r="D77" s="64"/>
      <c r="E77" s="70"/>
      <c r="F77" s="71" t="s">
        <v>795</v>
      </c>
      <c r="G77" s="1261">
        <v>45290.0</v>
      </c>
      <c r="H77" s="130" t="b">
        <v>0</v>
      </c>
      <c r="I77" s="1261">
        <v>45219.0</v>
      </c>
      <c r="J77" s="106" t="b">
        <v>0</v>
      </c>
      <c r="K77" s="1264">
        <v>45401.0</v>
      </c>
      <c r="L77" s="99" t="b">
        <v>0</v>
      </c>
      <c r="M77" s="101">
        <v>45584.0</v>
      </c>
      <c r="N77" s="532" t="b">
        <v>0</v>
      </c>
      <c r="O77" s="107">
        <v>45766.0</v>
      </c>
      <c r="P77" s="106" t="b">
        <v>0</v>
      </c>
      <c r="Q77" s="107"/>
      <c r="R77" s="106"/>
      <c r="S77" s="107"/>
      <c r="T77" s="106"/>
      <c r="U77" s="107"/>
      <c r="V77" s="106"/>
      <c r="W77" s="107"/>
      <c r="X77" s="106"/>
      <c r="Y77" s="288"/>
      <c r="Z77" s="118"/>
    </row>
    <row r="78" ht="22.5" hidden="1" customHeight="1">
      <c r="A78" s="60">
        <v>75.0</v>
      </c>
      <c r="B78" s="1259" t="s">
        <v>609</v>
      </c>
      <c r="C78" s="64" t="s">
        <v>786</v>
      </c>
      <c r="D78" s="64"/>
      <c r="E78" s="70" t="s">
        <v>293</v>
      </c>
      <c r="F78" s="71"/>
      <c r="G78" s="1261">
        <v>45246.0</v>
      </c>
      <c r="H78" s="130" t="b">
        <v>0</v>
      </c>
      <c r="I78" s="1261">
        <v>45007.0</v>
      </c>
      <c r="J78" s="106" t="b">
        <v>0</v>
      </c>
      <c r="K78" s="1264">
        <v>45295.0</v>
      </c>
      <c r="L78" s="99" t="b">
        <v>0</v>
      </c>
      <c r="M78" s="101">
        <v>45447.0</v>
      </c>
      <c r="N78" s="98" t="b">
        <v>0</v>
      </c>
      <c r="O78" s="101">
        <v>45630.0</v>
      </c>
      <c r="P78" s="106" t="b">
        <v>0</v>
      </c>
      <c r="Q78" s="101">
        <v>45812.0</v>
      </c>
      <c r="R78" s="106" t="b">
        <v>0</v>
      </c>
      <c r="S78" s="101">
        <v>45995.0</v>
      </c>
      <c r="T78" s="106" t="b">
        <v>0</v>
      </c>
      <c r="U78" s="107"/>
      <c r="V78" s="106"/>
      <c r="W78" s="107"/>
      <c r="X78" s="106"/>
      <c r="Y78" s="288"/>
      <c r="Z78" s="118"/>
    </row>
    <row r="79" ht="22.5" hidden="1" customHeight="1">
      <c r="A79" s="60">
        <v>76.0</v>
      </c>
      <c r="B79" s="70" t="s">
        <v>561</v>
      </c>
      <c r="C79" s="64" t="s">
        <v>51</v>
      </c>
      <c r="D79" s="64"/>
      <c r="E79" s="70"/>
      <c r="F79" s="71" t="s">
        <v>562</v>
      </c>
      <c r="G79" s="1261">
        <v>45223.0</v>
      </c>
      <c r="H79" s="130" t="b">
        <v>0</v>
      </c>
      <c r="I79" s="1261">
        <v>44927.0</v>
      </c>
      <c r="J79" s="106" t="b">
        <v>0</v>
      </c>
      <c r="K79" s="1264">
        <v>45085.0</v>
      </c>
      <c r="L79" s="99" t="b">
        <v>0</v>
      </c>
      <c r="M79" s="101">
        <v>45266.0</v>
      </c>
      <c r="N79" s="106" t="b">
        <v>0</v>
      </c>
      <c r="O79" s="107">
        <v>45449.0</v>
      </c>
      <c r="P79" s="106" t="b">
        <v>0</v>
      </c>
      <c r="Q79" s="107"/>
      <c r="R79" s="106"/>
      <c r="S79" s="107"/>
      <c r="T79" s="106"/>
      <c r="U79" s="107"/>
      <c r="V79" s="106"/>
      <c r="W79" s="107"/>
      <c r="X79" s="106"/>
      <c r="Y79" s="116"/>
      <c r="Z79" s="146" t="s">
        <v>325</v>
      </c>
    </row>
    <row r="80" ht="22.5" hidden="1" customHeight="1">
      <c r="A80" s="60">
        <v>77.0</v>
      </c>
      <c r="B80" s="965" t="s">
        <v>567</v>
      </c>
      <c r="C80" s="64" t="s">
        <v>786</v>
      </c>
      <c r="D80" s="64"/>
      <c r="E80" s="70" t="s">
        <v>829</v>
      </c>
      <c r="F80" s="307"/>
      <c r="G80" s="1261">
        <v>45245.0</v>
      </c>
      <c r="H80" s="130" t="b">
        <v>0</v>
      </c>
      <c r="I80" s="1261">
        <v>44880.0</v>
      </c>
      <c r="J80" s="106" t="b">
        <v>0</v>
      </c>
      <c r="K80" s="1264">
        <v>45216.0</v>
      </c>
      <c r="L80" s="99" t="b">
        <v>0</v>
      </c>
      <c r="M80" s="101">
        <v>45399.0</v>
      </c>
      <c r="N80" s="98" t="b">
        <v>0</v>
      </c>
      <c r="O80" s="101">
        <v>45582.0</v>
      </c>
      <c r="P80" s="106" t="b">
        <v>0</v>
      </c>
      <c r="Q80" s="101">
        <v>45764.0</v>
      </c>
      <c r="R80" s="106" t="b">
        <v>0</v>
      </c>
      <c r="S80" s="101">
        <v>45947.0</v>
      </c>
      <c r="T80" s="106" t="b">
        <v>0</v>
      </c>
      <c r="U80" s="107"/>
      <c r="V80" s="106"/>
      <c r="W80" s="107"/>
      <c r="X80" s="106"/>
      <c r="Y80" s="288"/>
      <c r="Z80" s="118"/>
    </row>
    <row r="81" ht="22.5" hidden="1" customHeight="1">
      <c r="A81" s="60">
        <v>78.0</v>
      </c>
      <c r="B81" s="70" t="s">
        <v>632</v>
      </c>
      <c r="C81" s="64" t="s">
        <v>51</v>
      </c>
      <c r="D81" s="64"/>
      <c r="E81" s="70" t="s">
        <v>835</v>
      </c>
      <c r="F81" s="71" t="s">
        <v>836</v>
      </c>
      <c r="G81" s="1261">
        <v>45279.0</v>
      </c>
      <c r="H81" s="130" t="b">
        <v>0</v>
      </c>
      <c r="I81" s="1261">
        <v>45069.0</v>
      </c>
      <c r="J81" s="106" t="b">
        <v>0</v>
      </c>
      <c r="K81" s="1264">
        <v>45244.0</v>
      </c>
      <c r="L81" s="99" t="b">
        <v>0</v>
      </c>
      <c r="M81" s="101">
        <v>45415.0</v>
      </c>
      <c r="N81" s="130" t="b">
        <v>0</v>
      </c>
      <c r="O81" s="107">
        <v>45600.0</v>
      </c>
      <c r="P81" s="106" t="b">
        <v>0</v>
      </c>
      <c r="Q81" s="107"/>
      <c r="R81" s="106"/>
      <c r="S81" s="107"/>
      <c r="T81" s="106"/>
      <c r="U81" s="107"/>
      <c r="V81" s="106"/>
      <c r="W81" s="107"/>
      <c r="X81" s="106"/>
      <c r="Y81" s="116" t="s">
        <v>636</v>
      </c>
      <c r="Z81" s="118"/>
    </row>
    <row r="82" ht="22.5" hidden="1" customHeight="1">
      <c r="A82" s="60">
        <v>79.0</v>
      </c>
      <c r="B82" s="70" t="s">
        <v>839</v>
      </c>
      <c r="C82" s="301" t="s">
        <v>51</v>
      </c>
      <c r="D82" s="301"/>
      <c r="E82" s="305"/>
      <c r="F82" s="71" t="s">
        <v>320</v>
      </c>
      <c r="G82" s="1261">
        <v>45249.0</v>
      </c>
      <c r="H82" s="130" t="b">
        <v>0</v>
      </c>
      <c r="I82" s="1261">
        <v>44562.0</v>
      </c>
      <c r="J82" s="106" t="b">
        <v>0</v>
      </c>
      <c r="K82" s="1264">
        <v>44562.0</v>
      </c>
      <c r="L82" s="99" t="b">
        <v>0</v>
      </c>
      <c r="M82" s="101">
        <v>45037.0</v>
      </c>
      <c r="N82" s="98" t="b">
        <v>1</v>
      </c>
      <c r="O82" s="107">
        <v>45266.0</v>
      </c>
      <c r="P82" s="106" t="b">
        <v>1</v>
      </c>
      <c r="Q82" s="107">
        <v>45449.0</v>
      </c>
      <c r="R82" s="106" t="b">
        <v>0</v>
      </c>
      <c r="S82" s="107">
        <v>45632.0</v>
      </c>
      <c r="T82" s="106" t="b">
        <v>0</v>
      </c>
      <c r="U82" s="107"/>
      <c r="V82" s="106"/>
      <c r="W82" s="107"/>
      <c r="X82" s="106"/>
      <c r="Y82" s="288"/>
      <c r="Z82" s="118"/>
    </row>
    <row r="83" ht="22.5" hidden="1" customHeight="1">
      <c r="A83" s="60">
        <v>80.0</v>
      </c>
      <c r="B83" s="70" t="s">
        <v>568</v>
      </c>
      <c r="C83" s="64" t="s">
        <v>51</v>
      </c>
      <c r="D83" s="64"/>
      <c r="E83" s="70" t="s">
        <v>570</v>
      </c>
      <c r="F83" s="71">
        <v>9.8673194E8</v>
      </c>
      <c r="G83" s="1261">
        <v>45307.0</v>
      </c>
      <c r="H83" s="130" t="b">
        <v>0</v>
      </c>
      <c r="I83" s="1261">
        <v>45355.0</v>
      </c>
      <c r="J83" s="106" t="b">
        <v>0</v>
      </c>
      <c r="K83" s="1264">
        <v>45540.0</v>
      </c>
      <c r="L83" s="99" t="b">
        <v>0</v>
      </c>
      <c r="M83" s="101">
        <v>45720.0</v>
      </c>
      <c r="N83" s="130" t="b">
        <v>0</v>
      </c>
      <c r="O83" s="107">
        <v>45902.0</v>
      </c>
      <c r="P83" s="106" t="b">
        <v>0</v>
      </c>
      <c r="Q83" s="107"/>
      <c r="R83" s="106"/>
      <c r="S83" s="107"/>
      <c r="T83" s="106"/>
      <c r="U83" s="107"/>
      <c r="V83" s="106"/>
      <c r="W83" s="107"/>
      <c r="X83" s="106"/>
      <c r="Y83" s="116"/>
      <c r="Z83" s="245"/>
    </row>
    <row r="84" ht="22.5" hidden="1" customHeight="1">
      <c r="A84" s="60">
        <v>81.0</v>
      </c>
      <c r="B84" s="70" t="s">
        <v>575</v>
      </c>
      <c r="C84" s="64" t="s">
        <v>51</v>
      </c>
      <c r="D84" s="64"/>
      <c r="E84" s="70"/>
      <c r="F84" s="71"/>
      <c r="G84" s="1261">
        <v>45306.0</v>
      </c>
      <c r="H84" s="130" t="b">
        <v>0</v>
      </c>
      <c r="I84" s="1261">
        <v>45351.0</v>
      </c>
      <c r="J84" s="106" t="b">
        <v>0</v>
      </c>
      <c r="K84" s="1264">
        <v>45532.0</v>
      </c>
      <c r="L84" s="99" t="b">
        <v>0</v>
      </c>
      <c r="M84" s="101">
        <v>45716.0</v>
      </c>
      <c r="N84" s="130" t="b">
        <v>0</v>
      </c>
      <c r="O84" s="107">
        <v>45897.0</v>
      </c>
      <c r="P84" s="106" t="b">
        <v>0</v>
      </c>
      <c r="Q84" s="107"/>
      <c r="R84" s="106"/>
      <c r="S84" s="107"/>
      <c r="T84" s="106"/>
      <c r="U84" s="107"/>
      <c r="V84" s="106"/>
      <c r="W84" s="107"/>
      <c r="X84" s="106"/>
      <c r="Y84" s="116"/>
      <c r="Z84" s="245"/>
    </row>
    <row r="85" ht="22.5" hidden="1" customHeight="1">
      <c r="A85" s="60">
        <v>82.0</v>
      </c>
      <c r="B85" s="70" t="s">
        <v>580</v>
      </c>
      <c r="C85" s="64" t="s">
        <v>51</v>
      </c>
      <c r="D85" s="64"/>
      <c r="E85" s="70" t="s">
        <v>880</v>
      </c>
      <c r="F85" s="71" t="s">
        <v>881</v>
      </c>
      <c r="G85" s="1261">
        <v>45283.0</v>
      </c>
      <c r="H85" s="130" t="b">
        <v>0</v>
      </c>
      <c r="I85" s="1261">
        <v>45107.0</v>
      </c>
      <c r="J85" s="106" t="b">
        <v>0</v>
      </c>
      <c r="K85" s="1264">
        <v>45261.0</v>
      </c>
      <c r="L85" s="99" t="b">
        <v>0</v>
      </c>
      <c r="M85" s="101">
        <v>45471.0</v>
      </c>
      <c r="N85" s="130" t="b">
        <v>0</v>
      </c>
      <c r="O85" s="107">
        <v>45628.0</v>
      </c>
      <c r="P85" s="106" t="b">
        <v>0</v>
      </c>
      <c r="Q85" s="107"/>
      <c r="R85" s="106"/>
      <c r="S85" s="107"/>
      <c r="T85" s="106"/>
      <c r="U85" s="107"/>
      <c r="V85" s="106"/>
      <c r="W85" s="107"/>
      <c r="X85" s="106"/>
      <c r="Y85" s="262"/>
      <c r="Z85" s="245"/>
    </row>
    <row r="86" ht="22.5" hidden="1" customHeight="1">
      <c r="A86" s="60">
        <v>83.0</v>
      </c>
      <c r="B86" s="362" t="s">
        <v>1014</v>
      </c>
      <c r="C86" s="64" t="s">
        <v>51</v>
      </c>
      <c r="D86" s="645"/>
      <c r="E86" s="362" t="s">
        <v>1015</v>
      </c>
      <c r="F86" s="364" t="s">
        <v>888</v>
      </c>
      <c r="G86" s="1261">
        <v>45225.0</v>
      </c>
      <c r="H86" s="130" t="b">
        <v>0</v>
      </c>
      <c r="I86" s="1261">
        <v>45306.0</v>
      </c>
      <c r="J86" s="106" t="b">
        <v>0</v>
      </c>
      <c r="K86" s="1264">
        <v>45453.0</v>
      </c>
      <c r="L86" s="99" t="b">
        <v>0</v>
      </c>
      <c r="M86" s="101">
        <v>45636.0</v>
      </c>
      <c r="N86" s="649" t="b">
        <v>0</v>
      </c>
      <c r="O86" s="107">
        <v>45824.0</v>
      </c>
      <c r="P86" s="106" t="b">
        <v>0</v>
      </c>
      <c r="Q86" s="107"/>
      <c r="R86" s="106"/>
      <c r="S86" s="107"/>
      <c r="T86" s="106"/>
      <c r="U86" s="107"/>
      <c r="V86" s="106"/>
      <c r="W86" s="107"/>
      <c r="X86" s="106"/>
      <c r="Y86" s="116"/>
      <c r="Z86" s="118"/>
    </row>
    <row r="87" ht="22.5" hidden="1" customHeight="1">
      <c r="A87" s="60">
        <v>84.0</v>
      </c>
      <c r="B87" s="70" t="s">
        <v>1016</v>
      </c>
      <c r="C87" s="64" t="s">
        <v>51</v>
      </c>
      <c r="D87" s="64"/>
      <c r="E87" s="70"/>
      <c r="F87" s="71"/>
      <c r="G87" s="1261">
        <v>45324.0</v>
      </c>
      <c r="H87" s="130" t="b">
        <v>0</v>
      </c>
      <c r="I87" s="1261">
        <v>45393.0</v>
      </c>
      <c r="J87" s="106" t="b">
        <v>0</v>
      </c>
      <c r="K87" s="1264">
        <v>45576.0</v>
      </c>
      <c r="L87" s="99" t="b">
        <v>0</v>
      </c>
      <c r="M87" s="101">
        <v>45758.0</v>
      </c>
      <c r="N87" s="130" t="b">
        <v>0</v>
      </c>
      <c r="O87" s="107">
        <v>45941.0</v>
      </c>
      <c r="P87" s="164" t="b">
        <v>0</v>
      </c>
      <c r="Q87" s="107"/>
      <c r="R87" s="106"/>
      <c r="S87" s="107"/>
      <c r="T87" s="106"/>
      <c r="U87" s="107"/>
      <c r="V87" s="106"/>
      <c r="W87" s="107"/>
      <c r="X87" s="106"/>
      <c r="Y87" s="116"/>
      <c r="Z87" s="118"/>
    </row>
    <row r="88" ht="22.5" hidden="1" customHeight="1">
      <c r="A88" s="60">
        <v>85.0</v>
      </c>
      <c r="B88" s="70" t="s">
        <v>592</v>
      </c>
      <c r="C88" s="265" t="s">
        <v>51</v>
      </c>
      <c r="D88" s="265"/>
      <c r="E88" s="125" t="s">
        <v>594</v>
      </c>
      <c r="F88" s="266">
        <v>6.28251979E8</v>
      </c>
      <c r="G88" s="1261">
        <v>45234.0</v>
      </c>
      <c r="H88" s="130" t="b">
        <v>0</v>
      </c>
      <c r="I88" s="1300">
        <v>44562.0</v>
      </c>
      <c r="J88" s="106" t="b">
        <v>0</v>
      </c>
      <c r="K88" s="1302">
        <v>44679.0</v>
      </c>
      <c r="L88" s="99" t="b">
        <v>0</v>
      </c>
      <c r="M88" s="107">
        <v>44971.0</v>
      </c>
      <c r="N88" s="339" t="b">
        <v>1</v>
      </c>
      <c r="O88" s="107">
        <v>45140.0</v>
      </c>
      <c r="P88" s="164" t="b">
        <v>1</v>
      </c>
      <c r="Q88" s="107">
        <v>45292.0</v>
      </c>
      <c r="R88" s="164" t="b">
        <v>0</v>
      </c>
      <c r="S88" s="107">
        <v>45446.0</v>
      </c>
      <c r="T88" s="164" t="b">
        <v>0</v>
      </c>
      <c r="U88" s="107"/>
      <c r="V88" s="164"/>
      <c r="W88" s="107"/>
      <c r="X88" s="164"/>
      <c r="Y88" s="283"/>
      <c r="Z88" s="118"/>
    </row>
    <row r="89" ht="22.5" hidden="1" customHeight="1">
      <c r="A89" s="60">
        <v>86.0</v>
      </c>
      <c r="B89" s="362" t="s">
        <v>897</v>
      </c>
      <c r="C89" s="645" t="s">
        <v>51</v>
      </c>
      <c r="D89" s="645"/>
      <c r="E89" s="362" t="s">
        <v>899</v>
      </c>
      <c r="F89" s="364">
        <v>8.3650888E8</v>
      </c>
      <c r="G89" s="1261">
        <v>45258.0</v>
      </c>
      <c r="H89" s="130" t="b">
        <v>0</v>
      </c>
      <c r="I89" s="1261">
        <v>44833.0</v>
      </c>
      <c r="J89" s="106" t="b">
        <v>0</v>
      </c>
      <c r="K89" s="1264">
        <v>45014.0</v>
      </c>
      <c r="L89" s="99" t="b">
        <v>0</v>
      </c>
      <c r="M89" s="101">
        <v>45259.0</v>
      </c>
      <c r="N89" s="647" t="b">
        <v>0</v>
      </c>
      <c r="O89" s="107">
        <v>45421.0</v>
      </c>
      <c r="P89" s="164" t="b">
        <v>0</v>
      </c>
      <c r="Q89" s="107">
        <v>45604.0</v>
      </c>
      <c r="R89" s="106" t="b">
        <v>0</v>
      </c>
      <c r="S89" s="107">
        <v>45786.0</v>
      </c>
      <c r="T89" s="164" t="b">
        <v>0</v>
      </c>
      <c r="U89" s="107"/>
      <c r="V89" s="106"/>
      <c r="W89" s="107"/>
      <c r="X89" s="106"/>
      <c r="Y89" s="288"/>
      <c r="Z89" s="118"/>
    </row>
    <row r="90" ht="22.5" hidden="1" customHeight="1">
      <c r="A90" s="60">
        <v>87.0</v>
      </c>
      <c r="B90" s="355" t="s">
        <v>716</v>
      </c>
      <c r="C90" s="228" t="s">
        <v>51</v>
      </c>
      <c r="D90" s="821"/>
      <c r="E90" s="825" t="s">
        <v>329</v>
      </c>
      <c r="F90" s="811"/>
      <c r="G90" s="1261">
        <v>45269.0</v>
      </c>
      <c r="H90" s="130" t="b">
        <v>0</v>
      </c>
      <c r="I90" s="1339">
        <v>44963.0</v>
      </c>
      <c r="J90" s="106" t="b">
        <v>0</v>
      </c>
      <c r="K90" s="1340">
        <v>45145.0</v>
      </c>
      <c r="L90" s="99" t="b">
        <v>0</v>
      </c>
      <c r="M90" s="242"/>
      <c r="N90" s="814" t="b">
        <v>0</v>
      </c>
      <c r="O90" s="242"/>
      <c r="P90" s="237" t="b">
        <v>0</v>
      </c>
      <c r="Q90" s="242"/>
      <c r="R90" s="237"/>
      <c r="S90" s="242"/>
      <c r="T90" s="237"/>
      <c r="U90" s="242"/>
      <c r="V90" s="237"/>
      <c r="W90" s="242"/>
      <c r="X90" s="237"/>
      <c r="Y90" s="578"/>
      <c r="Z90" s="118"/>
    </row>
    <row r="91" ht="22.5" hidden="1" customHeight="1">
      <c r="A91" s="60">
        <v>88.0</v>
      </c>
      <c r="B91" s="362" t="s">
        <v>604</v>
      </c>
      <c r="C91" s="64" t="s">
        <v>555</v>
      </c>
      <c r="D91" s="645"/>
      <c r="E91" s="362" t="s">
        <v>605</v>
      </c>
      <c r="F91" s="364">
        <v>8.17369884E8</v>
      </c>
      <c r="G91" s="1261">
        <v>45252.0</v>
      </c>
      <c r="H91" s="130" t="b">
        <v>0</v>
      </c>
      <c r="I91" s="1261">
        <v>44564.0</v>
      </c>
      <c r="J91" s="106" t="b">
        <v>0</v>
      </c>
      <c r="K91" s="1264">
        <v>44713.0</v>
      </c>
      <c r="L91" s="99" t="b">
        <v>0</v>
      </c>
      <c r="M91" s="101">
        <v>44931.0</v>
      </c>
      <c r="N91" s="647" t="b">
        <v>1</v>
      </c>
      <c r="O91" s="107">
        <v>45114.0</v>
      </c>
      <c r="P91" s="106" t="b">
        <v>1</v>
      </c>
      <c r="Q91" s="107"/>
      <c r="R91" s="106"/>
      <c r="S91" s="107"/>
      <c r="T91" s="106"/>
      <c r="U91" s="107"/>
      <c r="V91" s="106"/>
      <c r="W91" s="107"/>
      <c r="X91" s="106"/>
      <c r="Y91" s="116" t="s">
        <v>58</v>
      </c>
      <c r="Z91" s="118"/>
    </row>
    <row r="92" ht="22.5" hidden="1" customHeight="1">
      <c r="A92" s="60">
        <v>89.0</v>
      </c>
      <c r="B92" s="1373" t="s">
        <v>745</v>
      </c>
      <c r="C92" s="645" t="s">
        <v>51</v>
      </c>
      <c r="D92" s="645"/>
      <c r="E92" s="362"/>
      <c r="F92" s="364" t="s">
        <v>143</v>
      </c>
      <c r="G92" s="1261">
        <v>45293.0</v>
      </c>
      <c r="H92" s="130" t="b">
        <v>0</v>
      </c>
      <c r="I92" s="1261">
        <v>45226.0</v>
      </c>
      <c r="J92" s="106" t="b">
        <v>0</v>
      </c>
      <c r="K92" s="1264">
        <v>45401.0</v>
      </c>
      <c r="L92" s="99" t="b">
        <v>0</v>
      </c>
      <c r="M92" s="101">
        <v>45584.0</v>
      </c>
      <c r="N92" s="649" t="b">
        <v>0</v>
      </c>
      <c r="O92" s="107">
        <v>45766.0</v>
      </c>
      <c r="P92" s="106" t="b">
        <v>0</v>
      </c>
      <c r="Q92" s="107"/>
      <c r="R92" s="106"/>
      <c r="S92" s="107"/>
      <c r="T92" s="106"/>
      <c r="U92" s="107"/>
      <c r="V92" s="106"/>
      <c r="W92" s="107"/>
      <c r="X92" s="106"/>
      <c r="Y92" s="116"/>
      <c r="Z92" s="118"/>
    </row>
    <row r="93" ht="22.5" hidden="1" customHeight="1">
      <c r="A93" s="60">
        <v>90.0</v>
      </c>
      <c r="B93" s="70" t="s">
        <v>748</v>
      </c>
      <c r="C93" s="64" t="s">
        <v>51</v>
      </c>
      <c r="D93" s="64"/>
      <c r="E93" s="70"/>
      <c r="F93" s="71"/>
      <c r="G93" s="1261">
        <v>45330.0</v>
      </c>
      <c r="H93" s="130" t="b">
        <v>0</v>
      </c>
      <c r="I93" s="1271">
        <v>45394.0</v>
      </c>
      <c r="J93" s="106" t="b">
        <v>0</v>
      </c>
      <c r="K93" s="1268">
        <v>45577.0</v>
      </c>
      <c r="L93" s="99" t="b">
        <v>0</v>
      </c>
      <c r="M93" s="171">
        <v>45759.0</v>
      </c>
      <c r="N93" s="99" t="b">
        <v>0</v>
      </c>
      <c r="O93" s="107">
        <v>45942.0</v>
      </c>
      <c r="P93" s="164" t="b">
        <v>0</v>
      </c>
      <c r="Q93" s="107"/>
      <c r="R93" s="106"/>
      <c r="S93" s="107"/>
      <c r="T93" s="106"/>
      <c r="U93" s="107"/>
      <c r="V93" s="106"/>
      <c r="W93" s="107"/>
      <c r="X93" s="106"/>
      <c r="Y93" s="116"/>
      <c r="Z93" s="220" t="s">
        <v>204</v>
      </c>
    </row>
    <row r="94" ht="22.5" hidden="1" customHeight="1">
      <c r="A94" s="60">
        <v>91.0</v>
      </c>
      <c r="B94" s="355" t="s">
        <v>149</v>
      </c>
      <c r="C94" s="821" t="s">
        <v>51</v>
      </c>
      <c r="D94" s="821"/>
      <c r="E94" s="825"/>
      <c r="F94" s="811">
        <v>8.9454337E8</v>
      </c>
      <c r="G94" s="1261">
        <v>45299.0</v>
      </c>
      <c r="H94" s="130" t="b">
        <v>0</v>
      </c>
      <c r="I94" s="1378">
        <v>45268.0</v>
      </c>
      <c r="J94" s="106" t="b">
        <v>0</v>
      </c>
      <c r="K94" s="1378">
        <v>45449.0</v>
      </c>
      <c r="L94" s="99" t="b">
        <v>0</v>
      </c>
      <c r="M94" s="1036">
        <v>45632.0</v>
      </c>
      <c r="N94" s="1074" t="b">
        <v>0</v>
      </c>
      <c r="O94" s="1036">
        <v>45817.0</v>
      </c>
      <c r="P94" s="237" t="b">
        <v>0</v>
      </c>
      <c r="Q94" s="242"/>
      <c r="R94" s="237"/>
      <c r="S94" s="242"/>
      <c r="T94" s="237"/>
      <c r="U94" s="242"/>
      <c r="V94" s="237"/>
      <c r="W94" s="242"/>
      <c r="X94" s="237"/>
      <c r="Y94" s="1077"/>
      <c r="Z94" s="118"/>
    </row>
    <row r="95" ht="22.5" hidden="1" customHeight="1">
      <c r="A95" s="60">
        <v>92.0</v>
      </c>
      <c r="B95" s="362" t="s">
        <v>773</v>
      </c>
      <c r="C95" s="645" t="s">
        <v>51</v>
      </c>
      <c r="D95" s="645"/>
      <c r="E95" s="362"/>
      <c r="F95" s="364"/>
      <c r="G95" s="1261">
        <v>45326.0</v>
      </c>
      <c r="H95" s="130" t="b">
        <v>0</v>
      </c>
      <c r="I95" s="1382">
        <v>45393.0</v>
      </c>
      <c r="J95" s="106" t="b">
        <v>0</v>
      </c>
      <c r="K95" s="1382">
        <v>45576.0</v>
      </c>
      <c r="L95" s="99" t="b">
        <v>0</v>
      </c>
      <c r="M95" s="261">
        <v>45758.0</v>
      </c>
      <c r="N95" s="323" t="b">
        <v>0</v>
      </c>
      <c r="O95" s="264">
        <v>45941.0</v>
      </c>
      <c r="P95" s="164" t="b">
        <v>0</v>
      </c>
      <c r="Q95" s="107"/>
      <c r="R95" s="106"/>
      <c r="S95" s="107"/>
      <c r="T95" s="106"/>
      <c r="U95" s="107"/>
      <c r="V95" s="106"/>
      <c r="W95" s="107"/>
      <c r="X95" s="106"/>
      <c r="Y95" s="862"/>
      <c r="Z95" s="118"/>
    </row>
    <row r="96" ht="22.5" hidden="1" customHeight="1">
      <c r="A96" s="60">
        <v>93.0</v>
      </c>
      <c r="B96" s="362" t="s">
        <v>166</v>
      </c>
      <c r="C96" s="645" t="s">
        <v>51</v>
      </c>
      <c r="D96" s="645"/>
      <c r="E96" s="362" t="s">
        <v>770</v>
      </c>
      <c r="F96" s="364" t="s">
        <v>169</v>
      </c>
      <c r="G96" s="1261">
        <v>45294.0</v>
      </c>
      <c r="H96" s="130" t="b">
        <v>0</v>
      </c>
      <c r="I96" s="1382">
        <v>45226.0</v>
      </c>
      <c r="J96" s="106" t="b">
        <v>0</v>
      </c>
      <c r="K96" s="1382">
        <v>45384.0</v>
      </c>
      <c r="L96" s="99" t="b">
        <v>0</v>
      </c>
      <c r="M96" s="261"/>
      <c r="N96" s="323"/>
      <c r="O96" s="264"/>
      <c r="P96" s="106"/>
      <c r="Q96" s="107"/>
      <c r="R96" s="106"/>
      <c r="S96" s="107"/>
      <c r="T96" s="106"/>
      <c r="U96" s="107"/>
      <c r="V96" s="106"/>
      <c r="W96" s="107"/>
      <c r="X96" s="106"/>
      <c r="Y96" s="862"/>
      <c r="Z96" s="118"/>
    </row>
    <row r="97" ht="22.5" hidden="1" customHeight="1">
      <c r="A97" s="60">
        <v>94.0</v>
      </c>
      <c r="B97" s="362" t="s">
        <v>777</v>
      </c>
      <c r="C97" s="645" t="s">
        <v>51</v>
      </c>
      <c r="D97" s="645"/>
      <c r="E97" s="362"/>
      <c r="F97" s="364"/>
      <c r="G97" s="1261">
        <v>45318.0</v>
      </c>
      <c r="H97" s="130" t="b">
        <v>0</v>
      </c>
      <c r="I97" s="1382">
        <v>45384.0</v>
      </c>
      <c r="J97" s="106" t="b">
        <v>0</v>
      </c>
      <c r="K97" s="1382">
        <v>45567.0</v>
      </c>
      <c r="L97" s="99" t="b">
        <v>0</v>
      </c>
      <c r="M97" s="261">
        <v>45749.0</v>
      </c>
      <c r="N97" s="323" t="b">
        <v>0</v>
      </c>
      <c r="O97" s="264">
        <v>45932.0</v>
      </c>
      <c r="P97" s="164" t="b">
        <v>0</v>
      </c>
      <c r="Q97" s="107"/>
      <c r="R97" s="106"/>
      <c r="S97" s="107"/>
      <c r="T97" s="106"/>
      <c r="U97" s="107"/>
      <c r="V97" s="106"/>
      <c r="W97" s="107"/>
      <c r="X97" s="106"/>
      <c r="Y97" s="862"/>
      <c r="Z97" s="118"/>
    </row>
    <row r="98" ht="22.5" hidden="1" customHeight="1">
      <c r="A98" s="60">
        <v>95.0</v>
      </c>
      <c r="B98" s="362" t="s">
        <v>608</v>
      </c>
      <c r="C98" s="645" t="s">
        <v>51</v>
      </c>
      <c r="D98" s="645"/>
      <c r="E98" s="362" t="s">
        <v>1065</v>
      </c>
      <c r="F98" s="364" t="s">
        <v>958</v>
      </c>
      <c r="G98" s="1261">
        <v>45226.0</v>
      </c>
      <c r="H98" s="130" t="b">
        <v>0</v>
      </c>
      <c r="I98" s="1382">
        <v>45306.0</v>
      </c>
      <c r="J98" s="106" t="b">
        <v>0</v>
      </c>
      <c r="K98" s="1382">
        <v>45453.0</v>
      </c>
      <c r="L98" s="99" t="b">
        <v>0</v>
      </c>
      <c r="M98" s="261">
        <v>45636.0</v>
      </c>
      <c r="N98" s="323" t="b">
        <v>0</v>
      </c>
      <c r="O98" s="264">
        <v>45670.0</v>
      </c>
      <c r="P98" s="106" t="b">
        <v>0</v>
      </c>
      <c r="Q98" s="107"/>
      <c r="R98" s="106"/>
      <c r="S98" s="107"/>
      <c r="T98" s="106"/>
      <c r="U98" s="107"/>
      <c r="V98" s="106"/>
      <c r="W98" s="107"/>
      <c r="X98" s="106"/>
      <c r="Y98" s="862"/>
      <c r="Z98" s="118"/>
    </row>
    <row r="99" ht="22.5" hidden="1" customHeight="1">
      <c r="A99" s="60">
        <v>96.0</v>
      </c>
      <c r="B99" s="362" t="s">
        <v>611</v>
      </c>
      <c r="C99" s="645" t="s">
        <v>51</v>
      </c>
      <c r="D99" s="645"/>
      <c r="E99" s="362"/>
      <c r="F99" s="364"/>
      <c r="G99" s="1261">
        <v>45227.0</v>
      </c>
      <c r="H99" s="130" t="b">
        <v>0</v>
      </c>
      <c r="I99" s="1382">
        <v>45306.0</v>
      </c>
      <c r="J99" s="106" t="b">
        <v>0</v>
      </c>
      <c r="K99" s="1382">
        <v>45453.0</v>
      </c>
      <c r="L99" s="99" t="b">
        <v>0</v>
      </c>
      <c r="M99" s="261">
        <v>45636.0</v>
      </c>
      <c r="N99" s="323" t="b">
        <v>0</v>
      </c>
      <c r="O99" s="264">
        <v>45670.0</v>
      </c>
      <c r="P99" s="106" t="b">
        <v>0</v>
      </c>
      <c r="Q99" s="107"/>
      <c r="R99" s="106"/>
      <c r="S99" s="107"/>
      <c r="T99" s="106"/>
      <c r="U99" s="107"/>
      <c r="V99" s="106"/>
      <c r="W99" s="107"/>
      <c r="X99" s="106"/>
      <c r="Y99" s="862"/>
      <c r="Z99" s="118"/>
    </row>
    <row r="100" ht="22.5" hidden="1" customHeight="1">
      <c r="A100" s="60">
        <v>97.0</v>
      </c>
      <c r="B100" s="362" t="s">
        <v>793</v>
      </c>
      <c r="C100" s="645" t="s">
        <v>51</v>
      </c>
      <c r="D100" s="645"/>
      <c r="E100" s="362"/>
      <c r="F100" s="364"/>
      <c r="G100" s="1261">
        <v>45320.0</v>
      </c>
      <c r="H100" s="130" t="b">
        <v>0</v>
      </c>
      <c r="I100" s="1382">
        <v>45392.0</v>
      </c>
      <c r="J100" s="106" t="b">
        <v>0</v>
      </c>
      <c r="K100" s="1382">
        <v>45575.0</v>
      </c>
      <c r="L100" s="99" t="b">
        <v>0</v>
      </c>
      <c r="M100" s="261">
        <v>45757.0</v>
      </c>
      <c r="N100" s="323" t="b">
        <v>0</v>
      </c>
      <c r="O100" s="264">
        <v>45940.0</v>
      </c>
      <c r="P100" s="164" t="b">
        <v>0</v>
      </c>
      <c r="Q100" s="107"/>
      <c r="R100" s="106"/>
      <c r="S100" s="107"/>
      <c r="T100" s="106"/>
      <c r="U100" s="107"/>
      <c r="V100" s="106"/>
      <c r="W100" s="107"/>
      <c r="X100" s="106"/>
      <c r="Y100" s="862"/>
      <c r="Z100" s="118"/>
    </row>
    <row r="101" ht="22.5" hidden="1" customHeight="1">
      <c r="A101" s="60">
        <v>98.0</v>
      </c>
      <c r="B101" s="362" t="s">
        <v>619</v>
      </c>
      <c r="C101" s="645" t="s">
        <v>51</v>
      </c>
      <c r="D101" s="645"/>
      <c r="E101" s="362" t="s">
        <v>988</v>
      </c>
      <c r="F101" s="364" t="s">
        <v>989</v>
      </c>
      <c r="G101" s="1261">
        <v>45301.0</v>
      </c>
      <c r="H101" s="130" t="b">
        <v>0</v>
      </c>
      <c r="I101" s="1382">
        <v>45299.0</v>
      </c>
      <c r="J101" s="106" t="b">
        <v>0</v>
      </c>
      <c r="K101" s="1382">
        <v>45457.0</v>
      </c>
      <c r="L101" s="99" t="b">
        <v>0</v>
      </c>
      <c r="M101" s="261">
        <v>45642.0</v>
      </c>
      <c r="N101" s="323" t="b">
        <v>0</v>
      </c>
      <c r="O101" s="264">
        <v>45824.0</v>
      </c>
      <c r="P101" s="106" t="b">
        <v>0</v>
      </c>
      <c r="Q101" s="107"/>
      <c r="R101" s="106"/>
      <c r="S101" s="107"/>
      <c r="T101" s="106"/>
      <c r="U101" s="107"/>
      <c r="V101" s="106"/>
      <c r="W101" s="107"/>
      <c r="X101" s="106"/>
      <c r="Y101" s="862"/>
      <c r="Z101" s="118"/>
    </row>
    <row r="102" ht="22.5" hidden="1" customHeight="1">
      <c r="A102" s="60">
        <v>99.0</v>
      </c>
      <c r="B102" s="362" t="s">
        <v>623</v>
      </c>
      <c r="C102" s="645" t="s">
        <v>51</v>
      </c>
      <c r="D102" s="645"/>
      <c r="E102" s="362" t="s">
        <v>1076</v>
      </c>
      <c r="F102" s="364">
        <v>9.18144495E8</v>
      </c>
      <c r="G102" s="1261">
        <v>45231.0</v>
      </c>
      <c r="H102" s="130" t="b">
        <v>0</v>
      </c>
      <c r="I102" s="1382">
        <v>45236.0</v>
      </c>
      <c r="J102" s="106" t="b">
        <v>0</v>
      </c>
      <c r="K102" s="1382">
        <v>45454.0</v>
      </c>
      <c r="L102" s="99" t="b">
        <v>0</v>
      </c>
      <c r="M102" s="261">
        <v>45637.0</v>
      </c>
      <c r="N102" s="323" t="b">
        <v>0</v>
      </c>
      <c r="O102" s="264">
        <v>45674.0</v>
      </c>
      <c r="P102" s="106" t="b">
        <v>0</v>
      </c>
      <c r="Q102" s="107"/>
      <c r="R102" s="106"/>
      <c r="S102" s="107"/>
      <c r="T102" s="106"/>
      <c r="U102" s="107"/>
      <c r="V102" s="106"/>
      <c r="W102" s="107"/>
      <c r="X102" s="106"/>
      <c r="Y102" s="862"/>
      <c r="Z102" s="118"/>
    </row>
    <row r="103" ht="22.5" hidden="1" customHeight="1">
      <c r="A103" s="60">
        <v>100.0</v>
      </c>
      <c r="B103" s="362" t="s">
        <v>806</v>
      </c>
      <c r="C103" s="645" t="s">
        <v>51</v>
      </c>
      <c r="D103" s="645"/>
      <c r="E103" s="362" t="s">
        <v>351</v>
      </c>
      <c r="F103" s="364" t="s">
        <v>992</v>
      </c>
      <c r="G103" s="1261">
        <v>45264.0</v>
      </c>
      <c r="H103" s="130" t="b">
        <v>0</v>
      </c>
      <c r="I103" s="1382">
        <v>44922.0</v>
      </c>
      <c r="J103" s="106" t="b">
        <v>0</v>
      </c>
      <c r="K103" s="1382">
        <v>45246.0</v>
      </c>
      <c r="L103" s="99" t="b">
        <v>0</v>
      </c>
      <c r="M103" s="261">
        <v>45428.0</v>
      </c>
      <c r="N103" s="321" t="b">
        <v>0</v>
      </c>
      <c r="O103" s="264">
        <v>45611.0</v>
      </c>
      <c r="P103" s="106" t="b">
        <v>0</v>
      </c>
      <c r="Q103" s="107"/>
      <c r="R103" s="106"/>
      <c r="S103" s="107"/>
      <c r="T103" s="106"/>
      <c r="U103" s="107"/>
      <c r="V103" s="106"/>
      <c r="W103" s="107"/>
      <c r="X103" s="106"/>
      <c r="Y103" s="880"/>
      <c r="Z103" s="118"/>
    </row>
    <row r="104" ht="22.5" hidden="1" customHeight="1">
      <c r="A104" s="60">
        <v>101.0</v>
      </c>
      <c r="B104" s="362" t="s">
        <v>808</v>
      </c>
      <c r="C104" s="645" t="s">
        <v>51</v>
      </c>
      <c r="D104" s="645"/>
      <c r="E104" s="362" t="s">
        <v>1079</v>
      </c>
      <c r="F104" s="364">
        <v>8.67778043E8</v>
      </c>
      <c r="G104" s="1261">
        <v>45310.0</v>
      </c>
      <c r="H104" s="130" t="b">
        <v>0</v>
      </c>
      <c r="I104" s="1382">
        <v>45362.0</v>
      </c>
      <c r="J104" s="106" t="b">
        <v>0</v>
      </c>
      <c r="K104" s="1382">
        <v>45546.0</v>
      </c>
      <c r="L104" s="99" t="b">
        <v>0</v>
      </c>
      <c r="M104" s="261">
        <v>45726.0</v>
      </c>
      <c r="N104" s="323" t="b">
        <v>0</v>
      </c>
      <c r="O104" s="264">
        <v>45910.0</v>
      </c>
      <c r="P104" s="106" t="b">
        <v>0</v>
      </c>
      <c r="Q104" s="107"/>
      <c r="R104" s="106"/>
      <c r="S104" s="107"/>
      <c r="T104" s="106"/>
      <c r="U104" s="107"/>
      <c r="V104" s="106"/>
      <c r="W104" s="107"/>
      <c r="X104" s="106"/>
      <c r="Y104" s="862"/>
      <c r="Z104" s="118"/>
    </row>
    <row r="105" ht="22.5" hidden="1" customHeight="1">
      <c r="A105" s="60">
        <v>102.0</v>
      </c>
      <c r="B105" s="362" t="s">
        <v>822</v>
      </c>
      <c r="C105" s="645" t="s">
        <v>51</v>
      </c>
      <c r="D105" s="645"/>
      <c r="E105" s="362"/>
      <c r="F105" s="364"/>
      <c r="G105" s="1261">
        <v>45314.0</v>
      </c>
      <c r="H105" s="130" t="b">
        <v>0</v>
      </c>
      <c r="I105" s="1382">
        <v>45371.0</v>
      </c>
      <c r="J105" s="106" t="b">
        <v>0</v>
      </c>
      <c r="K105" s="1382">
        <v>45555.0</v>
      </c>
      <c r="L105" s="99" t="b">
        <v>0</v>
      </c>
      <c r="M105" s="261">
        <v>45736.0</v>
      </c>
      <c r="N105" s="526" t="b">
        <v>0</v>
      </c>
      <c r="O105" s="264">
        <v>45922.0</v>
      </c>
      <c r="P105" s="164" t="b">
        <v>0</v>
      </c>
      <c r="Q105" s="107"/>
      <c r="R105" s="106"/>
      <c r="S105" s="107"/>
      <c r="T105" s="106"/>
      <c r="U105" s="107"/>
      <c r="V105" s="106"/>
      <c r="W105" s="107"/>
      <c r="X105" s="106"/>
      <c r="Y105" s="862"/>
      <c r="Z105" s="118"/>
    </row>
    <row r="106" ht="22.5" hidden="1" customHeight="1">
      <c r="A106" s="60">
        <v>103.0</v>
      </c>
      <c r="B106" s="1410" t="s">
        <v>625</v>
      </c>
      <c r="C106" s="1026" t="s">
        <v>786</v>
      </c>
      <c r="D106" s="1026"/>
      <c r="E106" s="643" t="s">
        <v>626</v>
      </c>
      <c r="F106" s="1027" t="s">
        <v>627</v>
      </c>
      <c r="G106" s="1261">
        <v>45241.0</v>
      </c>
      <c r="H106" s="130" t="b">
        <v>0</v>
      </c>
      <c r="I106" s="1413">
        <v>44576.0</v>
      </c>
      <c r="J106" s="106" t="b">
        <v>0</v>
      </c>
      <c r="K106" s="1413">
        <v>44744.0</v>
      </c>
      <c r="L106" s="99" t="b">
        <v>0</v>
      </c>
      <c r="M106" s="264">
        <v>44931.0</v>
      </c>
      <c r="N106" s="336" t="b">
        <v>1</v>
      </c>
      <c r="O106" s="264">
        <v>45110.0</v>
      </c>
      <c r="P106" s="164" t="b">
        <v>1</v>
      </c>
      <c r="Q106" s="101">
        <v>45321.0</v>
      </c>
      <c r="R106" s="164" t="b">
        <v>0</v>
      </c>
      <c r="S106" s="101">
        <v>45470.0</v>
      </c>
      <c r="T106" s="164" t="b">
        <v>0</v>
      </c>
      <c r="U106" s="107">
        <v>45684.0</v>
      </c>
      <c r="V106" s="1281" t="b">
        <v>0</v>
      </c>
      <c r="W106" s="107">
        <v>45835.0</v>
      </c>
      <c r="X106" s="1281" t="b">
        <v>0</v>
      </c>
      <c r="Y106" s="1029" t="s">
        <v>58</v>
      </c>
      <c r="Z106" s="118"/>
    </row>
    <row r="107" ht="22.5" hidden="1" customHeight="1">
      <c r="A107" s="60">
        <v>104.0</v>
      </c>
      <c r="B107" s="362" t="s">
        <v>634</v>
      </c>
      <c r="C107" s="645" t="s">
        <v>51</v>
      </c>
      <c r="D107" s="645"/>
      <c r="E107" s="362"/>
      <c r="F107" s="364" t="s">
        <v>408</v>
      </c>
      <c r="G107" s="1261">
        <v>45281.0</v>
      </c>
      <c r="H107" s="130" t="b">
        <v>0</v>
      </c>
      <c r="I107" s="1382">
        <v>45086.0</v>
      </c>
      <c r="J107" s="106" t="b">
        <v>0</v>
      </c>
      <c r="K107" s="1382">
        <v>45330.0</v>
      </c>
      <c r="L107" s="99" t="b">
        <v>0</v>
      </c>
      <c r="M107" s="261">
        <v>45453.0</v>
      </c>
      <c r="N107" s="323" t="b">
        <v>0</v>
      </c>
      <c r="O107" s="264">
        <v>45635.0</v>
      </c>
      <c r="P107" s="164" t="b">
        <v>0</v>
      </c>
      <c r="Q107" s="107"/>
      <c r="R107" s="106"/>
      <c r="S107" s="107"/>
      <c r="T107" s="106"/>
      <c r="U107" s="107"/>
      <c r="V107" s="651"/>
      <c r="W107" s="107"/>
      <c r="X107" s="651"/>
      <c r="Y107" s="1022"/>
      <c r="Z107" s="118"/>
    </row>
    <row r="108" ht="22.5" hidden="1" customHeight="1">
      <c r="A108" s="60">
        <v>105.0</v>
      </c>
      <c r="B108" s="362" t="s">
        <v>837</v>
      </c>
      <c r="C108" s="942" t="s">
        <v>51</v>
      </c>
      <c r="D108" s="645"/>
      <c r="E108" s="362" t="s">
        <v>647</v>
      </c>
      <c r="F108" s="364">
        <v>8.42905559E8</v>
      </c>
      <c r="G108" s="1261">
        <v>45235.0</v>
      </c>
      <c r="H108" s="130" t="b">
        <v>0</v>
      </c>
      <c r="I108" s="1382">
        <v>44562.0</v>
      </c>
      <c r="J108" s="106" t="b">
        <v>0</v>
      </c>
      <c r="K108" s="1382">
        <v>44562.0</v>
      </c>
      <c r="L108" s="99" t="b">
        <v>0</v>
      </c>
      <c r="M108" s="261">
        <v>45026.0</v>
      </c>
      <c r="N108" s="321" t="b">
        <v>1</v>
      </c>
      <c r="O108" s="264">
        <v>45254.0</v>
      </c>
      <c r="P108" s="106" t="b">
        <v>1</v>
      </c>
      <c r="Q108" s="107">
        <v>45390.0</v>
      </c>
      <c r="R108" s="106" t="b">
        <v>0</v>
      </c>
      <c r="S108" s="107">
        <v>45575.0</v>
      </c>
      <c r="T108" s="106" t="b">
        <v>0</v>
      </c>
      <c r="U108" s="107"/>
      <c r="V108" s="651"/>
      <c r="W108" s="107"/>
      <c r="X108" s="651"/>
      <c r="Y108" s="862"/>
      <c r="Z108" s="118"/>
    </row>
    <row r="109" ht="22.5" hidden="1" customHeight="1">
      <c r="A109" s="60">
        <v>106.0</v>
      </c>
      <c r="B109" s="362" t="s">
        <v>1088</v>
      </c>
      <c r="C109" s="645" t="s">
        <v>51</v>
      </c>
      <c r="D109" s="645"/>
      <c r="E109" s="362" t="s">
        <v>1089</v>
      </c>
      <c r="F109" s="1294" t="s">
        <v>1090</v>
      </c>
      <c r="G109" s="1261">
        <v>45221.0</v>
      </c>
      <c r="H109" s="130" t="b">
        <v>0</v>
      </c>
      <c r="I109" s="1382">
        <v>45222.0</v>
      </c>
      <c r="J109" s="99" t="b">
        <v>0</v>
      </c>
      <c r="K109" s="1382">
        <v>45404.0</v>
      </c>
      <c r="L109" s="106" t="b">
        <v>0</v>
      </c>
      <c r="M109" s="261">
        <v>45586.0</v>
      </c>
      <c r="N109" s="323" t="b">
        <v>0</v>
      </c>
      <c r="O109" s="264">
        <v>45768.0</v>
      </c>
      <c r="P109" s="106" t="b">
        <v>0</v>
      </c>
      <c r="Q109" s="107"/>
      <c r="R109" s="106"/>
      <c r="S109" s="107"/>
      <c r="T109" s="106"/>
      <c r="U109" s="107"/>
      <c r="V109" s="651"/>
      <c r="W109" s="107"/>
      <c r="X109" s="651"/>
      <c r="Y109" s="862"/>
      <c r="Z109" s="118"/>
    </row>
    <row r="110" ht="22.5" hidden="1" customHeight="1">
      <c r="A110" s="60">
        <v>107.0</v>
      </c>
      <c r="B110" s="953" t="s">
        <v>642</v>
      </c>
      <c r="C110" s="645" t="s">
        <v>51</v>
      </c>
      <c r="D110" s="358"/>
      <c r="E110" s="358" t="s">
        <v>1054</v>
      </c>
      <c r="F110" s="364" t="s">
        <v>1055</v>
      </c>
      <c r="G110" s="1261">
        <v>45254.0</v>
      </c>
      <c r="H110" s="130" t="b">
        <v>0</v>
      </c>
      <c r="I110" s="1382">
        <v>44676.0</v>
      </c>
      <c r="J110" s="106" t="b">
        <v>0</v>
      </c>
      <c r="K110" s="1382">
        <v>44879.0</v>
      </c>
      <c r="L110" s="99" t="b">
        <v>0</v>
      </c>
      <c r="M110" s="261">
        <v>45068.0</v>
      </c>
      <c r="N110" s="321" t="b">
        <v>1</v>
      </c>
      <c r="O110" s="264">
        <v>45254.0</v>
      </c>
      <c r="P110" s="164" t="b">
        <v>1</v>
      </c>
      <c r="Q110" s="107">
        <v>45418.0</v>
      </c>
      <c r="R110" s="106" t="b">
        <v>0</v>
      </c>
      <c r="S110" s="107">
        <v>45598.0</v>
      </c>
      <c r="T110" s="164" t="b">
        <v>0</v>
      </c>
      <c r="U110" s="107"/>
      <c r="V110" s="651"/>
      <c r="W110" s="107"/>
      <c r="X110" s="651"/>
      <c r="Y110" s="862"/>
      <c r="Z110" s="118"/>
    </row>
    <row r="111" ht="22.5" hidden="1" customHeight="1">
      <c r="A111" s="60">
        <v>108.0</v>
      </c>
      <c r="B111" s="362" t="s">
        <v>179</v>
      </c>
      <c r="C111" s="645" t="s">
        <v>51</v>
      </c>
      <c r="D111" s="645"/>
      <c r="E111" s="362" t="s">
        <v>181</v>
      </c>
      <c r="F111" s="364"/>
      <c r="G111" s="1261">
        <v>45278.0</v>
      </c>
      <c r="H111" s="130" t="b">
        <v>0</v>
      </c>
      <c r="I111" s="1382">
        <v>45061.0</v>
      </c>
      <c r="J111" s="106" t="b">
        <v>0</v>
      </c>
      <c r="K111" s="1382">
        <v>45245.0</v>
      </c>
      <c r="L111" s="99" t="b">
        <v>0</v>
      </c>
      <c r="M111" s="261">
        <v>45427.0</v>
      </c>
      <c r="N111" s="323" t="b">
        <v>0</v>
      </c>
      <c r="O111" s="264">
        <v>45611.0</v>
      </c>
      <c r="P111" s="106" t="b">
        <v>0</v>
      </c>
      <c r="Q111" s="107"/>
      <c r="R111" s="106"/>
      <c r="S111" s="107"/>
      <c r="T111" s="106"/>
      <c r="U111" s="107"/>
      <c r="V111" s="651"/>
      <c r="W111" s="107"/>
      <c r="X111" s="651"/>
      <c r="Y111" s="1022"/>
      <c r="Z111" s="118"/>
    </row>
    <row r="112" ht="22.5" hidden="1" customHeight="1">
      <c r="A112" s="60">
        <v>109.0</v>
      </c>
      <c r="B112" s="362" t="s">
        <v>656</v>
      </c>
      <c r="C112" s="645" t="s">
        <v>51</v>
      </c>
      <c r="D112" s="645"/>
      <c r="E112" s="362"/>
      <c r="F112" s="364"/>
      <c r="G112" s="1261">
        <v>45271.0</v>
      </c>
      <c r="H112" s="130" t="b">
        <v>0</v>
      </c>
      <c r="I112" s="1382">
        <v>45009.0</v>
      </c>
      <c r="J112" s="106" t="b">
        <v>0</v>
      </c>
      <c r="K112" s="1382">
        <v>45189.0</v>
      </c>
      <c r="L112" s="99" t="b">
        <v>0</v>
      </c>
      <c r="M112" s="261">
        <v>45371.0</v>
      </c>
      <c r="N112" s="321" t="b">
        <v>0</v>
      </c>
      <c r="O112" s="264">
        <v>45559.0</v>
      </c>
      <c r="P112" s="164" t="b">
        <v>0</v>
      </c>
      <c r="Q112" s="107"/>
      <c r="R112" s="106"/>
      <c r="S112" s="107"/>
      <c r="T112" s="106"/>
      <c r="U112" s="107"/>
      <c r="V112" s="651"/>
      <c r="W112" s="107"/>
      <c r="X112" s="651"/>
      <c r="Y112" s="880"/>
      <c r="Z112" s="118"/>
    </row>
    <row r="113" ht="22.5" hidden="1" customHeight="1">
      <c r="A113" s="60">
        <v>110.0</v>
      </c>
      <c r="B113" s="362" t="s">
        <v>662</v>
      </c>
      <c r="C113" s="645" t="s">
        <v>51</v>
      </c>
      <c r="D113" s="645"/>
      <c r="E113" s="362" t="s">
        <v>663</v>
      </c>
      <c r="F113" s="364"/>
      <c r="G113" s="1261">
        <v>45272.0</v>
      </c>
      <c r="H113" s="130" t="b">
        <v>0</v>
      </c>
      <c r="I113" s="1382">
        <v>45009.0</v>
      </c>
      <c r="J113" s="106" t="b">
        <v>0</v>
      </c>
      <c r="K113" s="1382">
        <v>45142.0</v>
      </c>
      <c r="L113" s="99" t="b">
        <v>0</v>
      </c>
      <c r="M113" s="261">
        <v>45326.0</v>
      </c>
      <c r="N113" s="321" t="b">
        <v>0</v>
      </c>
      <c r="O113" s="264">
        <v>45509.0</v>
      </c>
      <c r="P113" s="164" t="b">
        <v>0</v>
      </c>
      <c r="Q113" s="107"/>
      <c r="R113" s="106"/>
      <c r="S113" s="107"/>
      <c r="T113" s="106"/>
      <c r="U113" s="107"/>
      <c r="V113" s="651"/>
      <c r="W113" s="107"/>
      <c r="X113" s="651"/>
      <c r="Y113" s="880"/>
      <c r="Z113" s="118"/>
    </row>
    <row r="114" ht="22.5" hidden="1" customHeight="1">
      <c r="A114" s="60">
        <v>111.0</v>
      </c>
      <c r="B114" s="362" t="s">
        <v>665</v>
      </c>
      <c r="C114" s="645" t="s">
        <v>51</v>
      </c>
      <c r="D114" s="645"/>
      <c r="E114" s="362" t="s">
        <v>780</v>
      </c>
      <c r="F114" s="364" t="s">
        <v>781</v>
      </c>
      <c r="G114" s="1261">
        <v>45276.0</v>
      </c>
      <c r="H114" s="130" t="b">
        <v>0</v>
      </c>
      <c r="I114" s="1382">
        <v>45037.0</v>
      </c>
      <c r="J114" s="106" t="b">
        <v>0</v>
      </c>
      <c r="K114" s="1382">
        <v>45229.0</v>
      </c>
      <c r="L114" s="99" t="b">
        <v>0</v>
      </c>
      <c r="M114" s="261">
        <v>45404.0</v>
      </c>
      <c r="N114" s="321" t="b">
        <v>0</v>
      </c>
      <c r="O114" s="264">
        <v>45586.0</v>
      </c>
      <c r="P114" s="164" t="b">
        <v>0</v>
      </c>
      <c r="Q114" s="107"/>
      <c r="R114" s="106"/>
      <c r="S114" s="107"/>
      <c r="T114" s="106"/>
      <c r="U114" s="107"/>
      <c r="V114" s="651"/>
      <c r="W114" s="107"/>
      <c r="X114" s="651"/>
      <c r="Y114" s="880"/>
      <c r="Z114" s="118"/>
    </row>
    <row r="115" ht="21.75" hidden="1" customHeight="1">
      <c r="A115" s="60">
        <v>112.0</v>
      </c>
      <c r="B115" s="362" t="s">
        <v>871</v>
      </c>
      <c r="C115" s="645" t="s">
        <v>51</v>
      </c>
      <c r="D115" s="645"/>
      <c r="E115" s="362"/>
      <c r="F115" s="364"/>
      <c r="G115" s="1261">
        <v>45329.0</v>
      </c>
      <c r="H115" s="130" t="b">
        <v>0</v>
      </c>
      <c r="I115" s="1382">
        <v>45393.0</v>
      </c>
      <c r="J115" s="106" t="b">
        <v>0</v>
      </c>
      <c r="K115" s="1382">
        <v>45576.0</v>
      </c>
      <c r="L115" s="99" t="b">
        <v>0</v>
      </c>
      <c r="M115" s="261">
        <v>45758.0</v>
      </c>
      <c r="N115" s="323" t="b">
        <v>0</v>
      </c>
      <c r="O115" s="264">
        <v>45941.0</v>
      </c>
      <c r="P115" s="164" t="b">
        <v>0</v>
      </c>
      <c r="Q115" s="107"/>
      <c r="R115" s="106"/>
      <c r="S115" s="107"/>
      <c r="T115" s="106"/>
      <c r="U115" s="107"/>
      <c r="V115" s="651"/>
      <c r="W115" s="1089"/>
      <c r="X115" s="651"/>
      <c r="Y115" s="862"/>
      <c r="Z115" s="118"/>
    </row>
    <row r="116" ht="21.75" hidden="1" customHeight="1">
      <c r="A116" s="1223"/>
      <c r="B116" s="695"/>
      <c r="C116" s="694"/>
      <c r="D116" s="695"/>
      <c r="E116" s="695"/>
      <c r="F116" s="696"/>
      <c r="G116" s="1318"/>
      <c r="H116" s="1318"/>
      <c r="I116" s="699"/>
      <c r="J116" s="700" t="b">
        <v>0</v>
      </c>
      <c r="K116" s="702"/>
      <c r="L116" s="700" t="b">
        <v>0</v>
      </c>
      <c r="M116" s="702"/>
      <c r="N116" s="700" t="b">
        <v>0</v>
      </c>
      <c r="O116" s="702"/>
      <c r="P116" s="700" t="b">
        <v>0</v>
      </c>
      <c r="Q116" s="702"/>
      <c r="R116" s="700"/>
      <c r="S116" s="702"/>
      <c r="T116" s="700"/>
      <c r="U116" s="702"/>
      <c r="V116" s="700"/>
      <c r="W116" s="702"/>
      <c r="X116" s="700"/>
      <c r="Y116" s="712"/>
      <c r="Z116" s="118"/>
    </row>
    <row r="117" ht="29.25" customHeight="1">
      <c r="A117" s="1431" t="s">
        <v>1152</v>
      </c>
      <c r="B117" s="1432"/>
      <c r="C117" s="1434"/>
      <c r="D117" s="1434"/>
      <c r="E117" s="1436">
        <v>2024.0</v>
      </c>
      <c r="F117" s="1438"/>
      <c r="G117" s="1439"/>
      <c r="H117" s="1440"/>
      <c r="I117" s="1440"/>
      <c r="J117" s="1440"/>
      <c r="K117" s="1440"/>
      <c r="L117" s="1441"/>
      <c r="M117" s="1442"/>
      <c r="N117" s="1443"/>
      <c r="O117" s="1444"/>
      <c r="P117" s="1445"/>
      <c r="Q117" s="1446"/>
      <c r="R117" s="1447"/>
      <c r="S117" s="1446"/>
      <c r="T117" s="1447"/>
      <c r="U117" s="1446"/>
      <c r="V117" s="1448"/>
      <c r="W117" s="1449"/>
      <c r="X117" s="1448"/>
      <c r="Y117" s="1450"/>
      <c r="Z117" s="1451"/>
    </row>
    <row r="118" ht="21.75" customHeight="1">
      <c r="A118" s="60">
        <v>114.0</v>
      </c>
      <c r="B118" s="362" t="s">
        <v>873</v>
      </c>
      <c r="C118" s="645"/>
      <c r="D118" s="645"/>
      <c r="E118" s="362"/>
      <c r="F118" s="364"/>
      <c r="G118" s="1261">
        <v>45330.0</v>
      </c>
      <c r="H118" s="130" t="b">
        <v>0</v>
      </c>
      <c r="I118" s="1382">
        <v>45394.0</v>
      </c>
      <c r="J118" s="106" t="b">
        <v>0</v>
      </c>
      <c r="K118" s="1382">
        <v>45577.0</v>
      </c>
      <c r="L118" s="99" t="b">
        <v>0</v>
      </c>
      <c r="M118" s="261"/>
      <c r="N118" s="323" t="b">
        <v>0</v>
      </c>
      <c r="O118" s="264"/>
      <c r="P118" s="164" t="b">
        <v>0</v>
      </c>
      <c r="Q118" s="107"/>
      <c r="R118" s="106"/>
      <c r="S118" s="107"/>
      <c r="T118" s="106"/>
      <c r="U118" s="107"/>
      <c r="V118" s="651"/>
      <c r="W118" s="1089"/>
      <c r="X118" s="651"/>
      <c r="Y118" s="862"/>
      <c r="Z118" s="118"/>
    </row>
    <row r="119" ht="21.75" customHeight="1">
      <c r="A119" s="60">
        <v>115.0</v>
      </c>
      <c r="B119" s="362" t="s">
        <v>813</v>
      </c>
      <c r="C119" s="645"/>
      <c r="D119" s="645"/>
      <c r="E119" s="362"/>
      <c r="F119" s="364"/>
      <c r="G119" s="1261">
        <v>45330.0</v>
      </c>
      <c r="H119" s="130" t="b">
        <v>0</v>
      </c>
      <c r="I119" s="1382">
        <v>45394.0</v>
      </c>
      <c r="J119" s="106" t="b">
        <v>0</v>
      </c>
      <c r="K119" s="1382">
        <v>45577.0</v>
      </c>
      <c r="L119" s="99" t="b">
        <v>0</v>
      </c>
      <c r="M119" s="261"/>
      <c r="N119" s="323" t="b">
        <v>0</v>
      </c>
      <c r="O119" s="264"/>
      <c r="P119" s="164" t="b">
        <v>0</v>
      </c>
      <c r="Q119" s="107"/>
      <c r="R119" s="106"/>
      <c r="S119" s="107"/>
      <c r="T119" s="106"/>
      <c r="U119" s="107"/>
      <c r="V119" s="651"/>
      <c r="W119" s="1089"/>
      <c r="X119" s="651"/>
      <c r="Y119" s="862"/>
      <c r="Z119" s="118"/>
    </row>
    <row r="120" ht="21.75" customHeight="1">
      <c r="A120" s="60">
        <v>116.0</v>
      </c>
      <c r="B120" s="362" t="s">
        <v>815</v>
      </c>
      <c r="C120" s="645"/>
      <c r="D120" s="645"/>
      <c r="E120" s="362"/>
      <c r="F120" s="364"/>
      <c r="G120" s="1261">
        <v>45330.0</v>
      </c>
      <c r="H120" s="130" t="b">
        <v>0</v>
      </c>
      <c r="I120" s="1382">
        <v>45394.0</v>
      </c>
      <c r="J120" s="106" t="b">
        <v>0</v>
      </c>
      <c r="K120" s="1382">
        <v>45577.0</v>
      </c>
      <c r="L120" s="99" t="b">
        <v>0</v>
      </c>
      <c r="M120" s="261"/>
      <c r="N120" s="323" t="b">
        <v>0</v>
      </c>
      <c r="O120" s="264"/>
      <c r="P120" s="164" t="b">
        <v>0</v>
      </c>
      <c r="Q120" s="107"/>
      <c r="R120" s="106"/>
      <c r="S120" s="107"/>
      <c r="T120" s="106"/>
      <c r="U120" s="107"/>
      <c r="V120" s="651"/>
      <c r="W120" s="1089"/>
      <c r="X120" s="651"/>
      <c r="Y120" s="862"/>
      <c r="Z120" s="118"/>
    </row>
    <row r="121" ht="21.75" customHeight="1">
      <c r="A121" s="60">
        <v>117.0</v>
      </c>
      <c r="B121" s="362" t="s">
        <v>364</v>
      </c>
      <c r="C121" s="645"/>
      <c r="D121" s="645"/>
      <c r="E121" s="362"/>
      <c r="F121" s="364"/>
      <c r="G121" s="1261">
        <v>45330.0</v>
      </c>
      <c r="H121" s="130" t="b">
        <v>0</v>
      </c>
      <c r="I121" s="1382">
        <v>45394.0</v>
      </c>
      <c r="J121" s="106" t="b">
        <v>0</v>
      </c>
      <c r="K121" s="1382">
        <v>45577.0</v>
      </c>
      <c r="L121" s="99" t="b">
        <v>0</v>
      </c>
      <c r="M121" s="261"/>
      <c r="N121" s="323" t="b">
        <v>0</v>
      </c>
      <c r="O121" s="264"/>
      <c r="P121" s="164" t="b">
        <v>0</v>
      </c>
      <c r="Q121" s="107"/>
      <c r="R121" s="106"/>
      <c r="S121" s="107"/>
      <c r="T121" s="106"/>
      <c r="U121" s="107"/>
      <c r="V121" s="651"/>
      <c r="W121" s="1089"/>
      <c r="X121" s="651"/>
      <c r="Y121" s="862"/>
      <c r="Z121" s="118"/>
    </row>
    <row r="122" ht="21.75" customHeight="1">
      <c r="A122" s="60">
        <v>118.0</v>
      </c>
      <c r="B122" s="362" t="s">
        <v>366</v>
      </c>
      <c r="C122" s="645"/>
      <c r="D122" s="645"/>
      <c r="E122" s="362"/>
      <c r="F122" s="364"/>
      <c r="G122" s="1261">
        <v>45330.0</v>
      </c>
      <c r="H122" s="130" t="b">
        <v>0</v>
      </c>
      <c r="I122" s="1382">
        <v>45394.0</v>
      </c>
      <c r="J122" s="106" t="b">
        <v>0</v>
      </c>
      <c r="K122" s="1382">
        <v>45577.0</v>
      </c>
      <c r="L122" s="99" t="b">
        <v>0</v>
      </c>
      <c r="M122" s="261"/>
      <c r="N122" s="323" t="b">
        <v>0</v>
      </c>
      <c r="O122" s="264"/>
      <c r="P122" s="164" t="b">
        <v>0</v>
      </c>
      <c r="Q122" s="107"/>
      <c r="R122" s="106"/>
      <c r="S122" s="107"/>
      <c r="T122" s="106"/>
      <c r="U122" s="107"/>
      <c r="V122" s="651"/>
      <c r="W122" s="1089"/>
      <c r="X122" s="651"/>
      <c r="Y122" s="862"/>
      <c r="Z122" s="118"/>
    </row>
    <row r="123" ht="21.75" customHeight="1">
      <c r="A123" s="60">
        <v>118.0</v>
      </c>
      <c r="B123" s="362" t="s">
        <v>1155</v>
      </c>
      <c r="C123" s="645"/>
      <c r="D123" s="645"/>
      <c r="E123" s="362"/>
      <c r="F123" s="364"/>
      <c r="G123" s="1261">
        <v>45331.0</v>
      </c>
      <c r="H123" s="130" t="b">
        <v>0</v>
      </c>
      <c r="I123" s="1382">
        <v>45395.0</v>
      </c>
      <c r="J123" s="106" t="b">
        <v>0</v>
      </c>
      <c r="K123" s="1382">
        <v>45578.0</v>
      </c>
      <c r="L123" s="99" t="b">
        <v>0</v>
      </c>
      <c r="M123" s="1454"/>
      <c r="N123" s="1455" t="b">
        <v>0</v>
      </c>
      <c r="O123" s="859"/>
      <c r="P123" s="1457" t="b">
        <v>0</v>
      </c>
      <c r="Q123" s="859"/>
      <c r="R123" s="401"/>
      <c r="S123" s="859"/>
      <c r="T123" s="401"/>
      <c r="U123" s="859"/>
      <c r="V123" s="401"/>
      <c r="W123" s="859"/>
      <c r="X123" s="401"/>
      <c r="Y123" s="862"/>
      <c r="Z123" s="118"/>
    </row>
    <row r="124" ht="21.75" customHeight="1">
      <c r="A124" s="60">
        <v>118.0</v>
      </c>
      <c r="B124" s="362" t="s">
        <v>1156</v>
      </c>
      <c r="C124" s="645"/>
      <c r="D124" s="645"/>
      <c r="E124" s="362"/>
      <c r="F124" s="364"/>
      <c r="G124" s="1261">
        <v>45332.0</v>
      </c>
      <c r="H124" s="130" t="b">
        <v>0</v>
      </c>
      <c r="I124" s="1382">
        <v>45396.0</v>
      </c>
      <c r="J124" s="106" t="b">
        <v>0</v>
      </c>
      <c r="K124" s="1382">
        <v>45579.0</v>
      </c>
      <c r="L124" s="99" t="b">
        <v>0</v>
      </c>
      <c r="M124" s="1454"/>
      <c r="N124" s="1455" t="b">
        <v>0</v>
      </c>
      <c r="O124" s="859"/>
      <c r="P124" s="1457" t="b">
        <v>0</v>
      </c>
      <c r="Q124" s="859"/>
      <c r="R124" s="401"/>
      <c r="S124" s="859"/>
      <c r="T124" s="401"/>
      <c r="U124" s="859"/>
      <c r="V124" s="401"/>
      <c r="W124" s="859"/>
      <c r="X124" s="401"/>
      <c r="Y124" s="862"/>
      <c r="Z124" s="118"/>
    </row>
    <row r="125" ht="21.75" customHeight="1">
      <c r="A125" s="401"/>
      <c r="B125" s="313"/>
      <c r="C125" s="401"/>
      <c r="D125" s="401"/>
      <c r="E125" s="313"/>
      <c r="F125" s="467"/>
      <c r="G125" s="1458"/>
      <c r="H125" s="1455" t="b">
        <v>0</v>
      </c>
      <c r="I125" s="1458"/>
      <c r="J125" s="401" t="b">
        <v>0</v>
      </c>
      <c r="K125" s="1458"/>
      <c r="L125" s="1455" t="b">
        <v>0</v>
      </c>
      <c r="M125" s="1454"/>
      <c r="N125" s="1455" t="b">
        <v>0</v>
      </c>
      <c r="O125" s="859"/>
      <c r="P125" s="1457" t="b">
        <v>0</v>
      </c>
      <c r="Q125" s="859"/>
      <c r="R125" s="401"/>
      <c r="S125" s="859"/>
      <c r="T125" s="401"/>
      <c r="U125" s="859"/>
      <c r="V125" s="401"/>
      <c r="W125" s="859"/>
      <c r="X125" s="401"/>
      <c r="Y125" s="862"/>
      <c r="Z125" s="118"/>
    </row>
  </sheetData>
  <autoFilter ref="$A$3:$Y$117">
    <filterColumn colId="2">
      <filters>
        <filter val="Not renew"/>
        <filter val="Signed"/>
        <filter val="Paid"/>
        <filter val="Waiting"/>
        <filter val="Send"/>
      </filters>
    </filterColumn>
    <sortState ref="A3:Y117">
      <sortCondition ref="B3:B117"/>
      <sortCondition ref="I3:I117"/>
      <sortCondition descending="1" ref="J3:J117"/>
      <sortCondition ref="A3:A117"/>
    </sortState>
  </autoFilter>
  <mergeCells count="12">
    <mergeCell ref="U3:V3"/>
    <mergeCell ref="W3:X3"/>
    <mergeCell ref="A117:B117"/>
    <mergeCell ref="E117:F117"/>
    <mergeCell ref="G117:L117"/>
    <mergeCell ref="C1:Y1"/>
    <mergeCell ref="I3:J3"/>
    <mergeCell ref="K3:L3"/>
    <mergeCell ref="M3:N3"/>
    <mergeCell ref="O3:P3"/>
    <mergeCell ref="Q3:R3"/>
    <mergeCell ref="S3:T3"/>
  </mergeCells>
  <conditionalFormatting sqref="G4:Y125">
    <cfRule type="cellIs" dxfId="0" priority="1" operator="equal">
      <formula>"TRUE"</formula>
    </cfRule>
  </conditionalFormatting>
  <conditionalFormatting sqref="G4:Y125">
    <cfRule type="expression" dxfId="1" priority="2">
      <formula>AND(ISNUMBER(G4),TRUNC(G4)&lt;TODAY())</formula>
    </cfRule>
  </conditionalFormatting>
  <conditionalFormatting sqref="G4:Y125">
    <cfRule type="expression" dxfId="2" priority="3">
      <formula>AND(ISNUMBER(G4),TRUNC(G4)&gt;TODAY())</formula>
    </cfRule>
  </conditionalFormatting>
  <dataValidations>
    <dataValidation type="list" allowBlank="1" showErrorMessage="1" sqref="C4:C116 C118:C125">
      <formula1>"Send,Signed,Paid,Waiting,Not renew"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2" width="10.14"/>
    <col customWidth="1" min="3" max="3" width="37.71"/>
    <col customWidth="1" min="4" max="5" width="14.43"/>
    <col customWidth="1" min="6" max="6" width="17.29"/>
    <col customWidth="1" min="7" max="7" width="25.57"/>
    <col customWidth="1" min="8" max="8" width="20.43"/>
    <col customWidth="1" min="9" max="9" width="7.29"/>
    <col customWidth="1" min="10" max="10" width="10.86"/>
    <col customWidth="1" min="11" max="11" width="11.29"/>
    <col customWidth="1" min="12" max="12" width="7.29"/>
    <col customWidth="1" min="13" max="13" width="11.29"/>
    <col customWidth="1" min="14" max="14" width="7.29"/>
    <col customWidth="1" min="15" max="15" width="11.29"/>
    <col customWidth="1" min="16" max="16" width="7.29"/>
    <col customWidth="1" min="17" max="17" width="11.29"/>
    <col customWidth="1" min="18" max="18" width="7.29"/>
    <col customWidth="1" min="19" max="19" width="11.29"/>
    <col customWidth="1" min="20" max="20" width="7.29"/>
    <col customWidth="1" min="21" max="21" width="11.29"/>
    <col customWidth="1" min="22" max="22" width="7.29"/>
    <col customWidth="1" min="23" max="23" width="13.0"/>
    <col customWidth="1" min="24" max="24" width="7.29"/>
    <col customWidth="1" min="25" max="25" width="13.0"/>
    <col customWidth="1" min="26" max="26" width="7.29"/>
    <col customWidth="1" min="27" max="27" width="43.0"/>
    <col customWidth="1" hidden="1" min="28" max="28" width="69.57"/>
  </cols>
  <sheetData>
    <row r="1" ht="52.5" customHeight="1">
      <c r="A1" s="1"/>
      <c r="B1" s="749"/>
      <c r="C1" s="750" t="s">
        <v>1</v>
      </c>
      <c r="D1" s="5"/>
      <c r="E1" s="5"/>
      <c r="F1" s="5" t="s">
        <v>2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21"/>
      <c r="AB1" s="14"/>
    </row>
    <row r="2" ht="7.5" customHeight="1">
      <c r="A2" s="1"/>
      <c r="B2" s="1" t="s">
        <v>0</v>
      </c>
      <c r="C2" s="1"/>
      <c r="D2" s="1"/>
      <c r="E2" s="1"/>
      <c r="F2" s="1"/>
      <c r="G2" s="6"/>
      <c r="H2" s="1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37.5" customHeight="1">
      <c r="A3" s="758" t="s">
        <v>3</v>
      </c>
      <c r="B3" s="760" t="s">
        <v>6</v>
      </c>
      <c r="C3" s="23" t="s">
        <v>4</v>
      </c>
      <c r="D3" s="23" t="s">
        <v>5</v>
      </c>
      <c r="E3" s="23" t="s">
        <v>8</v>
      </c>
      <c r="F3" s="23" t="s">
        <v>9</v>
      </c>
      <c r="G3" s="27" t="s">
        <v>10</v>
      </c>
      <c r="H3" s="29" t="s">
        <v>11</v>
      </c>
      <c r="I3" s="35" t="s">
        <v>15</v>
      </c>
      <c r="J3" s="21"/>
      <c r="K3" s="39" t="s">
        <v>18</v>
      </c>
      <c r="L3" s="21"/>
      <c r="M3" s="39" t="s">
        <v>24</v>
      </c>
      <c r="N3" s="21"/>
      <c r="O3" s="39" t="s">
        <v>26</v>
      </c>
      <c r="P3" s="21"/>
      <c r="Q3" s="39" t="s">
        <v>27</v>
      </c>
      <c r="R3" s="21"/>
      <c r="S3" s="39" t="s">
        <v>30</v>
      </c>
      <c r="T3" s="21"/>
      <c r="U3" s="39" t="s">
        <v>32</v>
      </c>
      <c r="V3" s="21"/>
      <c r="W3" s="39" t="s">
        <v>33</v>
      </c>
      <c r="X3" s="21"/>
      <c r="Y3" s="39" t="s">
        <v>35</v>
      </c>
      <c r="Z3" s="21"/>
      <c r="AA3" s="41" t="s">
        <v>39</v>
      </c>
      <c r="AB3" s="29" t="s">
        <v>12</v>
      </c>
    </row>
    <row r="4" ht="22.5" customHeight="1">
      <c r="A4" s="401"/>
      <c r="B4" s="60">
        <v>1.0</v>
      </c>
      <c r="C4" s="1319" t="s">
        <v>1099</v>
      </c>
      <c r="D4" s="66"/>
      <c r="E4" s="66"/>
      <c r="F4" s="64" t="s">
        <v>51</v>
      </c>
      <c r="G4" s="70" t="s">
        <v>181</v>
      </c>
      <c r="H4" s="71" t="s">
        <v>1100</v>
      </c>
      <c r="I4" s="88">
        <f t="shared" ref="I4:I115" si="1">COUNTIFS(K4:AA4,"True")</f>
        <v>0</v>
      </c>
      <c r="J4" s="90">
        <v>4.0</v>
      </c>
      <c r="K4" s="92">
        <v>45061.0</v>
      </c>
      <c r="L4" s="99" t="b">
        <v>0</v>
      </c>
      <c r="M4" s="101">
        <v>45245.0</v>
      </c>
      <c r="N4" s="99" t="b">
        <v>0</v>
      </c>
      <c r="O4" s="101">
        <v>45427.0</v>
      </c>
      <c r="P4" s="99" t="b">
        <v>0</v>
      </c>
      <c r="Q4" s="107">
        <v>45611.0</v>
      </c>
      <c r="R4" s="106" t="b">
        <v>0</v>
      </c>
      <c r="S4" s="107"/>
      <c r="T4" s="106"/>
      <c r="U4" s="107"/>
      <c r="V4" s="106"/>
      <c r="W4" s="107"/>
      <c r="X4" s="106"/>
      <c r="Y4" s="107"/>
      <c r="Z4" s="106"/>
      <c r="AA4" s="262"/>
      <c r="AB4" s="146" t="s">
        <v>115</v>
      </c>
    </row>
    <row r="5" ht="22.5" customHeight="1">
      <c r="A5" s="131"/>
      <c r="B5" s="1320">
        <f>B87+1</f>
        <v>36</v>
      </c>
      <c r="C5" s="1319" t="s">
        <v>210</v>
      </c>
      <c r="D5" s="66" t="s">
        <v>286</v>
      </c>
      <c r="E5" s="66"/>
      <c r="F5" s="64" t="s">
        <v>51</v>
      </c>
      <c r="G5" s="70"/>
      <c r="H5" s="71"/>
      <c r="I5" s="88">
        <f t="shared" si="1"/>
        <v>0</v>
      </c>
      <c r="J5" s="90">
        <v>4.0</v>
      </c>
      <c r="K5" s="211">
        <v>45272.0</v>
      </c>
      <c r="L5" s="99" t="b">
        <v>0</v>
      </c>
      <c r="M5" s="171">
        <v>45457.0</v>
      </c>
      <c r="N5" s="99" t="b">
        <v>0</v>
      </c>
      <c r="O5" s="171">
        <v>45642.0</v>
      </c>
      <c r="P5" s="99" t="b">
        <v>0</v>
      </c>
      <c r="Q5" s="107">
        <v>45834.0</v>
      </c>
      <c r="R5" s="106" t="b">
        <v>0</v>
      </c>
      <c r="S5" s="107"/>
      <c r="T5" s="106"/>
      <c r="U5" s="107"/>
      <c r="V5" s="106"/>
      <c r="W5" s="107"/>
      <c r="X5" s="106"/>
      <c r="Y5" s="107"/>
      <c r="Z5" s="106"/>
      <c r="AA5" s="116"/>
      <c r="AB5" s="220" t="s">
        <v>204</v>
      </c>
    </row>
    <row r="6" ht="22.5" customHeight="1">
      <c r="A6" s="401"/>
      <c r="B6" s="60">
        <v>1.0</v>
      </c>
      <c r="C6" s="1319" t="s">
        <v>231</v>
      </c>
      <c r="D6" s="66" t="s">
        <v>137</v>
      </c>
      <c r="E6" s="66"/>
      <c r="F6" s="64" t="s">
        <v>51</v>
      </c>
      <c r="G6" s="70"/>
      <c r="H6" s="71" t="s">
        <v>319</v>
      </c>
      <c r="I6" s="88">
        <f t="shared" si="1"/>
        <v>0</v>
      </c>
      <c r="J6" s="90">
        <v>2.0</v>
      </c>
      <c r="K6" s="92">
        <v>45148.0</v>
      </c>
      <c r="L6" s="99" t="b">
        <v>0</v>
      </c>
      <c r="M6" s="101">
        <v>45334.0</v>
      </c>
      <c r="N6" s="99" t="b">
        <v>0</v>
      </c>
      <c r="O6" s="101"/>
      <c r="P6" s="99"/>
      <c r="Q6" s="107"/>
      <c r="R6" s="106" t="b">
        <v>0</v>
      </c>
      <c r="S6" s="107"/>
      <c r="T6" s="106"/>
      <c r="U6" s="107"/>
      <c r="V6" s="106"/>
      <c r="W6" s="107"/>
      <c r="X6" s="106"/>
      <c r="Y6" s="107"/>
      <c r="Z6" s="106"/>
      <c r="AA6" s="116"/>
      <c r="AB6" s="146" t="s">
        <v>127</v>
      </c>
    </row>
    <row r="7" ht="22.5" customHeight="1">
      <c r="A7" s="131"/>
      <c r="B7" s="1320" t="str">
        <f>B66+1</f>
        <v>#REF!</v>
      </c>
      <c r="C7" s="1319" t="s">
        <v>619</v>
      </c>
      <c r="D7" s="66" t="s">
        <v>472</v>
      </c>
      <c r="E7" s="66"/>
      <c r="F7" s="64" t="s">
        <v>51</v>
      </c>
      <c r="G7" s="70" t="s">
        <v>988</v>
      </c>
      <c r="H7" s="71" t="s">
        <v>989</v>
      </c>
      <c r="I7" s="88">
        <f t="shared" si="1"/>
        <v>0</v>
      </c>
      <c r="J7" s="90">
        <v>4.0</v>
      </c>
      <c r="K7" s="211">
        <v>45272.0</v>
      </c>
      <c r="L7" s="106" t="b">
        <v>0</v>
      </c>
      <c r="M7" s="171">
        <v>45457.0</v>
      </c>
      <c r="N7" s="99" t="b">
        <v>0</v>
      </c>
      <c r="O7" s="101">
        <v>45642.0</v>
      </c>
      <c r="P7" s="99" t="b">
        <v>0</v>
      </c>
      <c r="Q7" s="107">
        <v>45824.0</v>
      </c>
      <c r="R7" s="106" t="b">
        <v>0</v>
      </c>
      <c r="S7" s="107"/>
      <c r="T7" s="106"/>
      <c r="U7" s="107"/>
      <c r="V7" s="106"/>
      <c r="W7" s="107"/>
      <c r="X7" s="106"/>
      <c r="Y7" s="107"/>
      <c r="Z7" s="106"/>
      <c r="AA7" s="116"/>
      <c r="AB7" s="146" t="s">
        <v>107</v>
      </c>
    </row>
    <row r="8" ht="22.5" customHeight="1">
      <c r="A8" s="401"/>
      <c r="B8" s="60">
        <v>4.0</v>
      </c>
      <c r="C8" s="1322" t="s">
        <v>283</v>
      </c>
      <c r="D8" s="66" t="s">
        <v>498</v>
      </c>
      <c r="E8" s="589"/>
      <c r="F8" s="301" t="s">
        <v>51</v>
      </c>
      <c r="G8" s="305"/>
      <c r="H8" s="307"/>
      <c r="I8" s="88">
        <f t="shared" si="1"/>
        <v>3</v>
      </c>
      <c r="J8" s="90">
        <v>6.0</v>
      </c>
      <c r="K8" s="92">
        <v>44883.0</v>
      </c>
      <c r="L8" s="98" t="b">
        <v>1</v>
      </c>
      <c r="M8" s="101">
        <v>44655.0</v>
      </c>
      <c r="N8" s="98" t="b">
        <v>1</v>
      </c>
      <c r="O8" s="101">
        <v>45295.0</v>
      </c>
      <c r="P8" s="98" t="b">
        <v>1</v>
      </c>
      <c r="Q8" s="107">
        <v>45418.0</v>
      </c>
      <c r="R8" s="106" t="b">
        <v>0</v>
      </c>
      <c r="S8" s="107">
        <v>45569.0</v>
      </c>
      <c r="T8" s="106" t="b">
        <v>0</v>
      </c>
      <c r="U8" s="107">
        <v>45720.0</v>
      </c>
      <c r="V8" s="106" t="b">
        <v>0</v>
      </c>
      <c r="W8" s="107"/>
      <c r="X8" s="106"/>
      <c r="Y8" s="107"/>
      <c r="Z8" s="106"/>
      <c r="AA8" s="116"/>
      <c r="AB8" s="118"/>
    </row>
    <row r="9" ht="22.5" customHeight="1">
      <c r="A9" s="401"/>
      <c r="B9" s="60">
        <f>B10+1</f>
        <v>6</v>
      </c>
      <c r="C9" s="1324" t="s">
        <v>273</v>
      </c>
      <c r="D9" s="796" t="s">
        <v>472</v>
      </c>
      <c r="E9" s="1325"/>
      <c r="F9" s="337" t="s">
        <v>51</v>
      </c>
      <c r="G9" s="63" t="s">
        <v>140</v>
      </c>
      <c r="H9" s="340" t="s">
        <v>141</v>
      </c>
      <c r="I9" s="88">
        <f t="shared" si="1"/>
        <v>2</v>
      </c>
      <c r="J9" s="90">
        <v>4.0</v>
      </c>
      <c r="K9" s="559">
        <v>44881.0</v>
      </c>
      <c r="L9" s="98" t="b">
        <v>1</v>
      </c>
      <c r="M9" s="101">
        <v>45037.0</v>
      </c>
      <c r="N9" s="98" t="b">
        <v>1</v>
      </c>
      <c r="O9" s="101">
        <v>45272.0</v>
      </c>
      <c r="P9" s="98" t="b">
        <v>0</v>
      </c>
      <c r="Q9" s="107">
        <v>45392.0</v>
      </c>
      <c r="R9" s="106" t="b">
        <v>0</v>
      </c>
      <c r="S9" s="107"/>
      <c r="T9" s="106"/>
      <c r="U9" s="107"/>
      <c r="V9" s="106"/>
      <c r="W9" s="107"/>
      <c r="X9" s="106"/>
      <c r="Y9" s="107"/>
      <c r="Z9" s="106"/>
      <c r="AA9" s="116"/>
      <c r="AB9" s="131"/>
    </row>
    <row r="10" ht="22.5" customHeight="1">
      <c r="A10" s="401"/>
      <c r="B10" s="60">
        <v>5.0</v>
      </c>
      <c r="C10" s="1322" t="s">
        <v>291</v>
      </c>
      <c r="D10" s="66" t="s">
        <v>498</v>
      </c>
      <c r="E10" s="66"/>
      <c r="F10" s="64" t="s">
        <v>51</v>
      </c>
      <c r="G10" s="70" t="s">
        <v>293</v>
      </c>
      <c r="H10" s="71"/>
      <c r="I10" s="88">
        <f t="shared" si="1"/>
        <v>2</v>
      </c>
      <c r="J10" s="90">
        <v>2.0</v>
      </c>
      <c r="K10" s="92">
        <v>45007.0</v>
      </c>
      <c r="L10" s="106" t="b">
        <v>1</v>
      </c>
      <c r="M10" s="101">
        <v>45295.0</v>
      </c>
      <c r="N10" s="106" t="b">
        <v>1</v>
      </c>
      <c r="O10" s="101"/>
      <c r="P10" s="106" t="b">
        <v>0</v>
      </c>
      <c r="Q10" s="107"/>
      <c r="R10" s="106" t="b">
        <v>0</v>
      </c>
      <c r="S10" s="107"/>
      <c r="T10" s="106"/>
      <c r="U10" s="107"/>
      <c r="V10" s="106"/>
      <c r="W10" s="107"/>
      <c r="X10" s="106"/>
      <c r="Y10" s="107"/>
      <c r="Z10" s="106"/>
      <c r="AA10" s="288"/>
      <c r="AB10" s="401"/>
    </row>
    <row r="11" ht="22.5" customHeight="1">
      <c r="A11" s="401"/>
      <c r="B11" s="60">
        <f>B17+1</f>
        <v>11</v>
      </c>
      <c r="C11" s="1330" t="s">
        <v>1104</v>
      </c>
      <c r="D11" s="66" t="s">
        <v>217</v>
      </c>
      <c r="E11" s="66"/>
      <c r="F11" s="64" t="s">
        <v>51</v>
      </c>
      <c r="G11" s="70"/>
      <c r="H11" s="71" t="s">
        <v>843</v>
      </c>
      <c r="I11" s="88">
        <f t="shared" si="1"/>
        <v>1</v>
      </c>
      <c r="J11" s="90">
        <v>4.0</v>
      </c>
      <c r="K11" s="92">
        <v>44942.0</v>
      </c>
      <c r="L11" s="98" t="b">
        <v>1</v>
      </c>
      <c r="M11" s="101">
        <v>45268.0</v>
      </c>
      <c r="N11" s="98" t="b">
        <v>0</v>
      </c>
      <c r="O11" s="101">
        <v>45386.0</v>
      </c>
      <c r="P11" s="98" t="b">
        <v>0</v>
      </c>
      <c r="Q11" s="107">
        <v>45569.0</v>
      </c>
      <c r="R11" s="106" t="b">
        <v>0</v>
      </c>
      <c r="S11" s="107"/>
      <c r="T11" s="106"/>
      <c r="U11" s="107"/>
      <c r="V11" s="106"/>
      <c r="W11" s="107"/>
      <c r="X11" s="106"/>
      <c r="Y11" s="107"/>
      <c r="Z11" s="106"/>
      <c r="AA11" s="288"/>
      <c r="AB11" s="118"/>
    </row>
    <row r="12" ht="22.5" customHeight="1">
      <c r="A12" s="131"/>
      <c r="B12" s="1320" t="str">
        <f>B2+1</f>
        <v>#VALUE!</v>
      </c>
      <c r="C12" s="1331" t="s">
        <v>61</v>
      </c>
      <c r="D12" s="66" t="s">
        <v>48</v>
      </c>
      <c r="E12" s="66"/>
      <c r="F12" s="64" t="s">
        <v>51</v>
      </c>
      <c r="G12" s="70"/>
      <c r="H12" s="71"/>
      <c r="I12" s="88">
        <f t="shared" si="1"/>
        <v>1</v>
      </c>
      <c r="J12" s="90">
        <v>4.0</v>
      </c>
      <c r="K12" s="211">
        <v>45211.0</v>
      </c>
      <c r="L12" s="106" t="b">
        <v>1</v>
      </c>
      <c r="M12" s="171">
        <v>45439.0</v>
      </c>
      <c r="N12" s="99" t="b">
        <v>0</v>
      </c>
      <c r="O12" s="101">
        <v>45623.0</v>
      </c>
      <c r="P12" s="99" t="b">
        <v>0</v>
      </c>
      <c r="Q12" s="107">
        <v>45804.0</v>
      </c>
      <c r="R12" s="106" t="b">
        <v>0</v>
      </c>
      <c r="S12" s="107"/>
      <c r="T12" s="106"/>
      <c r="U12" s="107"/>
      <c r="V12" s="106"/>
      <c r="W12" s="107"/>
      <c r="X12" s="106"/>
      <c r="Y12" s="107"/>
      <c r="Z12" s="106"/>
      <c r="AA12" s="116"/>
      <c r="AB12" s="123" t="s">
        <v>172</v>
      </c>
    </row>
    <row r="13" ht="22.5" customHeight="1">
      <c r="A13" s="401"/>
      <c r="B13" s="60">
        <v>6.0</v>
      </c>
      <c r="C13" s="1319" t="s">
        <v>399</v>
      </c>
      <c r="D13" s="66"/>
      <c r="E13" s="66"/>
      <c r="F13" s="64" t="s">
        <v>51</v>
      </c>
      <c r="G13" s="70"/>
      <c r="H13" s="71"/>
      <c r="I13" s="88">
        <f t="shared" si="1"/>
        <v>1</v>
      </c>
      <c r="J13" s="90">
        <v>4.0</v>
      </c>
      <c r="K13" s="92">
        <v>45008.0</v>
      </c>
      <c r="L13" s="98" t="b">
        <v>1</v>
      </c>
      <c r="M13" s="101">
        <v>45188.0</v>
      </c>
      <c r="N13" s="98" t="b">
        <v>0</v>
      </c>
      <c r="O13" s="101">
        <v>45370.0</v>
      </c>
      <c r="P13" s="98" t="b">
        <v>0</v>
      </c>
      <c r="Q13" s="107">
        <v>45554.0</v>
      </c>
      <c r="R13" s="106" t="b">
        <v>0</v>
      </c>
      <c r="S13" s="107"/>
      <c r="T13" s="106"/>
      <c r="U13" s="107"/>
      <c r="V13" s="106"/>
      <c r="W13" s="107"/>
      <c r="X13" s="106"/>
      <c r="Y13" s="107"/>
      <c r="Z13" s="106"/>
      <c r="AA13" s="288"/>
      <c r="AB13" s="118"/>
    </row>
    <row r="14" ht="22.5" customHeight="1">
      <c r="A14" s="401"/>
      <c r="B14" s="60">
        <v>7.0</v>
      </c>
      <c r="C14" s="1319" t="s">
        <v>513</v>
      </c>
      <c r="D14" s="66" t="s">
        <v>702</v>
      </c>
      <c r="E14" s="66" t="s">
        <v>581</v>
      </c>
      <c r="F14" s="64" t="s">
        <v>51</v>
      </c>
      <c r="G14" s="70" t="s">
        <v>514</v>
      </c>
      <c r="H14" s="71" t="s">
        <v>515</v>
      </c>
      <c r="I14" s="88">
        <f t="shared" si="1"/>
        <v>1</v>
      </c>
      <c r="J14" s="90">
        <v>4.0</v>
      </c>
      <c r="K14" s="211">
        <v>45040.0</v>
      </c>
      <c r="L14" s="106" t="b">
        <v>1</v>
      </c>
      <c r="M14" s="171">
        <v>45255.0</v>
      </c>
      <c r="N14" s="1060" t="b">
        <v>0</v>
      </c>
      <c r="O14" s="171">
        <v>45404.0</v>
      </c>
      <c r="P14" s="1060" t="b">
        <v>0</v>
      </c>
      <c r="Q14" s="107">
        <v>45585.0</v>
      </c>
      <c r="R14" s="106" t="b">
        <v>0</v>
      </c>
      <c r="S14" s="107"/>
      <c r="T14" s="106"/>
      <c r="U14" s="107"/>
      <c r="V14" s="106"/>
      <c r="W14" s="107"/>
      <c r="X14" s="106"/>
      <c r="Y14" s="107"/>
      <c r="Z14" s="106"/>
      <c r="AA14" s="288"/>
      <c r="AB14" s="346" t="s">
        <v>290</v>
      </c>
    </row>
    <row r="15" ht="22.5" customHeight="1">
      <c r="A15" s="401"/>
      <c r="B15" s="60">
        <v>8.0</v>
      </c>
      <c r="C15" s="1319" t="s">
        <v>561</v>
      </c>
      <c r="D15" s="66"/>
      <c r="E15" s="66"/>
      <c r="F15" s="64" t="s">
        <v>51</v>
      </c>
      <c r="G15" s="70"/>
      <c r="H15" s="71" t="s">
        <v>562</v>
      </c>
      <c r="I15" s="88">
        <f t="shared" si="1"/>
        <v>2</v>
      </c>
      <c r="J15" s="90">
        <v>4.0</v>
      </c>
      <c r="K15" s="211">
        <v>44927.0</v>
      </c>
      <c r="L15" s="106" t="b">
        <v>1</v>
      </c>
      <c r="M15" s="171">
        <v>45085.0</v>
      </c>
      <c r="N15" s="106" t="b">
        <v>1</v>
      </c>
      <c r="O15" s="171">
        <v>45266.0</v>
      </c>
      <c r="P15" s="106" t="b">
        <v>0</v>
      </c>
      <c r="Q15" s="107">
        <v>45449.0</v>
      </c>
      <c r="R15" s="106" t="b">
        <v>0</v>
      </c>
      <c r="S15" s="107"/>
      <c r="T15" s="106"/>
      <c r="U15" s="107"/>
      <c r="V15" s="106"/>
      <c r="W15" s="107"/>
      <c r="X15" s="106"/>
      <c r="Y15" s="107"/>
      <c r="Z15" s="106"/>
      <c r="AA15" s="116"/>
      <c r="AB15" s="335" t="s">
        <v>196</v>
      </c>
    </row>
    <row r="16" ht="22.5" customHeight="1">
      <c r="A16" s="401"/>
      <c r="B16" s="60">
        <v>9.0</v>
      </c>
      <c r="C16" s="1335" t="s">
        <v>547</v>
      </c>
      <c r="D16" s="66"/>
      <c r="E16" s="66"/>
      <c r="F16" s="64" t="s">
        <v>51</v>
      </c>
      <c r="G16" s="581" t="s">
        <v>548</v>
      </c>
      <c r="H16" s="71" t="s">
        <v>549</v>
      </c>
      <c r="I16" s="88">
        <f t="shared" si="1"/>
        <v>4</v>
      </c>
      <c r="J16" s="90">
        <v>6.0</v>
      </c>
      <c r="K16" s="211">
        <v>44562.0</v>
      </c>
      <c r="L16" s="106" t="b">
        <v>1</v>
      </c>
      <c r="M16" s="171">
        <v>44562.0</v>
      </c>
      <c r="N16" s="106" t="b">
        <v>1</v>
      </c>
      <c r="O16" s="171">
        <v>45017.0</v>
      </c>
      <c r="P16" s="106" t="b">
        <v>1</v>
      </c>
      <c r="Q16" s="107">
        <v>45216.0</v>
      </c>
      <c r="R16" s="106" t="b">
        <v>1</v>
      </c>
      <c r="S16" s="107">
        <v>45384.0</v>
      </c>
      <c r="T16" s="106" t="b">
        <v>0</v>
      </c>
      <c r="U16" s="107">
        <v>45567.0</v>
      </c>
      <c r="V16" s="106" t="b">
        <v>0</v>
      </c>
      <c r="W16" s="107"/>
      <c r="X16" s="106"/>
      <c r="Y16" s="107"/>
      <c r="Z16" s="106"/>
      <c r="AA16" s="116"/>
      <c r="AB16" s="220" t="s">
        <v>99</v>
      </c>
    </row>
    <row r="17" ht="22.5" customHeight="1">
      <c r="A17" s="401"/>
      <c r="B17" s="60">
        <v>10.0</v>
      </c>
      <c r="C17" s="1331" t="s">
        <v>522</v>
      </c>
      <c r="D17" s="66"/>
      <c r="E17" s="66"/>
      <c r="F17" s="64" t="s">
        <v>51</v>
      </c>
      <c r="G17" s="70" t="s">
        <v>523</v>
      </c>
      <c r="H17" s="71" t="s">
        <v>524</v>
      </c>
      <c r="I17" s="88">
        <f t="shared" si="1"/>
        <v>1</v>
      </c>
      <c r="J17" s="90">
        <v>4.0</v>
      </c>
      <c r="K17" s="211">
        <v>45153.0</v>
      </c>
      <c r="L17" s="106" t="b">
        <v>1</v>
      </c>
      <c r="M17" s="171">
        <v>45337.0</v>
      </c>
      <c r="N17" s="99" t="b">
        <v>0</v>
      </c>
      <c r="O17" s="171">
        <v>45516.0</v>
      </c>
      <c r="P17" s="99" t="b">
        <v>0</v>
      </c>
      <c r="Q17" s="107">
        <v>45699.0</v>
      </c>
      <c r="R17" s="106" t="b">
        <v>0</v>
      </c>
      <c r="S17" s="107"/>
      <c r="T17" s="106"/>
      <c r="U17" s="107"/>
      <c r="V17" s="106"/>
      <c r="W17" s="107"/>
      <c r="X17" s="106"/>
      <c r="Y17" s="107"/>
      <c r="Z17" s="106"/>
      <c r="AA17" s="116"/>
      <c r="AB17" s="123" t="s">
        <v>225</v>
      </c>
    </row>
    <row r="18" ht="22.5" customHeight="1">
      <c r="A18" s="401"/>
      <c r="B18" s="60">
        <v>11.0</v>
      </c>
      <c r="C18" s="1322" t="s">
        <v>544</v>
      </c>
      <c r="D18" s="66"/>
      <c r="E18" s="66"/>
      <c r="F18" s="64" t="s">
        <v>51</v>
      </c>
      <c r="G18" s="70"/>
      <c r="H18" s="71"/>
      <c r="I18" s="88">
        <f t="shared" si="1"/>
        <v>1</v>
      </c>
      <c r="J18" s="90">
        <v>4.0</v>
      </c>
      <c r="K18" s="92">
        <v>45216.0</v>
      </c>
      <c r="L18" s="106" t="b">
        <v>1</v>
      </c>
      <c r="M18" s="101">
        <v>45307.0</v>
      </c>
      <c r="N18" s="99" t="b">
        <v>0</v>
      </c>
      <c r="O18" s="101">
        <v>45444.0</v>
      </c>
      <c r="P18" s="106" t="b">
        <v>0</v>
      </c>
      <c r="Q18" s="107">
        <v>45627.0</v>
      </c>
      <c r="R18" s="106" t="b">
        <v>0</v>
      </c>
      <c r="S18" s="107"/>
      <c r="T18" s="106"/>
      <c r="U18" s="107"/>
      <c r="V18" s="106"/>
      <c r="W18" s="107"/>
      <c r="X18" s="106"/>
      <c r="Y18" s="107"/>
      <c r="Z18" s="106"/>
      <c r="AA18" s="116"/>
      <c r="AB18" s="118"/>
    </row>
    <row r="19" ht="22.5" customHeight="1">
      <c r="A19" s="131"/>
      <c r="B19" s="1320">
        <f>B51+1</f>
        <v>36</v>
      </c>
      <c r="C19" s="70" t="s">
        <v>439</v>
      </c>
      <c r="D19" s="66" t="s">
        <v>472</v>
      </c>
      <c r="E19" s="66"/>
      <c r="F19" s="64" t="s">
        <v>51</v>
      </c>
      <c r="G19" s="70" t="s">
        <v>441</v>
      </c>
      <c r="H19" s="71" t="s">
        <v>442</v>
      </c>
      <c r="I19" s="88">
        <f t="shared" si="1"/>
        <v>2</v>
      </c>
      <c r="J19" s="90">
        <v>4.0</v>
      </c>
      <c r="K19" s="92">
        <v>44562.0</v>
      </c>
      <c r="L19" s="98" t="b">
        <v>1</v>
      </c>
      <c r="M19" s="101">
        <v>45091.0</v>
      </c>
      <c r="N19" s="98" t="b">
        <v>1</v>
      </c>
      <c r="O19" s="101">
        <v>45271.0</v>
      </c>
      <c r="P19" s="98" t="b">
        <v>0</v>
      </c>
      <c r="Q19" s="107">
        <v>45453.0</v>
      </c>
      <c r="R19" s="106" t="b">
        <v>0</v>
      </c>
      <c r="S19" s="107"/>
      <c r="T19" s="106"/>
      <c r="U19" s="107"/>
      <c r="V19" s="106"/>
      <c r="W19" s="107"/>
      <c r="X19" s="106"/>
      <c r="Y19" s="107"/>
      <c r="Z19" s="106"/>
      <c r="AA19" s="288"/>
      <c r="AB19" s="118"/>
    </row>
    <row r="20" ht="22.5" customHeight="1">
      <c r="A20" s="401"/>
      <c r="B20" s="60">
        <v>12.0</v>
      </c>
      <c r="C20" s="1331" t="s">
        <v>554</v>
      </c>
      <c r="D20" s="66" t="s">
        <v>1115</v>
      </c>
      <c r="E20" s="66"/>
      <c r="F20" s="64" t="s">
        <v>51</v>
      </c>
      <c r="G20" s="70"/>
      <c r="H20" s="71" t="s">
        <v>795</v>
      </c>
      <c r="I20" s="88">
        <f t="shared" si="1"/>
        <v>1</v>
      </c>
      <c r="J20" s="90">
        <v>4.0</v>
      </c>
      <c r="K20" s="92">
        <v>45216.0</v>
      </c>
      <c r="L20" s="106" t="b">
        <v>1</v>
      </c>
      <c r="M20" s="171">
        <v>45307.0</v>
      </c>
      <c r="N20" s="1060" t="b">
        <v>0</v>
      </c>
      <c r="O20" s="171">
        <v>45444.0</v>
      </c>
      <c r="P20" s="1060" t="b">
        <v>0</v>
      </c>
      <c r="Q20" s="107">
        <v>45627.0</v>
      </c>
      <c r="R20" s="106" t="b">
        <v>0</v>
      </c>
      <c r="S20" s="107"/>
      <c r="T20" s="106"/>
      <c r="U20" s="107"/>
      <c r="V20" s="106"/>
      <c r="W20" s="107"/>
      <c r="X20" s="106"/>
      <c r="Y20" s="107"/>
      <c r="Z20" s="106"/>
      <c r="AA20" s="288"/>
      <c r="AB20" s="131"/>
    </row>
    <row r="21" ht="22.5" customHeight="1">
      <c r="A21" s="401"/>
      <c r="B21" s="60">
        <v>13.0</v>
      </c>
      <c r="C21" s="70" t="s">
        <v>485</v>
      </c>
      <c r="D21" s="589"/>
      <c r="E21" s="589"/>
      <c r="F21" s="301" t="s">
        <v>51</v>
      </c>
      <c r="G21" s="70" t="s">
        <v>487</v>
      </c>
      <c r="H21" s="71" t="s">
        <v>488</v>
      </c>
      <c r="I21" s="88">
        <f t="shared" si="1"/>
        <v>3</v>
      </c>
      <c r="J21" s="90">
        <v>8.0</v>
      </c>
      <c r="K21" s="211">
        <v>44562.0</v>
      </c>
      <c r="L21" s="106" t="b">
        <v>1</v>
      </c>
      <c r="M21" s="171">
        <v>44713.0</v>
      </c>
      <c r="N21" s="106" t="b">
        <v>1</v>
      </c>
      <c r="O21" s="171">
        <v>44927.0</v>
      </c>
      <c r="P21" s="106" t="b">
        <v>1</v>
      </c>
      <c r="Q21" s="101">
        <v>45078.0</v>
      </c>
      <c r="R21" s="106" t="b">
        <v>0</v>
      </c>
      <c r="S21" s="107">
        <v>45240.0</v>
      </c>
      <c r="T21" s="106" t="b">
        <v>0</v>
      </c>
      <c r="U21" s="107">
        <v>45422.0</v>
      </c>
      <c r="V21" s="106" t="b">
        <v>0</v>
      </c>
      <c r="W21" s="107">
        <v>45607.0</v>
      </c>
      <c r="X21" s="106" t="b">
        <v>0</v>
      </c>
      <c r="Y21" s="107">
        <v>45789.0</v>
      </c>
      <c r="Z21" s="106" t="b">
        <v>0</v>
      </c>
      <c r="AA21" s="116"/>
      <c r="AB21" s="273" t="s">
        <v>139</v>
      </c>
    </row>
    <row r="22" ht="22.5" customHeight="1">
      <c r="A22" s="401"/>
      <c r="B22" s="60">
        <v>14.0</v>
      </c>
      <c r="C22" s="125" t="s">
        <v>404</v>
      </c>
      <c r="D22" s="290"/>
      <c r="E22" s="290"/>
      <c r="F22" s="265" t="s">
        <v>51</v>
      </c>
      <c r="G22" s="125"/>
      <c r="H22" s="266"/>
      <c r="I22" s="88">
        <f t="shared" si="1"/>
        <v>3</v>
      </c>
      <c r="J22" s="269">
        <v>4.0</v>
      </c>
      <c r="K22" s="272">
        <v>44881.0</v>
      </c>
      <c r="L22" s="164" t="b">
        <v>1</v>
      </c>
      <c r="M22" s="274">
        <v>44999.0</v>
      </c>
      <c r="N22" s="164" t="b">
        <v>1</v>
      </c>
      <c r="O22" s="274">
        <v>45120.0</v>
      </c>
      <c r="P22" s="164" t="b">
        <v>1</v>
      </c>
      <c r="Q22" s="107">
        <v>45306.0</v>
      </c>
      <c r="R22" s="164" t="b">
        <v>0</v>
      </c>
      <c r="S22" s="107"/>
      <c r="T22" s="164"/>
      <c r="U22" s="107"/>
      <c r="V22" s="164"/>
      <c r="W22" s="107"/>
      <c r="X22" s="164"/>
      <c r="Y22" s="107"/>
      <c r="Z22" s="164"/>
      <c r="AA22" s="283"/>
      <c r="AB22" s="353" t="s">
        <v>302</v>
      </c>
    </row>
    <row r="23" ht="22.5" customHeight="1">
      <c r="A23" s="401"/>
      <c r="B23" s="60">
        <v>15.0</v>
      </c>
      <c r="C23" s="305" t="s">
        <v>938</v>
      </c>
      <c r="D23" s="66"/>
      <c r="E23" s="66"/>
      <c r="F23" s="64" t="s">
        <v>51</v>
      </c>
      <c r="G23" s="548" t="s">
        <v>526</v>
      </c>
      <c r="H23" s="71" t="s">
        <v>527</v>
      </c>
      <c r="I23" s="88">
        <f t="shared" si="1"/>
        <v>2</v>
      </c>
      <c r="J23" s="90">
        <v>6.0</v>
      </c>
      <c r="K23" s="211">
        <v>44873.0</v>
      </c>
      <c r="L23" s="106" t="b">
        <v>1</v>
      </c>
      <c r="M23" s="171">
        <v>44973.0</v>
      </c>
      <c r="N23" s="106" t="b">
        <v>1</v>
      </c>
      <c r="O23" s="274">
        <v>45338.0</v>
      </c>
      <c r="P23" s="106" t="b">
        <v>0</v>
      </c>
      <c r="Q23" s="107">
        <v>45489.0</v>
      </c>
      <c r="R23" s="106" t="b">
        <v>0</v>
      </c>
      <c r="S23" s="101">
        <v>45642.0</v>
      </c>
      <c r="T23" s="106" t="b">
        <v>0</v>
      </c>
      <c r="U23" s="101">
        <v>45428.0</v>
      </c>
      <c r="V23" s="106" t="b">
        <v>0</v>
      </c>
      <c r="W23" s="107"/>
      <c r="X23" s="106"/>
      <c r="Y23" s="107"/>
      <c r="Z23" s="106"/>
      <c r="AA23" s="116" t="s">
        <v>58</v>
      </c>
      <c r="AB23" s="353" t="s">
        <v>317</v>
      </c>
    </row>
    <row r="24" ht="22.5" customHeight="1">
      <c r="A24" s="401"/>
      <c r="B24" s="60">
        <v>16.0</v>
      </c>
      <c r="C24" s="70" t="s">
        <v>428</v>
      </c>
      <c r="D24" s="66"/>
      <c r="E24" s="66"/>
      <c r="F24" s="64" t="s">
        <v>786</v>
      </c>
      <c r="G24" s="70" t="s">
        <v>1119</v>
      </c>
      <c r="H24" s="71">
        <v>9.26478946E8</v>
      </c>
      <c r="I24" s="88">
        <f t="shared" si="1"/>
        <v>2</v>
      </c>
      <c r="J24" s="90">
        <v>2.0</v>
      </c>
      <c r="K24" s="92">
        <v>44562.0</v>
      </c>
      <c r="L24" s="106" t="b">
        <v>1</v>
      </c>
      <c r="M24" s="101">
        <v>45086.0</v>
      </c>
      <c r="N24" s="106" t="b">
        <v>1</v>
      </c>
      <c r="O24" s="101"/>
      <c r="P24" s="106"/>
      <c r="Q24" s="107"/>
      <c r="R24" s="106"/>
      <c r="S24" s="107"/>
      <c r="T24" s="106"/>
      <c r="U24" s="107"/>
      <c r="V24" s="106"/>
      <c r="W24" s="107"/>
      <c r="X24" s="106"/>
      <c r="Y24" s="107"/>
      <c r="Z24" s="106"/>
      <c r="AA24" s="116" t="s">
        <v>58</v>
      </c>
      <c r="AB24" s="131"/>
    </row>
    <row r="25" ht="22.5" customHeight="1">
      <c r="A25" s="401"/>
      <c r="B25" s="60">
        <f>B24+1</f>
        <v>17</v>
      </c>
      <c r="C25" s="70" t="s">
        <v>943</v>
      </c>
      <c r="D25" s="66" t="s">
        <v>648</v>
      </c>
      <c r="E25" s="66"/>
      <c r="F25" s="64" t="s">
        <v>51</v>
      </c>
      <c r="G25" s="70" t="s">
        <v>649</v>
      </c>
      <c r="H25" s="71" t="s">
        <v>650</v>
      </c>
      <c r="I25" s="88">
        <f t="shared" si="1"/>
        <v>2</v>
      </c>
      <c r="J25" s="90">
        <v>4.0</v>
      </c>
      <c r="K25" s="92">
        <v>44833.0</v>
      </c>
      <c r="L25" s="98" t="b">
        <v>1</v>
      </c>
      <c r="M25" s="101">
        <v>45014.0</v>
      </c>
      <c r="N25" s="98" t="b">
        <v>1</v>
      </c>
      <c r="O25" s="101">
        <v>45259.0</v>
      </c>
      <c r="P25" s="98" t="b">
        <v>0</v>
      </c>
      <c r="Q25" s="107">
        <v>45421.0</v>
      </c>
      <c r="R25" s="164" t="b">
        <v>0</v>
      </c>
      <c r="S25" s="107">
        <v>45604.0</v>
      </c>
      <c r="T25" s="106" t="b">
        <v>0</v>
      </c>
      <c r="U25" s="107">
        <v>45786.0</v>
      </c>
      <c r="V25" s="164" t="b">
        <v>0</v>
      </c>
      <c r="W25" s="107"/>
      <c r="X25" s="106"/>
      <c r="Y25" s="107"/>
      <c r="Z25" s="106"/>
      <c r="AA25" s="288"/>
      <c r="AB25" s="118"/>
    </row>
    <row r="26" ht="22.5" customHeight="1">
      <c r="A26" s="401"/>
      <c r="B26" s="60">
        <v>17.0</v>
      </c>
      <c r="C26" s="63" t="s">
        <v>534</v>
      </c>
      <c r="D26" s="796"/>
      <c r="E26" s="796"/>
      <c r="F26" s="556" t="s">
        <v>55</v>
      </c>
      <c r="G26" s="332"/>
      <c r="H26" s="557"/>
      <c r="I26" s="88">
        <f t="shared" si="1"/>
        <v>2</v>
      </c>
      <c r="J26" s="90">
        <v>2.0</v>
      </c>
      <c r="K26" s="559">
        <v>44784.0</v>
      </c>
      <c r="L26" s="98" t="b">
        <v>1</v>
      </c>
      <c r="M26" s="101">
        <v>45048.0</v>
      </c>
      <c r="N26" s="98" t="b">
        <v>1</v>
      </c>
      <c r="O26" s="101"/>
      <c r="P26" s="98"/>
      <c r="Q26" s="107"/>
      <c r="R26" s="106"/>
      <c r="S26" s="107"/>
      <c r="T26" s="106"/>
      <c r="U26" s="107"/>
      <c r="V26" s="106"/>
      <c r="W26" s="107"/>
      <c r="X26" s="106"/>
      <c r="Y26" s="107"/>
      <c r="Z26" s="106"/>
      <c r="AA26" s="116" t="s">
        <v>58</v>
      </c>
      <c r="AB26" s="245"/>
    </row>
    <row r="27" ht="22.5" customHeight="1">
      <c r="A27" s="401"/>
      <c r="B27" s="60">
        <f>B25+1</f>
        <v>18</v>
      </c>
      <c r="C27" s="1350" t="s">
        <v>537</v>
      </c>
      <c r="D27" s="66" t="s">
        <v>1126</v>
      </c>
      <c r="E27" s="589"/>
      <c r="F27" s="301" t="s">
        <v>51</v>
      </c>
      <c r="G27" s="305"/>
      <c r="H27" s="71" t="s">
        <v>538</v>
      </c>
      <c r="I27" s="88">
        <f t="shared" si="1"/>
        <v>3</v>
      </c>
      <c r="J27" s="90">
        <v>4.0</v>
      </c>
      <c r="K27" s="92">
        <v>44880.0</v>
      </c>
      <c r="L27" s="106" t="b">
        <v>1</v>
      </c>
      <c r="M27" s="101">
        <v>45017.0</v>
      </c>
      <c r="N27" s="106" t="b">
        <v>1</v>
      </c>
      <c r="O27" s="101">
        <v>45253.0</v>
      </c>
      <c r="P27" s="106" t="b">
        <v>1</v>
      </c>
      <c r="Q27" s="107">
        <v>45435.0</v>
      </c>
      <c r="R27" s="106" t="b">
        <v>0</v>
      </c>
      <c r="S27" s="101"/>
      <c r="T27" s="106"/>
      <c r="U27" s="101"/>
      <c r="V27" s="106"/>
      <c r="W27" s="101"/>
      <c r="X27" s="106"/>
      <c r="Y27" s="101"/>
      <c r="Z27" s="106"/>
      <c r="AA27" s="116"/>
      <c r="AB27" s="146" t="s">
        <v>398</v>
      </c>
    </row>
    <row r="28" ht="22.5" customHeight="1">
      <c r="A28" s="401"/>
      <c r="B28" s="60">
        <f>B27+1</f>
        <v>19</v>
      </c>
      <c r="C28" s="70" t="s">
        <v>952</v>
      </c>
      <c r="D28" s="66" t="s">
        <v>996</v>
      </c>
      <c r="E28" s="66"/>
      <c r="F28" s="64" t="s">
        <v>51</v>
      </c>
      <c r="G28" s="70" t="s">
        <v>899</v>
      </c>
      <c r="H28" s="71">
        <v>8.3650888E8</v>
      </c>
      <c r="I28" s="88">
        <f t="shared" si="1"/>
        <v>2</v>
      </c>
      <c r="J28" s="90">
        <v>4.0</v>
      </c>
      <c r="K28" s="92">
        <v>44832.0</v>
      </c>
      <c r="L28" s="106" t="b">
        <v>1</v>
      </c>
      <c r="M28" s="101">
        <v>45014.0</v>
      </c>
      <c r="N28" s="106" t="b">
        <v>1</v>
      </c>
      <c r="O28" s="101">
        <v>45259.0</v>
      </c>
      <c r="P28" s="106" t="b">
        <v>0</v>
      </c>
      <c r="Q28" s="107">
        <v>45421.0</v>
      </c>
      <c r="R28" s="164" t="b">
        <v>0</v>
      </c>
      <c r="S28" s="107">
        <v>45604.0</v>
      </c>
      <c r="T28" s="106" t="b">
        <v>0</v>
      </c>
      <c r="U28" s="107">
        <v>45786.0</v>
      </c>
      <c r="V28" s="164" t="b">
        <v>0</v>
      </c>
      <c r="W28" s="107"/>
      <c r="X28" s="106"/>
      <c r="Y28" s="107"/>
      <c r="Z28" s="106"/>
      <c r="AA28" s="288"/>
      <c r="AB28" s="131"/>
    </row>
    <row r="29" ht="22.5" customHeight="1">
      <c r="A29" s="401"/>
      <c r="B29" s="60">
        <v>18.0</v>
      </c>
      <c r="C29" s="63" t="s">
        <v>567</v>
      </c>
      <c r="D29" s="589"/>
      <c r="E29" s="589"/>
      <c r="F29" s="64" t="s">
        <v>786</v>
      </c>
      <c r="G29" s="305"/>
      <c r="H29" s="307"/>
      <c r="I29" s="88">
        <f t="shared" si="1"/>
        <v>2</v>
      </c>
      <c r="J29" s="90">
        <v>2.0</v>
      </c>
      <c r="K29" s="211">
        <v>44880.0</v>
      </c>
      <c r="L29" s="106" t="b">
        <v>1</v>
      </c>
      <c r="M29" s="171">
        <v>45216.0</v>
      </c>
      <c r="N29" s="106" t="b">
        <v>1</v>
      </c>
      <c r="O29" s="171"/>
      <c r="P29" s="106"/>
      <c r="Q29" s="107"/>
      <c r="R29" s="106"/>
      <c r="S29" s="107"/>
      <c r="T29" s="106"/>
      <c r="U29" s="107"/>
      <c r="V29" s="106"/>
      <c r="W29" s="107"/>
      <c r="X29" s="106"/>
      <c r="Y29" s="107"/>
      <c r="Z29" s="106"/>
      <c r="AA29" s="288"/>
      <c r="AB29" s="313"/>
    </row>
    <row r="30" ht="22.5" customHeight="1">
      <c r="A30" s="401"/>
      <c r="B30" s="60">
        <v>19.0</v>
      </c>
      <c r="C30" s="61" t="s">
        <v>541</v>
      </c>
      <c r="D30" s="1355"/>
      <c r="E30" s="1355"/>
      <c r="F30" s="64" t="s">
        <v>786</v>
      </c>
      <c r="G30" s="569"/>
      <c r="H30" s="233" t="s">
        <v>1129</v>
      </c>
      <c r="I30" s="88">
        <f t="shared" si="1"/>
        <v>2</v>
      </c>
      <c r="J30" s="234">
        <v>2.0</v>
      </c>
      <c r="K30" s="235">
        <v>44904.0</v>
      </c>
      <c r="L30" s="237" t="b">
        <v>1</v>
      </c>
      <c r="M30" s="238">
        <v>45087.0</v>
      </c>
      <c r="N30" s="237" t="b">
        <v>1</v>
      </c>
      <c r="O30" s="238"/>
      <c r="P30" s="237"/>
      <c r="Q30" s="242"/>
      <c r="R30" s="237"/>
      <c r="S30" s="242"/>
      <c r="T30" s="237"/>
      <c r="U30" s="242"/>
      <c r="V30" s="237"/>
      <c r="W30" s="242"/>
      <c r="X30" s="237"/>
      <c r="Y30" s="242"/>
      <c r="Z30" s="237"/>
      <c r="AA30" s="578"/>
      <c r="AB30" s="220" t="s">
        <v>241</v>
      </c>
    </row>
    <row r="31" ht="22.5" customHeight="1">
      <c r="A31" s="401"/>
      <c r="B31" s="60">
        <v>20.0</v>
      </c>
      <c r="C31" s="1356" t="s">
        <v>504</v>
      </c>
      <c r="D31" s="66" t="s">
        <v>498</v>
      </c>
      <c r="E31" s="66"/>
      <c r="F31" s="64" t="s">
        <v>51</v>
      </c>
      <c r="G31" s="70" t="s">
        <v>846</v>
      </c>
      <c r="H31" s="71" t="s">
        <v>848</v>
      </c>
      <c r="I31" s="88">
        <f t="shared" si="1"/>
        <v>0</v>
      </c>
      <c r="J31" s="90">
        <v>4.0</v>
      </c>
      <c r="K31" s="92">
        <v>45295.0</v>
      </c>
      <c r="L31" s="130" t="b">
        <v>0</v>
      </c>
      <c r="M31" s="101">
        <v>45450.0</v>
      </c>
      <c r="N31" s="98" t="b">
        <v>0</v>
      </c>
      <c r="O31" s="101">
        <v>45635.0</v>
      </c>
      <c r="P31" s="130" t="b">
        <v>0</v>
      </c>
      <c r="Q31" s="107">
        <v>45817.0</v>
      </c>
      <c r="R31" s="106" t="b">
        <v>0</v>
      </c>
      <c r="S31" s="107"/>
      <c r="T31" s="106"/>
      <c r="U31" s="107"/>
      <c r="V31" s="106"/>
      <c r="W31" s="107"/>
      <c r="X31" s="106"/>
      <c r="Y31" s="107"/>
      <c r="Z31" s="106"/>
      <c r="AA31" s="116"/>
      <c r="AB31" s="118"/>
    </row>
    <row r="32" ht="22.5" customHeight="1">
      <c r="A32" s="131"/>
      <c r="B32" s="1320">
        <f>B38+1</f>
        <v>27</v>
      </c>
      <c r="C32" s="1331" t="s">
        <v>478</v>
      </c>
      <c r="D32" s="66" t="s">
        <v>1130</v>
      </c>
      <c r="E32" s="66"/>
      <c r="F32" s="64" t="s">
        <v>51</v>
      </c>
      <c r="G32" s="70" t="s">
        <v>491</v>
      </c>
      <c r="H32" s="71"/>
      <c r="I32" s="88">
        <f t="shared" si="1"/>
        <v>4</v>
      </c>
      <c r="J32" s="90">
        <v>4.0</v>
      </c>
      <c r="K32" s="211">
        <v>44562.0</v>
      </c>
      <c r="L32" s="106" t="b">
        <v>1</v>
      </c>
      <c r="M32" s="171">
        <v>44562.0</v>
      </c>
      <c r="N32" s="106" t="b">
        <v>1</v>
      </c>
      <c r="O32" s="171">
        <v>44562.0</v>
      </c>
      <c r="P32" s="106" t="b">
        <v>1</v>
      </c>
      <c r="Q32" s="107">
        <v>45253.0</v>
      </c>
      <c r="R32" s="106" t="b">
        <v>1</v>
      </c>
      <c r="S32" s="107"/>
      <c r="T32" s="106"/>
      <c r="U32" s="107"/>
      <c r="V32" s="106"/>
      <c r="W32" s="107"/>
      <c r="X32" s="106"/>
      <c r="Y32" s="107"/>
      <c r="Z32" s="106"/>
      <c r="AA32" s="262"/>
      <c r="AB32" s="146" t="s">
        <v>347</v>
      </c>
    </row>
    <row r="33" ht="22.5" customHeight="1">
      <c r="A33" s="401"/>
      <c r="B33" s="60">
        <v>21.0</v>
      </c>
      <c r="C33" s="1360" t="s">
        <v>501</v>
      </c>
      <c r="D33" s="358"/>
      <c r="E33" s="358"/>
      <c r="F33" s="64" t="s">
        <v>51</v>
      </c>
      <c r="G33" s="362"/>
      <c r="H33" s="364"/>
      <c r="I33" s="88">
        <f t="shared" si="1"/>
        <v>0</v>
      </c>
      <c r="J33" s="90">
        <v>4.0</v>
      </c>
      <c r="K33" s="92">
        <v>45265.0</v>
      </c>
      <c r="L33" s="649" t="b">
        <v>0</v>
      </c>
      <c r="M33" s="101">
        <v>45448.0</v>
      </c>
      <c r="N33" s="649" t="b">
        <v>0</v>
      </c>
      <c r="O33" s="101">
        <v>45631.0</v>
      </c>
      <c r="P33" s="649" t="b">
        <v>0</v>
      </c>
      <c r="Q33" s="107">
        <v>45813.0</v>
      </c>
      <c r="R33" s="106" t="b">
        <v>0</v>
      </c>
      <c r="S33" s="107"/>
      <c r="T33" s="106"/>
      <c r="U33" s="107"/>
      <c r="V33" s="106"/>
      <c r="W33" s="107"/>
      <c r="X33" s="106"/>
      <c r="Y33" s="107"/>
      <c r="Z33" s="106"/>
      <c r="AA33" s="116"/>
      <c r="AB33" s="118"/>
    </row>
    <row r="34" ht="22.5" customHeight="1">
      <c r="A34" s="401"/>
      <c r="B34" s="60">
        <v>22.0</v>
      </c>
      <c r="C34" s="936" t="s">
        <v>552</v>
      </c>
      <c r="D34" s="66"/>
      <c r="E34" s="66"/>
      <c r="F34" s="64" t="s">
        <v>51</v>
      </c>
      <c r="G34" s="70"/>
      <c r="H34" s="71"/>
      <c r="I34" s="88">
        <f t="shared" si="1"/>
        <v>0</v>
      </c>
      <c r="J34" s="90">
        <v>4.0</v>
      </c>
      <c r="K34" s="92">
        <v>45279.0</v>
      </c>
      <c r="L34" s="130" t="b">
        <v>0</v>
      </c>
      <c r="M34" s="101">
        <v>45462.0</v>
      </c>
      <c r="N34" s="130" t="b">
        <v>0</v>
      </c>
      <c r="O34" s="101">
        <v>45645.0</v>
      </c>
      <c r="P34" s="130" t="b">
        <v>0</v>
      </c>
      <c r="Q34" s="107">
        <v>45827.0</v>
      </c>
      <c r="R34" s="106" t="b">
        <v>0</v>
      </c>
      <c r="S34" s="107"/>
      <c r="T34" s="106"/>
      <c r="U34" s="107"/>
      <c r="V34" s="106"/>
      <c r="W34" s="107"/>
      <c r="X34" s="106"/>
      <c r="Y34" s="107"/>
      <c r="Z34" s="106"/>
      <c r="AA34" s="116"/>
      <c r="AB34" s="245"/>
    </row>
    <row r="35" ht="22.5" customHeight="1">
      <c r="A35" s="401"/>
      <c r="B35" s="60">
        <v>23.0</v>
      </c>
      <c r="C35" s="1356" t="s">
        <v>1014</v>
      </c>
      <c r="D35" s="66" t="s">
        <v>498</v>
      </c>
      <c r="E35" s="66"/>
      <c r="F35" s="64" t="s">
        <v>51</v>
      </c>
      <c r="G35" s="70" t="s">
        <v>887</v>
      </c>
      <c r="H35" s="71" t="s">
        <v>1131</v>
      </c>
      <c r="I35" s="88">
        <f t="shared" si="1"/>
        <v>0</v>
      </c>
      <c r="J35" s="90">
        <v>4.0</v>
      </c>
      <c r="K35" s="92">
        <v>45295.0</v>
      </c>
      <c r="L35" s="99" t="b">
        <v>0</v>
      </c>
      <c r="M35" s="171">
        <v>45477.0</v>
      </c>
      <c r="N35" s="99" t="b">
        <v>0</v>
      </c>
      <c r="O35" s="101">
        <v>45660.0</v>
      </c>
      <c r="P35" s="99" t="b">
        <v>0</v>
      </c>
      <c r="Q35" s="107">
        <v>45812.0</v>
      </c>
      <c r="R35" s="106" t="b">
        <v>0</v>
      </c>
      <c r="S35" s="107"/>
      <c r="T35" s="106"/>
      <c r="U35" s="107"/>
      <c r="V35" s="106"/>
      <c r="W35" s="107"/>
      <c r="X35" s="106"/>
      <c r="Y35" s="107"/>
      <c r="Z35" s="106"/>
      <c r="AA35" s="116"/>
      <c r="AB35" s="146" t="s">
        <v>363</v>
      </c>
    </row>
    <row r="36" ht="22.5" customHeight="1">
      <c r="A36" s="401"/>
      <c r="B36" s="60">
        <v>24.0</v>
      </c>
      <c r="C36" s="125" t="s">
        <v>604</v>
      </c>
      <c r="D36" s="66"/>
      <c r="E36" s="66"/>
      <c r="F36" s="64" t="s">
        <v>555</v>
      </c>
      <c r="G36" s="70" t="s">
        <v>605</v>
      </c>
      <c r="H36" s="71">
        <v>8.17369884E8</v>
      </c>
      <c r="I36" s="88">
        <f t="shared" si="1"/>
        <v>4</v>
      </c>
      <c r="J36" s="90">
        <v>4.0</v>
      </c>
      <c r="K36" s="211">
        <v>44564.0</v>
      </c>
      <c r="L36" s="106" t="b">
        <v>1</v>
      </c>
      <c r="M36" s="171">
        <v>44713.0</v>
      </c>
      <c r="N36" s="106" t="b">
        <v>1</v>
      </c>
      <c r="O36" s="171">
        <v>44931.0</v>
      </c>
      <c r="P36" s="106" t="b">
        <v>1</v>
      </c>
      <c r="Q36" s="107">
        <v>45114.0</v>
      </c>
      <c r="R36" s="106" t="b">
        <v>1</v>
      </c>
      <c r="S36" s="107"/>
      <c r="T36" s="106"/>
      <c r="U36" s="107"/>
      <c r="V36" s="106"/>
      <c r="W36" s="107"/>
      <c r="X36" s="106"/>
      <c r="Y36" s="107"/>
      <c r="Z36" s="106"/>
      <c r="AA36" s="116" t="s">
        <v>58</v>
      </c>
      <c r="AB36" s="346" t="s">
        <v>281</v>
      </c>
    </row>
    <row r="37" ht="22.5" customHeight="1">
      <c r="A37" s="401"/>
      <c r="B37" s="60">
        <v>25.0</v>
      </c>
      <c r="C37" s="125" t="s">
        <v>625</v>
      </c>
      <c r="D37" s="291"/>
      <c r="E37" s="291"/>
      <c r="F37" s="265" t="s">
        <v>786</v>
      </c>
      <c r="G37" s="125" t="s">
        <v>626</v>
      </c>
      <c r="H37" s="266" t="s">
        <v>627</v>
      </c>
      <c r="I37" s="88">
        <f t="shared" si="1"/>
        <v>4</v>
      </c>
      <c r="J37" s="269">
        <v>4.0</v>
      </c>
      <c r="K37" s="112">
        <v>44576.0</v>
      </c>
      <c r="L37" s="339" t="b">
        <v>1</v>
      </c>
      <c r="M37" s="107">
        <v>44744.0</v>
      </c>
      <c r="N37" s="339" t="b">
        <v>1</v>
      </c>
      <c r="O37" s="107">
        <v>44931.0</v>
      </c>
      <c r="P37" s="339" t="b">
        <v>1</v>
      </c>
      <c r="Q37" s="107">
        <v>45110.0</v>
      </c>
      <c r="R37" s="164" t="b">
        <v>1</v>
      </c>
      <c r="S37" s="107"/>
      <c r="T37" s="106"/>
      <c r="U37" s="107"/>
      <c r="V37" s="106"/>
      <c r="W37" s="107"/>
      <c r="X37" s="164"/>
      <c r="Y37" s="107"/>
      <c r="Z37" s="164"/>
      <c r="AA37" s="283" t="s">
        <v>58</v>
      </c>
      <c r="AB37" s="118"/>
    </row>
    <row r="38" ht="22.5" customHeight="1">
      <c r="A38" s="401"/>
      <c r="B38" s="60">
        <v>26.0</v>
      </c>
      <c r="C38" s="125" t="s">
        <v>592</v>
      </c>
      <c r="D38" s="290"/>
      <c r="E38" s="290"/>
      <c r="F38" s="265" t="s">
        <v>51</v>
      </c>
      <c r="G38" s="125" t="s">
        <v>594</v>
      </c>
      <c r="H38" s="266">
        <v>6.28251979E8</v>
      </c>
      <c r="I38" s="88">
        <f t="shared" si="1"/>
        <v>4</v>
      </c>
      <c r="J38" s="269">
        <v>6.0</v>
      </c>
      <c r="K38" s="112">
        <v>44562.0</v>
      </c>
      <c r="L38" s="164" t="b">
        <v>1</v>
      </c>
      <c r="M38" s="107">
        <v>44679.0</v>
      </c>
      <c r="N38" s="164" t="b">
        <v>1</v>
      </c>
      <c r="O38" s="107">
        <v>44971.0</v>
      </c>
      <c r="P38" s="164" t="b">
        <v>1</v>
      </c>
      <c r="Q38" s="107">
        <v>45140.0</v>
      </c>
      <c r="R38" s="164" t="b">
        <v>1</v>
      </c>
      <c r="S38" s="107">
        <v>45316.0</v>
      </c>
      <c r="T38" s="164" t="b">
        <v>0</v>
      </c>
      <c r="U38" s="107">
        <v>45446.0</v>
      </c>
      <c r="V38" s="164" t="b">
        <v>0</v>
      </c>
      <c r="W38" s="107"/>
      <c r="X38" s="164"/>
      <c r="Y38" s="107"/>
      <c r="Z38" s="164"/>
      <c r="AA38" s="283"/>
      <c r="AB38" s="146" t="s">
        <v>88</v>
      </c>
    </row>
    <row r="39" ht="22.5" customHeight="1">
      <c r="A39" s="131"/>
      <c r="B39" s="1320">
        <f>B38+1</f>
        <v>27</v>
      </c>
      <c r="C39" s="70" t="s">
        <v>897</v>
      </c>
      <c r="D39" s="66" t="s">
        <v>1133</v>
      </c>
      <c r="E39" s="66"/>
      <c r="F39" s="64" t="s">
        <v>51</v>
      </c>
      <c r="G39" s="70" t="s">
        <v>899</v>
      </c>
      <c r="H39" s="71">
        <v>8.3650888E8</v>
      </c>
      <c r="I39" s="88">
        <f t="shared" si="1"/>
        <v>2</v>
      </c>
      <c r="J39" s="90">
        <v>4.0</v>
      </c>
      <c r="K39" s="211">
        <v>44833.0</v>
      </c>
      <c r="L39" s="106" t="b">
        <v>1</v>
      </c>
      <c r="M39" s="171">
        <v>45014.0</v>
      </c>
      <c r="N39" s="106" t="b">
        <v>1</v>
      </c>
      <c r="O39" s="171">
        <v>45259.0</v>
      </c>
      <c r="P39" s="106" t="b">
        <v>0</v>
      </c>
      <c r="Q39" s="107">
        <v>45421.0</v>
      </c>
      <c r="R39" s="164" t="b">
        <v>0</v>
      </c>
      <c r="S39" s="107">
        <v>45604.0</v>
      </c>
      <c r="T39" s="106" t="b">
        <v>0</v>
      </c>
      <c r="U39" s="107">
        <v>45786.0</v>
      </c>
      <c r="V39" s="164" t="b">
        <v>0</v>
      </c>
      <c r="W39" s="107"/>
      <c r="X39" s="106"/>
      <c r="Y39" s="107"/>
      <c r="Z39" s="106"/>
      <c r="AA39" s="288"/>
      <c r="AB39" s="220" t="s">
        <v>211</v>
      </c>
    </row>
    <row r="40" ht="22.5" customHeight="1">
      <c r="A40" s="401"/>
      <c r="B40" s="60">
        <v>27.0</v>
      </c>
      <c r="C40" s="70" t="s">
        <v>656</v>
      </c>
      <c r="D40" s="66"/>
      <c r="E40" s="66"/>
      <c r="F40" s="64" t="s">
        <v>51</v>
      </c>
      <c r="G40" s="70" t="s">
        <v>1135</v>
      </c>
      <c r="H40" s="71" t="s">
        <v>1136</v>
      </c>
      <c r="I40" s="88">
        <f t="shared" si="1"/>
        <v>2</v>
      </c>
      <c r="J40" s="90">
        <v>4.0</v>
      </c>
      <c r="K40" s="211">
        <v>45009.0</v>
      </c>
      <c r="L40" s="106" t="b">
        <v>1</v>
      </c>
      <c r="M40" s="171">
        <v>45189.0</v>
      </c>
      <c r="N40" s="106" t="b">
        <v>1</v>
      </c>
      <c r="O40" s="171">
        <v>45371.0</v>
      </c>
      <c r="P40" s="106" t="b">
        <v>0</v>
      </c>
      <c r="Q40" s="107">
        <v>45559.0</v>
      </c>
      <c r="R40" s="164" t="b">
        <v>0</v>
      </c>
      <c r="S40" s="107"/>
      <c r="T40" s="106"/>
      <c r="U40" s="107"/>
      <c r="V40" s="164"/>
      <c r="W40" s="107"/>
      <c r="X40" s="106"/>
      <c r="Y40" s="107"/>
      <c r="Z40" s="106"/>
      <c r="AA40" s="288"/>
      <c r="AB40" s="353" t="s">
        <v>325</v>
      </c>
    </row>
    <row r="41" ht="22.5" customHeight="1">
      <c r="A41" s="401"/>
      <c r="B41" s="60">
        <v>28.0</v>
      </c>
      <c r="C41" s="70" t="s">
        <v>662</v>
      </c>
      <c r="D41" s="66"/>
      <c r="E41" s="66"/>
      <c r="F41" s="64" t="s">
        <v>51</v>
      </c>
      <c r="G41" s="70" t="s">
        <v>663</v>
      </c>
      <c r="H41" s="71" t="s">
        <v>1074</v>
      </c>
      <c r="I41" s="88">
        <f t="shared" si="1"/>
        <v>2</v>
      </c>
      <c r="J41" s="90">
        <v>4.0</v>
      </c>
      <c r="K41" s="92">
        <v>45009.0</v>
      </c>
      <c r="L41" s="106" t="b">
        <v>1</v>
      </c>
      <c r="M41" s="171">
        <v>45142.0</v>
      </c>
      <c r="N41" s="106" t="b">
        <v>1</v>
      </c>
      <c r="O41" s="171">
        <v>45692.0</v>
      </c>
      <c r="P41" s="106" t="b">
        <v>0</v>
      </c>
      <c r="Q41" s="107">
        <v>45509.0</v>
      </c>
      <c r="R41" s="164" t="b">
        <v>0</v>
      </c>
      <c r="S41" s="107"/>
      <c r="T41" s="106"/>
      <c r="U41" s="107"/>
      <c r="V41" s="164"/>
      <c r="W41" s="107"/>
      <c r="X41" s="106"/>
      <c r="Y41" s="107"/>
      <c r="Z41" s="106"/>
      <c r="AA41" s="288"/>
      <c r="AB41" s="123" t="s">
        <v>361</v>
      </c>
    </row>
    <row r="42" ht="22.5" customHeight="1">
      <c r="A42" s="401"/>
      <c r="B42" s="60">
        <v>29.0</v>
      </c>
      <c r="C42" s="70" t="s">
        <v>779</v>
      </c>
      <c r="D42" s="66"/>
      <c r="E42" s="66"/>
      <c r="F42" s="64" t="s">
        <v>51</v>
      </c>
      <c r="G42" s="70" t="s">
        <v>780</v>
      </c>
      <c r="H42" s="71"/>
      <c r="I42" s="88">
        <f t="shared" si="1"/>
        <v>2</v>
      </c>
      <c r="J42" s="90">
        <v>4.0</v>
      </c>
      <c r="K42" s="92">
        <v>45037.0</v>
      </c>
      <c r="L42" s="106" t="b">
        <v>1</v>
      </c>
      <c r="M42" s="101">
        <v>45229.0</v>
      </c>
      <c r="N42" s="106" t="b">
        <v>1</v>
      </c>
      <c r="O42" s="101">
        <v>45404.0</v>
      </c>
      <c r="P42" s="98" t="b">
        <v>0</v>
      </c>
      <c r="Q42" s="107">
        <v>45586.0</v>
      </c>
      <c r="R42" s="164" t="b">
        <v>0</v>
      </c>
      <c r="S42" s="107"/>
      <c r="T42" s="106"/>
      <c r="U42" s="107"/>
      <c r="V42" s="164"/>
      <c r="W42" s="107"/>
      <c r="X42" s="106"/>
      <c r="Y42" s="107"/>
      <c r="Z42" s="106"/>
      <c r="AA42" s="288"/>
      <c r="AB42" s="146" t="s">
        <v>372</v>
      </c>
    </row>
    <row r="43" ht="22.5" customHeight="1">
      <c r="A43" s="131"/>
      <c r="B43" s="1320" t="str">
        <f>B44+1</f>
        <v>#REF!</v>
      </c>
      <c r="C43" s="1331" t="s">
        <v>355</v>
      </c>
      <c r="D43" s="66" t="s">
        <v>1048</v>
      </c>
      <c r="E43" s="589"/>
      <c r="F43" s="301" t="s">
        <v>51</v>
      </c>
      <c r="G43" s="70" t="s">
        <v>1142</v>
      </c>
      <c r="H43" s="71">
        <v>8.42905559E8</v>
      </c>
      <c r="I43" s="88">
        <f t="shared" si="1"/>
        <v>4</v>
      </c>
      <c r="J43" s="90">
        <v>6.0</v>
      </c>
      <c r="K43" s="211">
        <v>44562.0</v>
      </c>
      <c r="L43" s="106" t="b">
        <v>1</v>
      </c>
      <c r="M43" s="171">
        <v>44562.0</v>
      </c>
      <c r="N43" s="106" t="b">
        <v>1</v>
      </c>
      <c r="O43" s="171">
        <v>45026.0</v>
      </c>
      <c r="P43" s="98" t="b">
        <v>1</v>
      </c>
      <c r="Q43" s="107">
        <v>45254.0</v>
      </c>
      <c r="R43" s="106" t="b">
        <v>1</v>
      </c>
      <c r="S43" s="107">
        <v>45390.0</v>
      </c>
      <c r="T43" s="106" t="b">
        <v>0</v>
      </c>
      <c r="U43" s="107">
        <v>45575.0</v>
      </c>
      <c r="V43" s="106" t="b">
        <v>0</v>
      </c>
      <c r="W43" s="107"/>
      <c r="X43" s="106"/>
      <c r="Y43" s="107"/>
      <c r="Z43" s="106"/>
      <c r="AA43" s="116"/>
      <c r="AB43" s="146" t="s">
        <v>261</v>
      </c>
    </row>
    <row r="44" ht="22.5" customHeight="1">
      <c r="A44" s="401"/>
      <c r="B44" s="60" t="str">
        <f>B43+1</f>
        <v>#REF!</v>
      </c>
      <c r="C44" s="1331" t="s">
        <v>365</v>
      </c>
      <c r="D44" s="66" t="s">
        <v>48</v>
      </c>
      <c r="E44" s="66"/>
      <c r="F44" s="64" t="s">
        <v>786</v>
      </c>
      <c r="G44" s="70" t="s">
        <v>52</v>
      </c>
      <c r="H44" s="71"/>
      <c r="I44" s="88">
        <f t="shared" si="1"/>
        <v>2</v>
      </c>
      <c r="J44" s="90">
        <v>2.0</v>
      </c>
      <c r="K44" s="211">
        <v>44562.0</v>
      </c>
      <c r="L44" s="106" t="b">
        <v>1</v>
      </c>
      <c r="M44" s="171">
        <v>45085.0</v>
      </c>
      <c r="N44" s="106" t="b">
        <v>1</v>
      </c>
      <c r="O44" s="171"/>
      <c r="P44" s="130" t="b">
        <v>0</v>
      </c>
      <c r="Q44" s="107"/>
      <c r="R44" s="106" t="b">
        <v>0</v>
      </c>
      <c r="S44" s="107"/>
      <c r="T44" s="106"/>
      <c r="U44" s="107"/>
      <c r="V44" s="106"/>
      <c r="W44" s="107"/>
      <c r="X44" s="106"/>
      <c r="Y44" s="107"/>
      <c r="Z44" s="106"/>
      <c r="AA44" s="116" t="s">
        <v>58</v>
      </c>
      <c r="AB44" s="123" t="s">
        <v>178</v>
      </c>
    </row>
    <row r="45" ht="22.5" customHeight="1">
      <c r="A45" s="401"/>
      <c r="B45" s="60">
        <v>30.0</v>
      </c>
      <c r="C45" s="70" t="s">
        <v>634</v>
      </c>
      <c r="D45" s="66"/>
      <c r="E45" s="66"/>
      <c r="F45" s="64" t="s">
        <v>51</v>
      </c>
      <c r="G45" s="70"/>
      <c r="H45" s="71"/>
      <c r="I45" s="88">
        <f t="shared" si="1"/>
        <v>1</v>
      </c>
      <c r="J45" s="90">
        <v>4.0</v>
      </c>
      <c r="K45" s="92">
        <v>45086.0</v>
      </c>
      <c r="L45" s="106" t="b">
        <v>1</v>
      </c>
      <c r="M45" s="101">
        <v>45268.0</v>
      </c>
      <c r="N45" s="99" t="b">
        <v>0</v>
      </c>
      <c r="O45" s="101">
        <v>45453.0</v>
      </c>
      <c r="P45" s="99" t="b">
        <v>0</v>
      </c>
      <c r="Q45" s="107">
        <v>45635.0</v>
      </c>
      <c r="R45" s="164" t="b">
        <v>0</v>
      </c>
      <c r="S45" s="107"/>
      <c r="T45" s="106"/>
      <c r="U45" s="107"/>
      <c r="V45" s="106"/>
      <c r="W45" s="107"/>
      <c r="X45" s="106"/>
      <c r="Y45" s="107"/>
      <c r="Z45" s="106"/>
      <c r="AA45" s="262"/>
      <c r="AB45" s="123" t="s">
        <v>62</v>
      </c>
    </row>
    <row r="46" ht="22.5" customHeight="1">
      <c r="A46" s="131"/>
      <c r="B46" s="1320" t="str">
        <f>B43+1</f>
        <v>#REF!</v>
      </c>
      <c r="C46" s="70" t="s">
        <v>81</v>
      </c>
      <c r="D46" s="66" t="s">
        <v>1144</v>
      </c>
      <c r="E46" s="66"/>
      <c r="F46" s="64" t="s">
        <v>51</v>
      </c>
      <c r="G46" s="70"/>
      <c r="H46" s="71" t="s">
        <v>103</v>
      </c>
      <c r="I46" s="88">
        <f t="shared" si="1"/>
        <v>0</v>
      </c>
      <c r="J46" s="90">
        <v>4.0</v>
      </c>
      <c r="K46" s="92">
        <v>45397.0</v>
      </c>
      <c r="L46" s="99" t="b">
        <v>0</v>
      </c>
      <c r="M46" s="101">
        <v>45580.0</v>
      </c>
      <c r="N46" s="106" t="b">
        <v>0</v>
      </c>
      <c r="O46" s="101">
        <v>45762.0</v>
      </c>
      <c r="P46" s="99" t="b">
        <v>0</v>
      </c>
      <c r="Q46" s="107">
        <v>45945.0</v>
      </c>
      <c r="R46" s="164" t="b">
        <v>0</v>
      </c>
      <c r="S46" s="107"/>
      <c r="T46" s="106"/>
      <c r="U46" s="107"/>
      <c r="V46" s="106"/>
      <c r="W46" s="107"/>
      <c r="X46" s="106"/>
      <c r="Y46" s="107"/>
      <c r="Z46" s="106"/>
      <c r="AA46" s="116"/>
      <c r="AB46" s="146" t="s">
        <v>106</v>
      </c>
    </row>
    <row r="47" ht="22.5" customHeight="1">
      <c r="A47" s="401"/>
      <c r="B47" s="60">
        <v>31.0</v>
      </c>
      <c r="C47" s="70" t="s">
        <v>382</v>
      </c>
      <c r="D47" s="66" t="s">
        <v>498</v>
      </c>
      <c r="E47" s="66"/>
      <c r="F47" s="64" t="s">
        <v>51</v>
      </c>
      <c r="G47" s="70" t="s">
        <v>193</v>
      </c>
      <c r="H47" s="71" t="s">
        <v>194</v>
      </c>
      <c r="I47" s="88">
        <f t="shared" si="1"/>
        <v>0</v>
      </c>
      <c r="J47" s="90">
        <v>4.0</v>
      </c>
      <c r="K47" s="92">
        <v>45330.0</v>
      </c>
      <c r="L47" s="99" t="b">
        <v>0</v>
      </c>
      <c r="M47" s="101">
        <v>45512.0</v>
      </c>
      <c r="N47" s="99" t="b">
        <v>0</v>
      </c>
      <c r="O47" s="101">
        <v>45698.0</v>
      </c>
      <c r="P47" s="99" t="b">
        <v>0</v>
      </c>
      <c r="Q47" s="107">
        <v>45876.0</v>
      </c>
      <c r="R47" s="106" t="b">
        <v>0</v>
      </c>
      <c r="S47" s="107"/>
      <c r="T47" s="106"/>
      <c r="U47" s="107"/>
      <c r="V47" s="106"/>
      <c r="W47" s="107"/>
      <c r="X47" s="106"/>
      <c r="Y47" s="107"/>
      <c r="Z47" s="106"/>
      <c r="AA47" s="116"/>
      <c r="AB47" s="123" t="s">
        <v>120</v>
      </c>
    </row>
    <row r="48" ht="22.5" customHeight="1">
      <c r="A48" s="401"/>
      <c r="B48" s="60">
        <f>B24+1</f>
        <v>17</v>
      </c>
      <c r="C48" s="70" t="s">
        <v>475</v>
      </c>
      <c r="D48" s="66" t="s">
        <v>1130</v>
      </c>
      <c r="E48" s="66"/>
      <c r="F48" s="64" t="s">
        <v>51</v>
      </c>
      <c r="G48" s="70" t="s">
        <v>1146</v>
      </c>
      <c r="H48" s="71"/>
      <c r="I48" s="88">
        <f t="shared" si="1"/>
        <v>1</v>
      </c>
      <c r="J48" s="90">
        <v>4.0</v>
      </c>
      <c r="K48" s="92">
        <v>45139.0</v>
      </c>
      <c r="L48" s="106" t="b">
        <v>1</v>
      </c>
      <c r="M48" s="101">
        <v>45352.0</v>
      </c>
      <c r="N48" s="99" t="b">
        <v>0</v>
      </c>
      <c r="O48" s="101"/>
      <c r="P48" s="99" t="b">
        <v>0</v>
      </c>
      <c r="Q48" s="107"/>
      <c r="R48" s="106" t="b">
        <v>0</v>
      </c>
      <c r="S48" s="107"/>
      <c r="T48" s="106"/>
      <c r="U48" s="107"/>
      <c r="V48" s="106"/>
      <c r="W48" s="107"/>
      <c r="X48" s="106"/>
      <c r="Y48" s="107"/>
      <c r="Z48" s="106"/>
      <c r="AA48" s="116"/>
      <c r="AB48" s="205" t="s">
        <v>133</v>
      </c>
    </row>
    <row r="49" ht="22.5" customHeight="1">
      <c r="A49" s="401"/>
      <c r="B49" s="60">
        <v>33.0</v>
      </c>
      <c r="C49" s="70" t="s">
        <v>608</v>
      </c>
      <c r="D49" s="66"/>
      <c r="E49" s="66"/>
      <c r="F49" s="64" t="s">
        <v>51</v>
      </c>
      <c r="G49" s="70"/>
      <c r="H49" s="71"/>
      <c r="I49" s="88">
        <f t="shared" si="1"/>
        <v>0</v>
      </c>
      <c r="J49" s="90">
        <v>4.0</v>
      </c>
      <c r="K49" s="211">
        <v>45344.0</v>
      </c>
      <c r="L49" s="106" t="b">
        <v>0</v>
      </c>
      <c r="M49" s="171">
        <v>45526.0</v>
      </c>
      <c r="N49" s="106" t="b">
        <v>0</v>
      </c>
      <c r="O49" s="101">
        <v>45709.0</v>
      </c>
      <c r="P49" s="99" t="b">
        <v>0</v>
      </c>
      <c r="Q49" s="107">
        <v>45890.0</v>
      </c>
      <c r="R49" s="106" t="b">
        <v>0</v>
      </c>
      <c r="S49" s="107"/>
      <c r="T49" s="106"/>
      <c r="U49" s="107"/>
      <c r="V49" s="106"/>
      <c r="W49" s="107"/>
      <c r="X49" s="106"/>
      <c r="Y49" s="107"/>
      <c r="Z49" s="106"/>
      <c r="AA49" s="116"/>
      <c r="AB49" s="220" t="s">
        <v>148</v>
      </c>
    </row>
    <row r="50" ht="22.5" customHeight="1">
      <c r="A50" s="401"/>
      <c r="B50" s="60">
        <v>34.0</v>
      </c>
      <c r="C50" s="70" t="s">
        <v>575</v>
      </c>
      <c r="D50" s="66"/>
      <c r="E50" s="66"/>
      <c r="F50" s="64" t="s">
        <v>51</v>
      </c>
      <c r="G50" s="70"/>
      <c r="H50" s="71"/>
      <c r="I50" s="88">
        <f t="shared" si="1"/>
        <v>0</v>
      </c>
      <c r="J50" s="90">
        <v>4.0</v>
      </c>
      <c r="K50" s="211">
        <v>45351.0</v>
      </c>
      <c r="L50" s="99" t="b">
        <v>0</v>
      </c>
      <c r="M50" s="171">
        <v>45532.0</v>
      </c>
      <c r="N50" s="106" t="b">
        <v>0</v>
      </c>
      <c r="O50" s="171">
        <v>45716.0</v>
      </c>
      <c r="P50" s="99" t="b">
        <v>0</v>
      </c>
      <c r="Q50" s="107">
        <v>45897.0</v>
      </c>
      <c r="R50" s="106" t="b">
        <v>0</v>
      </c>
      <c r="S50" s="107"/>
      <c r="T50" s="106"/>
      <c r="U50" s="107"/>
      <c r="V50" s="106"/>
      <c r="W50" s="107"/>
      <c r="X50" s="106"/>
      <c r="Y50" s="107"/>
      <c r="Z50" s="106"/>
      <c r="AA50" s="116"/>
      <c r="AB50" s="146" t="s">
        <v>164</v>
      </c>
    </row>
    <row r="51" ht="22.5" customHeight="1">
      <c r="A51" s="401"/>
      <c r="B51" s="60">
        <v>35.0</v>
      </c>
      <c r="C51" s="70" t="s">
        <v>611</v>
      </c>
      <c r="D51" s="66"/>
      <c r="E51" s="66"/>
      <c r="F51" s="64" t="s">
        <v>51</v>
      </c>
      <c r="G51" s="70"/>
      <c r="H51" s="71"/>
      <c r="I51" s="88">
        <f t="shared" si="1"/>
        <v>0</v>
      </c>
      <c r="J51" s="90">
        <v>4.0</v>
      </c>
      <c r="K51" s="92">
        <v>45344.0</v>
      </c>
      <c r="L51" s="130" t="b">
        <v>0</v>
      </c>
      <c r="M51" s="101">
        <v>45526.0</v>
      </c>
      <c r="N51" s="98" t="b">
        <v>0</v>
      </c>
      <c r="O51" s="101">
        <v>45709.0</v>
      </c>
      <c r="P51" s="130" t="b">
        <v>0</v>
      </c>
      <c r="Q51" s="107">
        <v>45890.0</v>
      </c>
      <c r="R51" s="106" t="b">
        <v>0</v>
      </c>
      <c r="S51" s="107"/>
      <c r="T51" s="106"/>
      <c r="U51" s="107"/>
      <c r="V51" s="106"/>
      <c r="W51" s="107"/>
      <c r="X51" s="106"/>
      <c r="Y51" s="107"/>
      <c r="Z51" s="106"/>
      <c r="AA51" s="116"/>
      <c r="AB51" s="118"/>
    </row>
    <row r="52" ht="22.5" customHeight="1">
      <c r="A52" s="401"/>
      <c r="B52" s="60">
        <v>36.0</v>
      </c>
      <c r="C52" s="70" t="s">
        <v>490</v>
      </c>
      <c r="D52" s="66"/>
      <c r="E52" s="66"/>
      <c r="F52" s="64" t="s">
        <v>51</v>
      </c>
      <c r="G52" s="70"/>
      <c r="H52" s="71"/>
      <c r="I52" s="88">
        <f t="shared" si="1"/>
        <v>0</v>
      </c>
      <c r="J52" s="90">
        <v>4.0</v>
      </c>
      <c r="K52" s="92">
        <v>45378.0</v>
      </c>
      <c r="L52" s="99" t="b">
        <v>0</v>
      </c>
      <c r="M52" s="101">
        <v>45562.0</v>
      </c>
      <c r="N52" s="106" t="b">
        <v>0</v>
      </c>
      <c r="O52" s="101">
        <v>45743.0</v>
      </c>
      <c r="P52" s="99" t="b">
        <v>0</v>
      </c>
      <c r="Q52" s="107">
        <v>45927.0</v>
      </c>
      <c r="R52" s="164" t="b">
        <v>0</v>
      </c>
      <c r="S52" s="107"/>
      <c r="T52" s="106"/>
      <c r="U52" s="107"/>
      <c r="V52" s="106"/>
      <c r="W52" s="107"/>
      <c r="X52" s="106"/>
      <c r="Y52" s="107"/>
      <c r="Z52" s="106"/>
      <c r="AA52" s="116"/>
      <c r="AB52" s="146" t="s">
        <v>208</v>
      </c>
    </row>
    <row r="53" ht="22.5" customHeight="1">
      <c r="A53" s="401"/>
      <c r="B53" s="60">
        <v>37.0</v>
      </c>
      <c r="C53" s="70" t="s">
        <v>321</v>
      </c>
      <c r="D53" s="66"/>
      <c r="E53" s="66"/>
      <c r="F53" s="64" t="s">
        <v>51</v>
      </c>
      <c r="G53" s="70"/>
      <c r="H53" s="71"/>
      <c r="I53" s="88">
        <f t="shared" si="1"/>
        <v>0</v>
      </c>
      <c r="J53" s="90">
        <v>4.0</v>
      </c>
      <c r="K53" s="92">
        <v>45359.0</v>
      </c>
      <c r="L53" s="130" t="b">
        <v>0</v>
      </c>
      <c r="M53" s="101">
        <v>45544.0</v>
      </c>
      <c r="N53" s="98" t="b">
        <v>0</v>
      </c>
      <c r="O53" s="101">
        <v>45723.0</v>
      </c>
      <c r="P53" s="130" t="b">
        <v>0</v>
      </c>
      <c r="Q53" s="107">
        <v>45908.0</v>
      </c>
      <c r="R53" s="164" t="b">
        <v>0</v>
      </c>
      <c r="S53" s="107"/>
      <c r="T53" s="106"/>
      <c r="U53" s="107"/>
      <c r="V53" s="106"/>
      <c r="W53" s="107"/>
      <c r="X53" s="106"/>
      <c r="Y53" s="107"/>
      <c r="Z53" s="106"/>
      <c r="AA53" s="116"/>
      <c r="AB53" s="245"/>
    </row>
    <row r="54" ht="22.5" customHeight="1">
      <c r="A54" s="401"/>
      <c r="B54" s="60">
        <v>38.0</v>
      </c>
      <c r="C54" s="70" t="s">
        <v>568</v>
      </c>
      <c r="D54" s="66"/>
      <c r="E54" s="66"/>
      <c r="F54" s="64" t="s">
        <v>51</v>
      </c>
      <c r="G54" s="70" t="s">
        <v>570</v>
      </c>
      <c r="H54" s="71">
        <v>9.8673194E8</v>
      </c>
      <c r="I54" s="88">
        <f t="shared" si="1"/>
        <v>0</v>
      </c>
      <c r="J54" s="90">
        <v>4.0</v>
      </c>
      <c r="K54" s="92">
        <v>45355.0</v>
      </c>
      <c r="L54" s="130" t="b">
        <v>0</v>
      </c>
      <c r="M54" s="101">
        <v>45540.0</v>
      </c>
      <c r="N54" s="98" t="b">
        <v>0</v>
      </c>
      <c r="O54" s="101">
        <v>45720.0</v>
      </c>
      <c r="P54" s="130" t="b">
        <v>0</v>
      </c>
      <c r="Q54" s="107">
        <v>45902.0</v>
      </c>
      <c r="R54" s="106" t="b">
        <v>0</v>
      </c>
      <c r="S54" s="107"/>
      <c r="T54" s="106"/>
      <c r="U54" s="107"/>
      <c r="V54" s="106"/>
      <c r="W54" s="107"/>
      <c r="X54" s="106"/>
      <c r="Y54" s="107"/>
      <c r="Z54" s="106"/>
      <c r="AA54" s="116"/>
      <c r="AB54" s="245"/>
    </row>
    <row r="55" ht="22.5" customHeight="1">
      <c r="A55" s="401"/>
      <c r="B55" s="60">
        <v>39.0</v>
      </c>
      <c r="C55" s="70" t="s">
        <v>70</v>
      </c>
      <c r="D55" s="66"/>
      <c r="E55" s="66"/>
      <c r="F55" s="64" t="s">
        <v>51</v>
      </c>
      <c r="G55" s="70"/>
      <c r="H55" s="71"/>
      <c r="I55" s="88">
        <f t="shared" si="1"/>
        <v>0</v>
      </c>
      <c r="J55" s="90">
        <v>4.0</v>
      </c>
      <c r="K55" s="92">
        <v>45360.0</v>
      </c>
      <c r="L55" s="99" t="b">
        <v>0</v>
      </c>
      <c r="M55" s="171">
        <v>45544.0</v>
      </c>
      <c r="N55" s="106" t="b">
        <v>0</v>
      </c>
      <c r="O55" s="171">
        <v>45724.0</v>
      </c>
      <c r="P55" s="99" t="b">
        <v>0</v>
      </c>
      <c r="Q55" s="107">
        <v>45909.0</v>
      </c>
      <c r="R55" s="164" t="b">
        <v>0</v>
      </c>
      <c r="S55" s="107"/>
      <c r="T55" s="106"/>
      <c r="U55" s="107"/>
      <c r="V55" s="106"/>
      <c r="W55" s="107"/>
      <c r="X55" s="106"/>
      <c r="Y55" s="107"/>
      <c r="Z55" s="106"/>
      <c r="AA55" s="116"/>
      <c r="AB55" s="118"/>
    </row>
    <row r="56" ht="22.5" customHeight="1">
      <c r="A56" s="401"/>
      <c r="B56" s="60">
        <v>40.0</v>
      </c>
      <c r="C56" s="70" t="s">
        <v>808</v>
      </c>
      <c r="D56" s="66"/>
      <c r="E56" s="66"/>
      <c r="F56" s="64" t="s">
        <v>51</v>
      </c>
      <c r="G56" s="70"/>
      <c r="H56" s="71">
        <v>8.67778043E8</v>
      </c>
      <c r="I56" s="88">
        <f t="shared" si="1"/>
        <v>0</v>
      </c>
      <c r="J56" s="90">
        <v>4.0</v>
      </c>
      <c r="K56" s="92">
        <v>45362.0</v>
      </c>
      <c r="L56" s="130" t="b">
        <v>0</v>
      </c>
      <c r="M56" s="101">
        <v>45546.0</v>
      </c>
      <c r="N56" s="98" t="b">
        <v>0</v>
      </c>
      <c r="O56" s="101">
        <v>45726.0</v>
      </c>
      <c r="P56" s="130" t="b">
        <v>0</v>
      </c>
      <c r="Q56" s="107">
        <v>45910.0</v>
      </c>
      <c r="R56" s="106" t="b">
        <v>0</v>
      </c>
      <c r="S56" s="107"/>
      <c r="T56" s="106"/>
      <c r="U56" s="107"/>
      <c r="V56" s="106"/>
      <c r="W56" s="107"/>
      <c r="X56" s="106"/>
      <c r="Y56" s="107"/>
      <c r="Z56" s="106"/>
      <c r="AA56" s="116"/>
      <c r="AB56" s="118"/>
    </row>
    <row r="57" ht="22.5" customHeight="1">
      <c r="A57" s="401"/>
      <c r="B57" s="60">
        <v>41.0</v>
      </c>
      <c r="C57" s="70" t="s">
        <v>799</v>
      </c>
      <c r="D57" s="66"/>
      <c r="E57" s="66"/>
      <c r="F57" s="64" t="s">
        <v>51</v>
      </c>
      <c r="G57" s="70"/>
      <c r="H57" s="71"/>
      <c r="I57" s="88">
        <f t="shared" si="1"/>
        <v>0</v>
      </c>
      <c r="J57" s="90">
        <v>4.0</v>
      </c>
      <c r="K57" s="92">
        <v>45363.0</v>
      </c>
      <c r="L57" s="99" t="b">
        <v>0</v>
      </c>
      <c r="M57" s="101">
        <v>45547.0</v>
      </c>
      <c r="N57" s="106" t="b">
        <v>0</v>
      </c>
      <c r="O57" s="101">
        <v>45728.0</v>
      </c>
      <c r="P57" s="99" t="b">
        <v>0</v>
      </c>
      <c r="Q57" s="107">
        <v>45912.0</v>
      </c>
      <c r="R57" s="164" t="b">
        <v>0</v>
      </c>
      <c r="S57" s="107"/>
      <c r="T57" s="106"/>
      <c r="U57" s="107"/>
      <c r="V57" s="106"/>
      <c r="W57" s="107"/>
      <c r="X57" s="106"/>
      <c r="Y57" s="107"/>
      <c r="Z57" s="106"/>
      <c r="AA57" s="116"/>
      <c r="AB57" s="146"/>
    </row>
    <row r="58" ht="22.5" customHeight="1">
      <c r="A58" s="401"/>
      <c r="B58" s="60" t="str">
        <f>B59+1</f>
        <v>#REF!</v>
      </c>
      <c r="C58" s="1319" t="s">
        <v>623</v>
      </c>
      <c r="D58" s="66" t="s">
        <v>217</v>
      </c>
      <c r="E58" s="66" t="s">
        <v>1150</v>
      </c>
      <c r="F58" s="64" t="s">
        <v>51</v>
      </c>
      <c r="G58" s="70"/>
      <c r="H58" s="71">
        <v>9.18144495E8</v>
      </c>
      <c r="I58" s="88">
        <f t="shared" si="1"/>
        <v>0</v>
      </c>
      <c r="J58" s="90">
        <v>4.0</v>
      </c>
      <c r="K58" s="92">
        <v>45236.0</v>
      </c>
      <c r="L58" s="99" t="b">
        <v>0</v>
      </c>
      <c r="M58" s="101">
        <v>45418.0</v>
      </c>
      <c r="N58" s="99" t="b">
        <v>0</v>
      </c>
      <c r="O58" s="101">
        <v>45601.0</v>
      </c>
      <c r="P58" s="99" t="b">
        <v>0</v>
      </c>
      <c r="Q58" s="107">
        <v>45817.0</v>
      </c>
      <c r="R58" s="106" t="b">
        <v>0</v>
      </c>
      <c r="S58" s="107"/>
      <c r="T58" s="164"/>
      <c r="U58" s="107"/>
      <c r="V58" s="164"/>
      <c r="W58" s="107"/>
      <c r="X58" s="106"/>
      <c r="Y58" s="107"/>
      <c r="Z58" s="106"/>
      <c r="AA58" s="116"/>
      <c r="AB58" s="146"/>
    </row>
    <row r="59" ht="22.5" customHeight="1">
      <c r="A59" s="401"/>
      <c r="B59" s="60" t="str">
        <f>B58+1</f>
        <v>#REF!</v>
      </c>
      <c r="C59" s="70" t="s">
        <v>374</v>
      </c>
      <c r="D59" s="405" t="s">
        <v>111</v>
      </c>
      <c r="E59" s="66" t="s">
        <v>144</v>
      </c>
      <c r="F59" s="64" t="s">
        <v>51</v>
      </c>
      <c r="G59" s="70"/>
      <c r="H59" s="71" t="s">
        <v>1151</v>
      </c>
      <c r="I59" s="88">
        <f t="shared" si="1"/>
        <v>0</v>
      </c>
      <c r="J59" s="90">
        <v>4.0</v>
      </c>
      <c r="K59" s="92">
        <v>45302.0</v>
      </c>
      <c r="L59" s="130" t="b">
        <v>0</v>
      </c>
      <c r="M59" s="101">
        <v>45422.0</v>
      </c>
      <c r="N59" s="130" t="b">
        <v>0</v>
      </c>
      <c r="O59" s="101">
        <v>45667.0</v>
      </c>
      <c r="P59" s="130" t="b">
        <v>0</v>
      </c>
      <c r="Q59" s="107">
        <v>45789.0</v>
      </c>
      <c r="R59" s="106" t="b">
        <v>0</v>
      </c>
      <c r="S59" s="107"/>
      <c r="T59" s="106"/>
      <c r="U59" s="107"/>
      <c r="V59" s="106"/>
      <c r="W59" s="107"/>
      <c r="X59" s="106"/>
      <c r="Y59" s="107"/>
      <c r="Z59" s="106"/>
      <c r="AA59" s="116"/>
      <c r="AB59" s="131"/>
    </row>
    <row r="60" ht="22.5" customHeight="1">
      <c r="A60" s="401"/>
      <c r="B60" s="60">
        <v>42.0</v>
      </c>
      <c r="C60" s="70" t="s">
        <v>822</v>
      </c>
      <c r="D60" s="66"/>
      <c r="E60" s="66"/>
      <c r="F60" s="64" t="s">
        <v>51</v>
      </c>
      <c r="G60" s="70"/>
      <c r="H60" s="71"/>
      <c r="I60" s="88">
        <f t="shared" si="1"/>
        <v>0</v>
      </c>
      <c r="J60" s="90">
        <v>4.0</v>
      </c>
      <c r="K60" s="92">
        <v>45371.0</v>
      </c>
      <c r="L60" s="99" t="b">
        <v>0</v>
      </c>
      <c r="M60" s="101">
        <v>45555.0</v>
      </c>
      <c r="N60" s="106" t="b">
        <v>0</v>
      </c>
      <c r="O60" s="101">
        <v>45736.0</v>
      </c>
      <c r="P60" s="99" t="b">
        <v>0</v>
      </c>
      <c r="Q60" s="107">
        <v>45922.0</v>
      </c>
      <c r="R60" s="164" t="b">
        <v>0</v>
      </c>
      <c r="S60" s="107"/>
      <c r="T60" s="106"/>
      <c r="U60" s="107"/>
      <c r="V60" s="106"/>
      <c r="W60" s="107"/>
      <c r="X60" s="106"/>
      <c r="Y60" s="107"/>
      <c r="Z60" s="106"/>
      <c r="AA60" s="116"/>
      <c r="AB60" s="146" t="s">
        <v>186</v>
      </c>
    </row>
    <row r="61" ht="22.5" customHeight="1">
      <c r="A61" s="401"/>
      <c r="B61" s="60">
        <v>43.0</v>
      </c>
      <c r="C61" s="70" t="s">
        <v>147</v>
      </c>
      <c r="D61" s="66"/>
      <c r="E61" s="66"/>
      <c r="F61" s="64" t="s">
        <v>51</v>
      </c>
      <c r="G61" s="70" t="s">
        <v>157</v>
      </c>
      <c r="H61" s="71"/>
      <c r="I61" s="88">
        <f t="shared" si="1"/>
        <v>0</v>
      </c>
      <c r="J61" s="90">
        <v>4.0</v>
      </c>
      <c r="K61" s="92">
        <v>45376.0</v>
      </c>
      <c r="L61" s="99" t="b">
        <v>0</v>
      </c>
      <c r="M61" s="101">
        <v>45560.0</v>
      </c>
      <c r="N61" s="106" t="b">
        <v>0</v>
      </c>
      <c r="O61" s="101">
        <v>45741.0</v>
      </c>
      <c r="P61" s="99" t="b">
        <v>0</v>
      </c>
      <c r="Q61" s="107">
        <v>45925.0</v>
      </c>
      <c r="R61" s="164" t="b">
        <v>0</v>
      </c>
      <c r="S61" s="107"/>
      <c r="T61" s="106"/>
      <c r="U61" s="107"/>
      <c r="V61" s="106"/>
      <c r="W61" s="107"/>
      <c r="X61" s="106"/>
      <c r="Y61" s="107"/>
      <c r="Z61" s="106"/>
      <c r="AA61" s="116"/>
      <c r="AB61" s="146" t="s">
        <v>385</v>
      </c>
    </row>
    <row r="62" ht="22.5" customHeight="1">
      <c r="A62" s="401"/>
      <c r="B62" s="60">
        <f>B73+1</f>
        <v>48</v>
      </c>
      <c r="C62" s="1453" t="s">
        <v>326</v>
      </c>
      <c r="D62" s="405" t="s">
        <v>111</v>
      </c>
      <c r="E62" s="405"/>
      <c r="F62" s="228" t="s">
        <v>51</v>
      </c>
      <c r="G62" s="61" t="s">
        <v>329</v>
      </c>
      <c r="H62" s="233"/>
      <c r="I62" s="574">
        <f t="shared" si="1"/>
        <v>1</v>
      </c>
      <c r="J62" s="234">
        <v>2.0</v>
      </c>
      <c r="K62" s="576">
        <v>44963.0</v>
      </c>
      <c r="L62" s="577" t="b">
        <v>1</v>
      </c>
      <c r="M62" s="242">
        <v>45261.0</v>
      </c>
      <c r="N62" s="577" t="b">
        <v>0</v>
      </c>
      <c r="O62" s="242"/>
      <c r="P62" s="98" t="b">
        <v>0</v>
      </c>
      <c r="Q62" s="242"/>
      <c r="R62" s="577" t="b">
        <v>0</v>
      </c>
      <c r="S62" s="576"/>
      <c r="T62" s="577"/>
      <c r="U62" s="242"/>
      <c r="V62" s="577"/>
      <c r="W62" s="242"/>
      <c r="X62" s="237"/>
      <c r="Y62" s="242"/>
      <c r="Z62" s="237"/>
      <c r="AA62" s="578"/>
      <c r="AB62" s="118"/>
    </row>
    <row r="63" ht="22.5" customHeight="1">
      <c r="A63" s="401"/>
      <c r="B63" s="60">
        <v>44.0</v>
      </c>
      <c r="C63" s="70" t="s">
        <v>153</v>
      </c>
      <c r="D63" s="66"/>
      <c r="E63" s="66"/>
      <c r="F63" s="64" t="s">
        <v>51</v>
      </c>
      <c r="G63" s="70"/>
      <c r="H63" s="71"/>
      <c r="I63" s="88">
        <f t="shared" si="1"/>
        <v>0</v>
      </c>
      <c r="J63" s="90">
        <v>4.0</v>
      </c>
      <c r="K63" s="92">
        <v>45378.0</v>
      </c>
      <c r="L63" s="99" t="b">
        <v>0</v>
      </c>
      <c r="M63" s="101">
        <v>45562.0</v>
      </c>
      <c r="N63" s="106" t="b">
        <v>0</v>
      </c>
      <c r="O63" s="101">
        <v>45743.0</v>
      </c>
      <c r="P63" s="130" t="b">
        <v>0</v>
      </c>
      <c r="Q63" s="107">
        <v>45926.0</v>
      </c>
      <c r="R63" s="164" t="b">
        <v>0</v>
      </c>
      <c r="S63" s="107"/>
      <c r="T63" s="106"/>
      <c r="U63" s="107"/>
      <c r="V63" s="106"/>
      <c r="W63" s="107"/>
      <c r="X63" s="106"/>
      <c r="Y63" s="107"/>
      <c r="Z63" s="106"/>
      <c r="AA63" s="116"/>
      <c r="AB63" s="146" t="s">
        <v>400</v>
      </c>
    </row>
    <row r="64" ht="22.5" customHeight="1">
      <c r="A64" s="401"/>
      <c r="B64" s="60">
        <f>B78+1</f>
        <v>47</v>
      </c>
      <c r="C64" s="1319" t="s">
        <v>1153</v>
      </c>
      <c r="D64" s="66" t="s">
        <v>137</v>
      </c>
      <c r="E64" s="66"/>
      <c r="F64" s="64" t="s">
        <v>51</v>
      </c>
      <c r="G64" s="70" t="s">
        <v>1049</v>
      </c>
      <c r="H64" s="71" t="s">
        <v>1050</v>
      </c>
      <c r="I64" s="88">
        <f t="shared" si="1"/>
        <v>0</v>
      </c>
      <c r="J64" s="90">
        <v>4.0</v>
      </c>
      <c r="K64" s="92">
        <v>45261.0</v>
      </c>
      <c r="L64" s="130" t="b">
        <v>0</v>
      </c>
      <c r="M64" s="101">
        <v>45404.0</v>
      </c>
      <c r="N64" s="130" t="b">
        <v>0</v>
      </c>
      <c r="O64" s="101">
        <v>45586.0</v>
      </c>
      <c r="P64" s="130" t="b">
        <v>0</v>
      </c>
      <c r="Q64" s="107">
        <v>45768.0</v>
      </c>
      <c r="R64" s="106" t="b">
        <v>0</v>
      </c>
      <c r="S64" s="107"/>
      <c r="T64" s="106"/>
      <c r="U64" s="107"/>
      <c r="V64" s="106"/>
      <c r="W64" s="107"/>
      <c r="X64" s="106"/>
      <c r="Y64" s="107"/>
      <c r="Z64" s="106"/>
      <c r="AA64" s="116"/>
      <c r="AB64" s="118"/>
    </row>
    <row r="65" ht="22.5" customHeight="1">
      <c r="A65" s="401"/>
      <c r="B65" s="60" t="str">
        <f>B66+1</f>
        <v>#REF!</v>
      </c>
      <c r="C65" s="1331" t="s">
        <v>318</v>
      </c>
      <c r="D65" s="66" t="s">
        <v>217</v>
      </c>
      <c r="E65" s="589"/>
      <c r="F65" s="301" t="s">
        <v>51</v>
      </c>
      <c r="G65" s="305"/>
      <c r="H65" s="71" t="s">
        <v>320</v>
      </c>
      <c r="I65" s="88">
        <f t="shared" si="1"/>
        <v>4</v>
      </c>
      <c r="J65" s="90">
        <v>6.0</v>
      </c>
      <c r="K65" s="92">
        <v>44562.0</v>
      </c>
      <c r="L65" s="98" t="b">
        <v>1</v>
      </c>
      <c r="M65" s="101">
        <v>44562.0</v>
      </c>
      <c r="N65" s="98" t="b">
        <v>1</v>
      </c>
      <c r="O65" s="101">
        <v>45037.0</v>
      </c>
      <c r="P65" s="98" t="b">
        <v>1</v>
      </c>
      <c r="Q65" s="107">
        <v>45266.0</v>
      </c>
      <c r="R65" s="106" t="b">
        <v>1</v>
      </c>
      <c r="S65" s="107">
        <v>45408.0</v>
      </c>
      <c r="T65" s="106" t="b">
        <v>0</v>
      </c>
      <c r="U65" s="107">
        <v>45559.0</v>
      </c>
      <c r="V65" s="106" t="b">
        <v>0</v>
      </c>
      <c r="W65" s="107"/>
      <c r="X65" s="106"/>
      <c r="Y65" s="107"/>
      <c r="Z65" s="106"/>
      <c r="AA65" s="288"/>
      <c r="AB65" s="118"/>
    </row>
    <row r="66" ht="22.5" customHeight="1">
      <c r="A66" s="401"/>
      <c r="B66" s="60" t="str">
        <f>B65+1</f>
        <v>#REF!</v>
      </c>
      <c r="C66" s="1331" t="s">
        <v>349</v>
      </c>
      <c r="D66" s="66" t="s">
        <v>472</v>
      </c>
      <c r="E66" s="66"/>
      <c r="F66" s="64" t="s">
        <v>51</v>
      </c>
      <c r="G66" s="70" t="s">
        <v>351</v>
      </c>
      <c r="H66" s="71" t="s">
        <v>992</v>
      </c>
      <c r="I66" s="88">
        <f t="shared" si="1"/>
        <v>2</v>
      </c>
      <c r="J66" s="90">
        <v>4.0</v>
      </c>
      <c r="K66" s="92">
        <v>44922.0</v>
      </c>
      <c r="L66" s="98" t="b">
        <v>1</v>
      </c>
      <c r="M66" s="101">
        <v>45246.0</v>
      </c>
      <c r="N66" s="98" t="b">
        <v>1</v>
      </c>
      <c r="O66" s="101">
        <v>45428.0</v>
      </c>
      <c r="P66" s="98" t="b">
        <v>0</v>
      </c>
      <c r="Q66" s="107">
        <v>45611.0</v>
      </c>
      <c r="R66" s="106" t="b">
        <v>0</v>
      </c>
      <c r="S66" s="107"/>
      <c r="T66" s="106"/>
      <c r="U66" s="107"/>
      <c r="V66" s="106"/>
      <c r="W66" s="107"/>
      <c r="X66" s="106"/>
      <c r="Y66" s="107"/>
      <c r="Z66" s="106"/>
      <c r="AA66" s="288"/>
      <c r="AB66" s="118"/>
    </row>
    <row r="67" ht="22.5" customHeight="1">
      <c r="A67" s="401"/>
      <c r="B67" s="60">
        <v>45.0</v>
      </c>
      <c r="C67" s="70" t="s">
        <v>777</v>
      </c>
      <c r="D67" s="66"/>
      <c r="E67" s="66"/>
      <c r="F67" s="64" t="s">
        <v>51</v>
      </c>
      <c r="G67" s="70"/>
      <c r="H67" s="71"/>
      <c r="I67" s="88">
        <f t="shared" si="1"/>
        <v>0</v>
      </c>
      <c r="J67" s="90">
        <v>4.0</v>
      </c>
      <c r="K67" s="92">
        <v>45384.0</v>
      </c>
      <c r="L67" s="130" t="b">
        <v>0</v>
      </c>
      <c r="M67" s="101">
        <v>45567.0</v>
      </c>
      <c r="N67" s="98" t="b">
        <v>0</v>
      </c>
      <c r="O67" s="101">
        <v>45749.0</v>
      </c>
      <c r="P67" s="130" t="b">
        <v>0</v>
      </c>
      <c r="Q67" s="107">
        <v>45932.0</v>
      </c>
      <c r="R67" s="164" t="b">
        <v>0</v>
      </c>
      <c r="S67" s="107"/>
      <c r="T67" s="106"/>
      <c r="U67" s="107"/>
      <c r="V67" s="106"/>
      <c r="W67" s="107"/>
      <c r="X67" s="106"/>
      <c r="Y67" s="107"/>
      <c r="Z67" s="106"/>
      <c r="AA67" s="116"/>
      <c r="AB67" s="245"/>
    </row>
    <row r="68" ht="22.5" customHeight="1">
      <c r="A68" s="131"/>
      <c r="B68" s="1320">
        <f>B74+1</f>
        <v>49</v>
      </c>
      <c r="C68" s="1319" t="s">
        <v>1158</v>
      </c>
      <c r="D68" s="66" t="s">
        <v>109</v>
      </c>
      <c r="E68" s="331" t="s">
        <v>110</v>
      </c>
      <c r="F68" s="64" t="s">
        <v>51</v>
      </c>
      <c r="G68" s="70" t="s">
        <v>117</v>
      </c>
      <c r="H68" s="71" t="s">
        <v>118</v>
      </c>
      <c r="I68" s="88">
        <f t="shared" si="1"/>
        <v>0</v>
      </c>
      <c r="J68" s="90">
        <v>4.0</v>
      </c>
      <c r="K68" s="92">
        <v>45261.0</v>
      </c>
      <c r="L68" s="130" t="b">
        <v>0</v>
      </c>
      <c r="M68" s="101">
        <v>45338.0</v>
      </c>
      <c r="N68" s="130" t="b">
        <v>0</v>
      </c>
      <c r="O68" s="101">
        <v>45520.0</v>
      </c>
      <c r="P68" s="130" t="b">
        <v>0</v>
      </c>
      <c r="Q68" s="107">
        <v>45698.0</v>
      </c>
      <c r="R68" s="106" t="b">
        <v>0</v>
      </c>
      <c r="S68" s="107"/>
      <c r="T68" s="106"/>
      <c r="U68" s="107"/>
      <c r="V68" s="106"/>
      <c r="W68" s="107"/>
      <c r="X68" s="106"/>
      <c r="Y68" s="107"/>
      <c r="Z68" s="106"/>
      <c r="AA68" s="116"/>
      <c r="AB68" s="118"/>
    </row>
    <row r="69" ht="22.5" customHeight="1">
      <c r="A69" s="131"/>
      <c r="B69" s="1320">
        <f>B72+1</f>
        <v>49</v>
      </c>
      <c r="C69" s="1331" t="s">
        <v>306</v>
      </c>
      <c r="D69" s="66" t="s">
        <v>834</v>
      </c>
      <c r="E69" s="66"/>
      <c r="F69" s="64" t="s">
        <v>51</v>
      </c>
      <c r="G69" s="70" t="s">
        <v>835</v>
      </c>
      <c r="H69" s="71" t="s">
        <v>836</v>
      </c>
      <c r="I69" s="88">
        <f t="shared" si="1"/>
        <v>2</v>
      </c>
      <c r="J69" s="90">
        <v>4.0</v>
      </c>
      <c r="K69" s="92">
        <v>45069.0</v>
      </c>
      <c r="L69" s="98" t="b">
        <v>1</v>
      </c>
      <c r="M69" s="101">
        <v>45244.0</v>
      </c>
      <c r="N69" s="98" t="b">
        <v>1</v>
      </c>
      <c r="O69" s="101">
        <v>45415.0</v>
      </c>
      <c r="P69" s="130" t="b">
        <v>0</v>
      </c>
      <c r="Q69" s="107">
        <v>45600.0</v>
      </c>
      <c r="R69" s="106" t="b">
        <v>0</v>
      </c>
      <c r="S69" s="107"/>
      <c r="T69" s="106"/>
      <c r="U69" s="107"/>
      <c r="V69" s="106"/>
      <c r="W69" s="107"/>
      <c r="X69" s="106"/>
      <c r="Y69" s="107"/>
      <c r="Z69" s="106"/>
      <c r="AA69" s="116" t="s">
        <v>636</v>
      </c>
      <c r="AB69" s="245"/>
    </row>
    <row r="70" ht="22.5" customHeight="1">
      <c r="A70" s="401"/>
      <c r="B70" s="60">
        <v>46.0</v>
      </c>
      <c r="C70" s="70" t="s">
        <v>973</v>
      </c>
      <c r="D70" s="66"/>
      <c r="E70" s="66"/>
      <c r="F70" s="64" t="s">
        <v>51</v>
      </c>
      <c r="G70" s="70"/>
      <c r="H70" s="71"/>
      <c r="I70" s="88">
        <f t="shared" si="1"/>
        <v>0</v>
      </c>
      <c r="J70" s="90">
        <v>4.0</v>
      </c>
      <c r="K70" s="92">
        <v>45385.0</v>
      </c>
      <c r="L70" s="130" t="b">
        <v>0</v>
      </c>
      <c r="M70" s="101">
        <v>45568.0</v>
      </c>
      <c r="N70" s="98" t="b">
        <v>0</v>
      </c>
      <c r="O70" s="101">
        <v>45750.0</v>
      </c>
      <c r="P70" s="130" t="b">
        <v>0</v>
      </c>
      <c r="Q70" s="107">
        <v>45933.0</v>
      </c>
      <c r="R70" s="164" t="b">
        <v>0</v>
      </c>
      <c r="S70" s="107"/>
      <c r="T70" s="106"/>
      <c r="U70" s="107"/>
      <c r="V70" s="106"/>
      <c r="W70" s="107"/>
      <c r="X70" s="106"/>
      <c r="Y70" s="107"/>
      <c r="Z70" s="106"/>
      <c r="AA70" s="116"/>
      <c r="AB70" s="384"/>
    </row>
    <row r="71" ht="22.5" customHeight="1">
      <c r="A71" s="401"/>
      <c r="B71" s="60">
        <f>B78+1</f>
        <v>47</v>
      </c>
      <c r="C71" s="1319" t="s">
        <v>580</v>
      </c>
      <c r="D71" s="66" t="s">
        <v>1164</v>
      </c>
      <c r="E71" s="66"/>
      <c r="F71" s="64" t="s">
        <v>51</v>
      </c>
      <c r="G71" s="70"/>
      <c r="H71" s="71"/>
      <c r="I71" s="88">
        <f t="shared" si="1"/>
        <v>1</v>
      </c>
      <c r="J71" s="90">
        <v>4.0</v>
      </c>
      <c r="K71" s="92">
        <v>45107.0</v>
      </c>
      <c r="L71" s="98" t="b">
        <v>1</v>
      </c>
      <c r="M71" s="101">
        <v>45282.0</v>
      </c>
      <c r="N71" s="130" t="b">
        <v>0</v>
      </c>
      <c r="O71" s="101">
        <v>45471.0</v>
      </c>
      <c r="P71" s="130" t="b">
        <v>0</v>
      </c>
      <c r="Q71" s="107">
        <v>45628.0</v>
      </c>
      <c r="R71" s="106" t="b">
        <v>0</v>
      </c>
      <c r="S71" s="107"/>
      <c r="T71" s="106"/>
      <c r="U71" s="107"/>
      <c r="V71" s="106"/>
      <c r="W71" s="107"/>
      <c r="X71" s="106"/>
      <c r="Y71" s="107"/>
      <c r="Z71" s="106"/>
      <c r="AA71" s="262"/>
      <c r="AB71" s="118"/>
    </row>
    <row r="72" ht="22.5" customHeight="1">
      <c r="A72" s="401"/>
      <c r="B72" s="60">
        <f>B71+1</f>
        <v>48</v>
      </c>
      <c r="C72" s="1331" t="s">
        <v>754</v>
      </c>
      <c r="D72" s="66" t="s">
        <v>122</v>
      </c>
      <c r="E72" s="331" t="s">
        <v>123</v>
      </c>
      <c r="F72" s="64" t="s">
        <v>51</v>
      </c>
      <c r="G72" s="70" t="s">
        <v>367</v>
      </c>
      <c r="H72" s="71">
        <v>9.165309E8</v>
      </c>
      <c r="I72" s="88">
        <f t="shared" si="1"/>
        <v>1</v>
      </c>
      <c r="J72" s="90">
        <v>4.0</v>
      </c>
      <c r="K72" s="92">
        <v>45226.0</v>
      </c>
      <c r="L72" s="98" t="b">
        <v>1</v>
      </c>
      <c r="M72" s="101">
        <v>45337.0</v>
      </c>
      <c r="N72" s="130" t="b">
        <v>0</v>
      </c>
      <c r="O72" s="101">
        <v>45519.0</v>
      </c>
      <c r="P72" s="130" t="b">
        <v>0</v>
      </c>
      <c r="Q72" s="107">
        <v>45699.0</v>
      </c>
      <c r="R72" s="106" t="b">
        <v>0</v>
      </c>
      <c r="S72" s="107"/>
      <c r="T72" s="106"/>
      <c r="U72" s="107"/>
      <c r="V72" s="106"/>
      <c r="W72" s="107"/>
      <c r="X72" s="106"/>
      <c r="Y72" s="107"/>
      <c r="Z72" s="106"/>
      <c r="AA72" s="116"/>
      <c r="AB72" s="118"/>
    </row>
    <row r="73" ht="22.5" customHeight="1">
      <c r="A73" s="401"/>
      <c r="B73" s="60">
        <v>47.0</v>
      </c>
      <c r="C73" s="70" t="s">
        <v>803</v>
      </c>
      <c r="D73" s="66"/>
      <c r="E73" s="66"/>
      <c r="F73" s="64" t="s">
        <v>51</v>
      </c>
      <c r="G73" s="70"/>
      <c r="H73" s="71"/>
      <c r="I73" s="88">
        <f t="shared" si="1"/>
        <v>0</v>
      </c>
      <c r="J73" s="90">
        <v>4.0</v>
      </c>
      <c r="K73" s="92">
        <v>45390.0</v>
      </c>
      <c r="L73" s="130" t="b">
        <v>0</v>
      </c>
      <c r="M73" s="101">
        <v>45573.0</v>
      </c>
      <c r="N73" s="98" t="b">
        <v>0</v>
      </c>
      <c r="O73" s="101">
        <v>45755.0</v>
      </c>
      <c r="P73" s="130" t="b">
        <v>0</v>
      </c>
      <c r="Q73" s="107">
        <v>45938.0</v>
      </c>
      <c r="R73" s="164" t="b">
        <v>0</v>
      </c>
      <c r="S73" s="107"/>
      <c r="T73" s="106"/>
      <c r="U73" s="107"/>
      <c r="V73" s="106"/>
      <c r="W73" s="107"/>
      <c r="X73" s="106"/>
      <c r="Y73" s="107"/>
      <c r="Z73" s="106"/>
      <c r="AA73" s="116"/>
      <c r="AB73" s="118"/>
    </row>
    <row r="74" ht="22.5" customHeight="1">
      <c r="A74" s="131"/>
      <c r="B74" s="1320">
        <f>B73+1</f>
        <v>48</v>
      </c>
      <c r="C74" s="1331" t="s">
        <v>755</v>
      </c>
      <c r="D74" s="66" t="s">
        <v>47</v>
      </c>
      <c r="E74" s="331" t="s">
        <v>766</v>
      </c>
      <c r="F74" s="64" t="s">
        <v>51</v>
      </c>
      <c r="G74" s="70" t="s">
        <v>756</v>
      </c>
      <c r="H74" s="71" t="s">
        <v>758</v>
      </c>
      <c r="I74" s="88">
        <f t="shared" si="1"/>
        <v>1</v>
      </c>
      <c r="J74" s="90">
        <v>4.0</v>
      </c>
      <c r="K74" s="92">
        <v>45227.0</v>
      </c>
      <c r="L74" s="98" t="b">
        <v>1</v>
      </c>
      <c r="M74" s="101">
        <v>45313.0</v>
      </c>
      <c r="N74" s="98" t="b">
        <v>0</v>
      </c>
      <c r="O74" s="101">
        <v>45433.0</v>
      </c>
      <c r="P74" s="130" t="b">
        <v>0</v>
      </c>
      <c r="Q74" s="107">
        <v>45922.0</v>
      </c>
      <c r="R74" s="106" t="b">
        <v>0</v>
      </c>
      <c r="S74" s="107"/>
      <c r="T74" s="106"/>
      <c r="U74" s="107"/>
      <c r="V74" s="106"/>
      <c r="W74" s="107"/>
      <c r="X74" s="106"/>
      <c r="Y74" s="107"/>
      <c r="Z74" s="106"/>
      <c r="AA74" s="116"/>
      <c r="AB74" s="118"/>
    </row>
    <row r="75" ht="22.5" customHeight="1">
      <c r="A75" s="401"/>
      <c r="B75" s="60">
        <f>B69+1</f>
        <v>50</v>
      </c>
      <c r="C75" s="70" t="s">
        <v>209</v>
      </c>
      <c r="D75" s="66" t="s">
        <v>276</v>
      </c>
      <c r="E75" s="66"/>
      <c r="F75" s="64" t="s">
        <v>51</v>
      </c>
      <c r="G75" s="70"/>
      <c r="H75" s="71"/>
      <c r="I75" s="88">
        <f t="shared" si="1"/>
        <v>0</v>
      </c>
      <c r="J75" s="90">
        <v>4.0</v>
      </c>
      <c r="K75" s="92">
        <v>45369.0</v>
      </c>
      <c r="L75" s="130" t="b">
        <v>0</v>
      </c>
      <c r="M75" s="101">
        <v>45551.0</v>
      </c>
      <c r="N75" s="130" t="b">
        <v>0</v>
      </c>
      <c r="O75" s="101">
        <v>45733.0</v>
      </c>
      <c r="P75" s="130" t="b">
        <v>0</v>
      </c>
      <c r="Q75" s="107">
        <v>45915.0</v>
      </c>
      <c r="R75" s="106" t="b">
        <v>0</v>
      </c>
      <c r="S75" s="107"/>
      <c r="T75" s="106"/>
      <c r="U75" s="107"/>
      <c r="V75" s="106"/>
      <c r="W75" s="107"/>
      <c r="X75" s="106"/>
      <c r="Y75" s="107"/>
      <c r="Z75" s="106"/>
      <c r="AA75" s="116"/>
      <c r="AB75" s="118"/>
    </row>
    <row r="76" ht="22.5" customHeight="1">
      <c r="A76" s="401"/>
      <c r="B76" s="60">
        <v>48.0</v>
      </c>
      <c r="C76" s="362" t="s">
        <v>793</v>
      </c>
      <c r="D76" s="358"/>
      <c r="E76" s="358"/>
      <c r="F76" s="64" t="s">
        <v>51</v>
      </c>
      <c r="G76" s="362"/>
      <c r="H76" s="364"/>
      <c r="I76" s="88">
        <f t="shared" si="1"/>
        <v>0</v>
      </c>
      <c r="J76" s="90">
        <v>4.0</v>
      </c>
      <c r="K76" s="92">
        <v>45392.0</v>
      </c>
      <c r="L76" s="649" t="b">
        <v>0</v>
      </c>
      <c r="M76" s="101">
        <v>45575.0</v>
      </c>
      <c r="N76" s="647" t="b">
        <v>0</v>
      </c>
      <c r="O76" s="101">
        <v>45757.0</v>
      </c>
      <c r="P76" s="649" t="b">
        <v>0</v>
      </c>
      <c r="Q76" s="107">
        <v>45940.0</v>
      </c>
      <c r="R76" s="164" t="b">
        <v>0</v>
      </c>
      <c r="S76" s="107"/>
      <c r="T76" s="106"/>
      <c r="U76" s="107"/>
      <c r="V76" s="106"/>
      <c r="W76" s="107"/>
      <c r="X76" s="106"/>
      <c r="Y76" s="107"/>
      <c r="Z76" s="106"/>
      <c r="AA76" s="116"/>
      <c r="AB76" s="118"/>
    </row>
    <row r="77" ht="22.5" customHeight="1">
      <c r="A77" s="401"/>
      <c r="B77" s="60">
        <f>B76+1</f>
        <v>49</v>
      </c>
      <c r="C77" s="1470" t="s">
        <v>762</v>
      </c>
      <c r="D77" s="358" t="s">
        <v>137</v>
      </c>
      <c r="E77" s="763" t="s">
        <v>138</v>
      </c>
      <c r="F77" s="64" t="s">
        <v>51</v>
      </c>
      <c r="G77" s="362"/>
      <c r="H77" s="364" t="s">
        <v>143</v>
      </c>
      <c r="I77" s="88">
        <f t="shared" si="1"/>
        <v>1</v>
      </c>
      <c r="J77" s="90">
        <v>6.0</v>
      </c>
      <c r="K77" s="92">
        <v>45226.0</v>
      </c>
      <c r="L77" s="647" t="b">
        <v>1</v>
      </c>
      <c r="M77" s="101">
        <v>45327.0</v>
      </c>
      <c r="N77" s="649" t="b">
        <v>0</v>
      </c>
      <c r="O77" s="101">
        <v>45509.0</v>
      </c>
      <c r="P77" s="649" t="b">
        <v>0</v>
      </c>
      <c r="Q77" s="107">
        <v>45693.0</v>
      </c>
      <c r="R77" s="106" t="b">
        <v>0</v>
      </c>
      <c r="S77" s="107"/>
      <c r="T77" s="106"/>
      <c r="U77" s="107"/>
      <c r="V77" s="106"/>
      <c r="W77" s="107"/>
      <c r="X77" s="106"/>
      <c r="Y77" s="107"/>
      <c r="Z77" s="106"/>
      <c r="AA77" s="116"/>
      <c r="AB77" s="118"/>
    </row>
    <row r="78" ht="22.5" customHeight="1">
      <c r="A78" s="401"/>
      <c r="B78" s="60">
        <f>B67+1</f>
        <v>46</v>
      </c>
      <c r="C78" s="1473" t="s">
        <v>449</v>
      </c>
      <c r="D78" s="358" t="s">
        <v>111</v>
      </c>
      <c r="E78" s="358"/>
      <c r="F78" s="645" t="s">
        <v>51</v>
      </c>
      <c r="G78" s="362" t="s">
        <v>450</v>
      </c>
      <c r="H78" s="364"/>
      <c r="I78" s="88">
        <f t="shared" si="1"/>
        <v>2</v>
      </c>
      <c r="J78" s="90">
        <v>4.0</v>
      </c>
      <c r="K78" s="92">
        <v>44949.0</v>
      </c>
      <c r="L78" s="647" t="b">
        <v>1</v>
      </c>
      <c r="M78" s="101">
        <v>45266.0</v>
      </c>
      <c r="N78" s="647" t="b">
        <v>1</v>
      </c>
      <c r="O78" s="101">
        <v>45449.0</v>
      </c>
      <c r="P78" s="647" t="b">
        <v>0</v>
      </c>
      <c r="Q78" s="107">
        <v>45632.0</v>
      </c>
      <c r="R78" s="106" t="b">
        <v>0</v>
      </c>
      <c r="S78" s="107"/>
      <c r="T78" s="106"/>
      <c r="U78" s="107"/>
      <c r="V78" s="106"/>
      <c r="W78" s="107"/>
      <c r="X78" s="106"/>
      <c r="Y78" s="107"/>
      <c r="Z78" s="106"/>
      <c r="AA78" s="288"/>
      <c r="AB78" s="118"/>
    </row>
    <row r="79" ht="22.5" customHeight="1">
      <c r="A79" s="401"/>
      <c r="B79" s="60">
        <v>49.0</v>
      </c>
      <c r="C79" s="362" t="s">
        <v>500</v>
      </c>
      <c r="D79" s="358"/>
      <c r="E79" s="358"/>
      <c r="F79" s="645" t="s">
        <v>51</v>
      </c>
      <c r="G79" s="362"/>
      <c r="H79" s="364"/>
      <c r="I79" s="88">
        <f t="shared" si="1"/>
        <v>0</v>
      </c>
      <c r="J79" s="90">
        <v>4.0</v>
      </c>
      <c r="K79" s="92">
        <v>45393.0</v>
      </c>
      <c r="L79" s="649" t="b">
        <v>0</v>
      </c>
      <c r="M79" s="101">
        <v>45576.0</v>
      </c>
      <c r="N79" s="647" t="b">
        <v>0</v>
      </c>
      <c r="O79" s="101">
        <v>45758.0</v>
      </c>
      <c r="P79" s="649" t="b">
        <v>0</v>
      </c>
      <c r="Q79" s="107">
        <v>45941.0</v>
      </c>
      <c r="R79" s="164" t="b">
        <v>0</v>
      </c>
      <c r="S79" s="107"/>
      <c r="T79" s="106"/>
      <c r="U79" s="107"/>
      <c r="V79" s="106"/>
      <c r="W79" s="107"/>
      <c r="X79" s="106"/>
      <c r="Y79" s="107"/>
      <c r="Z79" s="106"/>
      <c r="AA79" s="116"/>
      <c r="AB79" s="118"/>
    </row>
    <row r="80" ht="22.5" customHeight="1">
      <c r="A80" s="401"/>
      <c r="B80" s="60">
        <f>B72+1</f>
        <v>49</v>
      </c>
      <c r="C80" s="1476" t="s">
        <v>232</v>
      </c>
      <c r="D80" s="358" t="s">
        <v>217</v>
      </c>
      <c r="E80" s="358"/>
      <c r="F80" s="645" t="s">
        <v>51</v>
      </c>
      <c r="G80" s="362"/>
      <c r="H80" s="364" t="s">
        <v>917</v>
      </c>
      <c r="I80" s="88">
        <f t="shared" si="1"/>
        <v>1</v>
      </c>
      <c r="J80" s="90">
        <v>4.0</v>
      </c>
      <c r="K80" s="92">
        <v>44952.0</v>
      </c>
      <c r="L80" s="647" t="b">
        <v>1</v>
      </c>
      <c r="M80" s="101">
        <v>45268.0</v>
      </c>
      <c r="N80" s="647" t="b">
        <v>0</v>
      </c>
      <c r="O80" s="101">
        <v>45301.0</v>
      </c>
      <c r="P80" s="647" t="b">
        <v>0</v>
      </c>
      <c r="Q80" s="107">
        <v>45483.0</v>
      </c>
      <c r="R80" s="106" t="b">
        <v>0</v>
      </c>
      <c r="S80" s="107"/>
      <c r="T80" s="106"/>
      <c r="U80" s="107"/>
      <c r="V80" s="106"/>
      <c r="W80" s="107"/>
      <c r="X80" s="106"/>
      <c r="Y80" s="107"/>
      <c r="Z80" s="106"/>
      <c r="AA80" s="288"/>
      <c r="AB80" s="118"/>
    </row>
    <row r="81" ht="22.5" customHeight="1">
      <c r="A81" s="401"/>
      <c r="B81" s="60">
        <f>B71+1</f>
        <v>48</v>
      </c>
      <c r="C81" s="1476" t="s">
        <v>252</v>
      </c>
      <c r="D81" s="1025"/>
      <c r="E81" s="1025"/>
      <c r="F81" s="1026" t="s">
        <v>51</v>
      </c>
      <c r="G81" s="643" t="s">
        <v>253</v>
      </c>
      <c r="H81" s="1027" t="s">
        <v>255</v>
      </c>
      <c r="I81" s="268">
        <f t="shared" si="1"/>
        <v>2</v>
      </c>
      <c r="J81" s="269">
        <v>4.0</v>
      </c>
      <c r="K81" s="112">
        <v>44774.0</v>
      </c>
      <c r="L81" s="1222" t="b">
        <v>1</v>
      </c>
      <c r="M81" s="107">
        <v>44959.0</v>
      </c>
      <c r="N81" s="1222" t="b">
        <v>1</v>
      </c>
      <c r="O81" s="107">
        <v>45268.0</v>
      </c>
      <c r="P81" s="1222" t="b">
        <v>0</v>
      </c>
      <c r="Q81" s="107">
        <v>45348.0</v>
      </c>
      <c r="R81" s="164" t="b">
        <v>0</v>
      </c>
      <c r="S81" s="107"/>
      <c r="T81" s="106"/>
      <c r="U81" s="107"/>
      <c r="V81" s="106"/>
      <c r="W81" s="107"/>
      <c r="X81" s="164"/>
      <c r="Y81" s="107"/>
      <c r="Z81" s="164"/>
      <c r="AA81" s="283"/>
      <c r="AB81" s="118"/>
    </row>
    <row r="82" ht="22.5" customHeight="1">
      <c r="A82" s="401"/>
      <c r="B82" s="60">
        <v>50.0</v>
      </c>
      <c r="C82" s="70" t="s">
        <v>990</v>
      </c>
      <c r="D82" s="66"/>
      <c r="E82" s="66"/>
      <c r="F82" s="64" t="s">
        <v>51</v>
      </c>
      <c r="G82" s="70"/>
      <c r="H82" s="71"/>
      <c r="I82" s="88">
        <f t="shared" si="1"/>
        <v>0</v>
      </c>
      <c r="J82" s="90">
        <v>4.0</v>
      </c>
      <c r="K82" s="92">
        <v>45393.0</v>
      </c>
      <c r="L82" s="99" t="b">
        <v>0</v>
      </c>
      <c r="M82" s="101">
        <v>45576.0</v>
      </c>
      <c r="N82" s="106" t="b">
        <v>0</v>
      </c>
      <c r="O82" s="101">
        <v>45758.0</v>
      </c>
      <c r="P82" s="99" t="b">
        <v>0</v>
      </c>
      <c r="Q82" s="107">
        <v>45941.0</v>
      </c>
      <c r="R82" s="164" t="b">
        <v>0</v>
      </c>
      <c r="S82" s="107"/>
      <c r="T82" s="106"/>
      <c r="U82" s="107"/>
      <c r="V82" s="106"/>
      <c r="W82" s="107"/>
      <c r="X82" s="106"/>
      <c r="Y82" s="107"/>
      <c r="Z82" s="106"/>
      <c r="AA82" s="116"/>
      <c r="AB82" s="123" t="s">
        <v>165</v>
      </c>
    </row>
    <row r="83" ht="22.5" customHeight="1">
      <c r="A83" s="401"/>
      <c r="B83" s="60">
        <f>B89+1</f>
        <v>37</v>
      </c>
      <c r="C83" s="1473" t="s">
        <v>769</v>
      </c>
      <c r="D83" s="358" t="s">
        <v>47</v>
      </c>
      <c r="E83" s="763" t="s">
        <v>946</v>
      </c>
      <c r="F83" s="64" t="s">
        <v>51</v>
      </c>
      <c r="G83" s="362" t="s">
        <v>770</v>
      </c>
      <c r="H83" s="364" t="s">
        <v>169</v>
      </c>
      <c r="I83" s="88">
        <f t="shared" si="1"/>
        <v>1</v>
      </c>
      <c r="J83" s="90">
        <v>2.0</v>
      </c>
      <c r="K83" s="92">
        <v>45226.0</v>
      </c>
      <c r="L83" s="647" t="b">
        <v>1</v>
      </c>
      <c r="M83" s="101">
        <v>45324.0</v>
      </c>
      <c r="N83" s="649" t="b">
        <v>0</v>
      </c>
      <c r="O83" s="101"/>
      <c r="P83" s="649" t="b">
        <v>0</v>
      </c>
      <c r="Q83" s="107"/>
      <c r="R83" s="106" t="b">
        <v>0</v>
      </c>
      <c r="S83" s="107"/>
      <c r="T83" s="106"/>
      <c r="U83" s="107"/>
      <c r="V83" s="106"/>
      <c r="W83" s="107"/>
      <c r="X83" s="106"/>
      <c r="Y83" s="107"/>
      <c r="Z83" s="106"/>
      <c r="AA83" s="116"/>
      <c r="AB83" s="118"/>
    </row>
    <row r="84" ht="22.5" customHeight="1">
      <c r="A84" s="401"/>
      <c r="B84" s="60">
        <f>B89+1</f>
        <v>37</v>
      </c>
      <c r="C84" s="1331" t="s">
        <v>1180</v>
      </c>
      <c r="D84" s="405" t="s">
        <v>346</v>
      </c>
      <c r="E84" s="290"/>
      <c r="F84" s="265" t="s">
        <v>51</v>
      </c>
      <c r="G84" s="125" t="s">
        <v>189</v>
      </c>
      <c r="H84" s="266" t="s">
        <v>190</v>
      </c>
      <c r="I84" s="268">
        <f t="shared" si="1"/>
        <v>2</v>
      </c>
      <c r="J84" s="269">
        <v>4.0</v>
      </c>
      <c r="K84" s="112">
        <v>44942.0</v>
      </c>
      <c r="L84" s="339" t="b">
        <v>1</v>
      </c>
      <c r="M84" s="107">
        <v>45226.0</v>
      </c>
      <c r="N84" s="339" t="b">
        <v>1</v>
      </c>
      <c r="O84" s="107">
        <v>45320.0</v>
      </c>
      <c r="P84" s="339" t="b">
        <v>0</v>
      </c>
      <c r="Q84" s="107">
        <v>45502.0</v>
      </c>
      <c r="R84" s="164" t="b">
        <v>0</v>
      </c>
      <c r="S84" s="107"/>
      <c r="T84" s="164"/>
      <c r="U84" s="107"/>
      <c r="V84" s="164"/>
      <c r="W84" s="107"/>
      <c r="X84" s="164"/>
      <c r="Y84" s="107"/>
      <c r="Z84" s="164"/>
      <c r="AA84" s="283"/>
      <c r="AB84" s="118"/>
    </row>
    <row r="85" ht="22.5" customHeight="1">
      <c r="A85" s="401"/>
      <c r="B85" s="60">
        <v>51.0</v>
      </c>
      <c r="C85" s="70" t="s">
        <v>446</v>
      </c>
      <c r="D85" s="66"/>
      <c r="E85" s="66"/>
      <c r="F85" s="64" t="s">
        <v>51</v>
      </c>
      <c r="G85" s="70"/>
      <c r="H85" s="71"/>
      <c r="I85" s="88">
        <f t="shared" si="1"/>
        <v>0</v>
      </c>
      <c r="J85" s="90">
        <v>4.0</v>
      </c>
      <c r="K85" s="92">
        <v>45393.0</v>
      </c>
      <c r="L85" s="99" t="b">
        <v>0</v>
      </c>
      <c r="M85" s="101">
        <v>45576.0</v>
      </c>
      <c r="N85" s="106" t="b">
        <v>0</v>
      </c>
      <c r="O85" s="101">
        <v>45758.0</v>
      </c>
      <c r="P85" s="99" t="b">
        <v>0</v>
      </c>
      <c r="Q85" s="107">
        <v>45941.0</v>
      </c>
      <c r="R85" s="164" t="b">
        <v>0</v>
      </c>
      <c r="S85" s="107"/>
      <c r="T85" s="106"/>
      <c r="U85" s="107"/>
      <c r="V85" s="106"/>
      <c r="W85" s="107"/>
      <c r="X85" s="106"/>
      <c r="Y85" s="107"/>
      <c r="Z85" s="106"/>
      <c r="AA85" s="116"/>
      <c r="AB85" s="123" t="s">
        <v>87</v>
      </c>
    </row>
    <row r="86" ht="22.5" customHeight="1">
      <c r="A86" s="401"/>
      <c r="B86" s="60">
        <f>B82+1</f>
        <v>51</v>
      </c>
      <c r="C86" s="1331" t="s">
        <v>242</v>
      </c>
      <c r="D86" s="290" t="s">
        <v>217</v>
      </c>
      <c r="E86" s="291"/>
      <c r="F86" s="265" t="s">
        <v>786</v>
      </c>
      <c r="G86" s="325"/>
      <c r="H86" s="326"/>
      <c r="I86" s="268">
        <f t="shared" si="1"/>
        <v>2</v>
      </c>
      <c r="J86" s="269">
        <v>2.0</v>
      </c>
      <c r="K86" s="112">
        <v>44562.0</v>
      </c>
      <c r="L86" s="164" t="b">
        <v>1</v>
      </c>
      <c r="M86" s="107">
        <v>45227.0</v>
      </c>
      <c r="N86" s="164" t="b">
        <v>1</v>
      </c>
      <c r="O86" s="107"/>
      <c r="P86" s="99" t="b">
        <v>0</v>
      </c>
      <c r="Q86" s="107"/>
      <c r="R86" s="106" t="b">
        <v>0</v>
      </c>
      <c r="S86" s="107"/>
      <c r="T86" s="164"/>
      <c r="U86" s="107"/>
      <c r="V86" s="164"/>
      <c r="W86" s="107"/>
      <c r="X86" s="164"/>
      <c r="Y86" s="107"/>
      <c r="Z86" s="164"/>
      <c r="AA86" s="283" t="s">
        <v>58</v>
      </c>
      <c r="AB86" s="146" t="s">
        <v>251</v>
      </c>
    </row>
    <row r="87" ht="22.5" customHeight="1">
      <c r="A87" s="401"/>
      <c r="B87" s="60">
        <f>B50+1</f>
        <v>35</v>
      </c>
      <c r="C87" s="63" t="s">
        <v>386</v>
      </c>
      <c r="D87" s="66" t="s">
        <v>111</v>
      </c>
      <c r="E87" s="66"/>
      <c r="F87" s="64" t="s">
        <v>55</v>
      </c>
      <c r="G87" s="70" t="s">
        <v>445</v>
      </c>
      <c r="H87" s="71" t="s">
        <v>763</v>
      </c>
      <c r="I87" s="88">
        <f t="shared" si="1"/>
        <v>2</v>
      </c>
      <c r="J87" s="90">
        <v>2.0</v>
      </c>
      <c r="K87" s="92">
        <v>44562.0</v>
      </c>
      <c r="L87" s="106" t="b">
        <v>1</v>
      </c>
      <c r="M87" s="101">
        <v>45008.0</v>
      </c>
      <c r="N87" s="98" t="b">
        <v>1</v>
      </c>
      <c r="O87" s="101"/>
      <c r="P87" s="98"/>
      <c r="Q87" s="107"/>
      <c r="R87" s="106"/>
      <c r="S87" s="107"/>
      <c r="T87" s="106"/>
      <c r="U87" s="107"/>
      <c r="V87" s="106"/>
      <c r="W87" s="107"/>
      <c r="X87" s="106"/>
      <c r="Y87" s="107"/>
      <c r="Z87" s="106"/>
      <c r="AA87" s="297" t="s">
        <v>447</v>
      </c>
      <c r="AB87" s="146"/>
    </row>
    <row r="88" ht="22.5" customHeight="1">
      <c r="A88" s="401"/>
      <c r="B88" s="60">
        <v>52.0</v>
      </c>
      <c r="C88" s="70" t="s">
        <v>1016</v>
      </c>
      <c r="D88" s="66"/>
      <c r="E88" s="66"/>
      <c r="F88" s="64" t="s">
        <v>51</v>
      </c>
      <c r="G88" s="70"/>
      <c r="H88" s="71"/>
      <c r="I88" s="88">
        <f t="shared" si="1"/>
        <v>0</v>
      </c>
      <c r="J88" s="90">
        <v>4.0</v>
      </c>
      <c r="K88" s="92">
        <v>45393.0</v>
      </c>
      <c r="L88" s="130" t="b">
        <v>0</v>
      </c>
      <c r="M88" s="101">
        <v>45576.0</v>
      </c>
      <c r="N88" s="98" t="b">
        <v>0</v>
      </c>
      <c r="O88" s="101">
        <v>45758.0</v>
      </c>
      <c r="P88" s="130" t="b">
        <v>0</v>
      </c>
      <c r="Q88" s="107">
        <v>45941.0</v>
      </c>
      <c r="R88" s="164" t="b">
        <v>0</v>
      </c>
      <c r="S88" s="107"/>
      <c r="T88" s="106"/>
      <c r="U88" s="107"/>
      <c r="V88" s="106"/>
      <c r="W88" s="107"/>
      <c r="X88" s="106"/>
      <c r="Y88" s="107"/>
      <c r="Z88" s="106"/>
      <c r="AA88" s="116"/>
      <c r="AB88" s="118"/>
    </row>
    <row r="89" ht="22.5" customHeight="1">
      <c r="A89" s="131"/>
      <c r="B89" s="1320">
        <f>B87+1</f>
        <v>36</v>
      </c>
      <c r="C89" s="1331" t="s">
        <v>262</v>
      </c>
      <c r="D89" s="405" t="s">
        <v>346</v>
      </c>
      <c r="E89" s="589"/>
      <c r="F89" s="64" t="s">
        <v>51</v>
      </c>
      <c r="G89" s="70" t="s">
        <v>1185</v>
      </c>
      <c r="H89" s="71" t="s">
        <v>264</v>
      </c>
      <c r="I89" s="88">
        <f t="shared" si="1"/>
        <v>3</v>
      </c>
      <c r="J89" s="90">
        <v>6.0</v>
      </c>
      <c r="K89" s="92">
        <v>44880.0</v>
      </c>
      <c r="L89" s="106" t="b">
        <v>1</v>
      </c>
      <c r="M89" s="101">
        <v>45008.0</v>
      </c>
      <c r="N89" s="98" t="b">
        <v>1</v>
      </c>
      <c r="O89" s="101">
        <v>45254.0</v>
      </c>
      <c r="P89" s="98" t="b">
        <v>1</v>
      </c>
      <c r="Q89" s="107">
        <v>45436.0</v>
      </c>
      <c r="R89" s="106" t="b">
        <v>0</v>
      </c>
      <c r="S89" s="107">
        <v>45619.0</v>
      </c>
      <c r="T89" s="106" t="b">
        <v>0</v>
      </c>
      <c r="U89" s="107">
        <v>45736.0</v>
      </c>
      <c r="V89" s="106" t="b">
        <v>0</v>
      </c>
      <c r="W89" s="107"/>
      <c r="X89" s="106"/>
      <c r="Y89" s="107"/>
      <c r="Z89" s="106"/>
      <c r="AA89" s="116"/>
      <c r="AB89" s="118"/>
    </row>
    <row r="90" ht="22.5" customHeight="1">
      <c r="A90" s="401"/>
      <c r="B90" s="60">
        <f>B92+1</f>
        <v>54</v>
      </c>
      <c r="C90" s="125" t="s">
        <v>356</v>
      </c>
      <c r="D90" s="66" t="s">
        <v>276</v>
      </c>
      <c r="E90" s="66"/>
      <c r="F90" s="64" t="s">
        <v>51</v>
      </c>
      <c r="G90" s="70" t="s">
        <v>436</v>
      </c>
      <c r="H90" s="71" t="s">
        <v>437</v>
      </c>
      <c r="I90" s="88">
        <f t="shared" si="1"/>
        <v>2</v>
      </c>
      <c r="J90" s="90">
        <v>4.0</v>
      </c>
      <c r="K90" s="92">
        <v>44932.0</v>
      </c>
      <c r="L90" s="106" t="b">
        <v>1</v>
      </c>
      <c r="M90" s="101">
        <v>44675.0</v>
      </c>
      <c r="N90" s="98" t="b">
        <v>1</v>
      </c>
      <c r="O90" s="101">
        <v>45223.0</v>
      </c>
      <c r="P90" s="98" t="b">
        <v>0</v>
      </c>
      <c r="Q90" s="107">
        <v>45404.0</v>
      </c>
      <c r="R90" s="106" t="b">
        <v>0</v>
      </c>
      <c r="S90" s="107"/>
      <c r="T90" s="106"/>
      <c r="U90" s="107"/>
      <c r="V90" s="106"/>
      <c r="W90" s="107"/>
      <c r="X90" s="106"/>
      <c r="Y90" s="107"/>
      <c r="Z90" s="106"/>
      <c r="AA90" s="116"/>
      <c r="AB90" s="118"/>
    </row>
    <row r="91" ht="22.5" customHeight="1">
      <c r="A91" s="401"/>
      <c r="B91" s="60">
        <f>B90+1</f>
        <v>55</v>
      </c>
      <c r="C91" s="1473" t="s">
        <v>214</v>
      </c>
      <c r="D91" s="808" t="s">
        <v>111</v>
      </c>
      <c r="E91" s="358"/>
      <c r="F91" s="645" t="s">
        <v>51</v>
      </c>
      <c r="G91" s="362" t="s">
        <v>215</v>
      </c>
      <c r="H91" s="364" t="s">
        <v>216</v>
      </c>
      <c r="I91" s="673">
        <f t="shared" si="1"/>
        <v>3</v>
      </c>
      <c r="J91" s="90">
        <v>2.0</v>
      </c>
      <c r="K91" s="261">
        <v>44562.0</v>
      </c>
      <c r="L91" s="106" t="b">
        <v>1</v>
      </c>
      <c r="M91" s="261">
        <v>45008.0</v>
      </c>
      <c r="N91" s="98" t="b">
        <v>1</v>
      </c>
      <c r="O91" s="261">
        <v>45266.0</v>
      </c>
      <c r="P91" s="98" t="b">
        <v>1</v>
      </c>
      <c r="Q91" s="264">
        <v>45376.0</v>
      </c>
      <c r="R91" s="106" t="b">
        <v>0</v>
      </c>
      <c r="S91" s="107"/>
      <c r="T91" s="106"/>
      <c r="U91" s="107"/>
      <c r="V91" s="106"/>
      <c r="W91" s="107"/>
      <c r="X91" s="106"/>
      <c r="Y91" s="107"/>
      <c r="Z91" s="106"/>
      <c r="AA91" s="890" t="s">
        <v>224</v>
      </c>
      <c r="AB91" s="118"/>
    </row>
    <row r="92" ht="22.5" customHeight="1">
      <c r="A92" s="401"/>
      <c r="B92" s="60">
        <v>53.0</v>
      </c>
      <c r="C92" s="70" t="s">
        <v>596</v>
      </c>
      <c r="D92" s="66"/>
      <c r="E92" s="66"/>
      <c r="F92" s="64" t="s">
        <v>51</v>
      </c>
      <c r="G92" s="70"/>
      <c r="H92" s="71"/>
      <c r="I92" s="88">
        <f t="shared" si="1"/>
        <v>0</v>
      </c>
      <c r="J92" s="90">
        <v>4.0</v>
      </c>
      <c r="K92" s="92">
        <v>45393.0</v>
      </c>
      <c r="L92" s="99" t="b">
        <v>0</v>
      </c>
      <c r="M92" s="101">
        <v>45576.0</v>
      </c>
      <c r="N92" s="106" t="b">
        <v>0</v>
      </c>
      <c r="O92" s="101">
        <v>45758.0</v>
      </c>
      <c r="P92" s="99" t="b">
        <v>0</v>
      </c>
      <c r="Q92" s="107">
        <v>45941.0</v>
      </c>
      <c r="R92" s="164" t="b">
        <v>0</v>
      </c>
      <c r="S92" s="107"/>
      <c r="T92" s="106"/>
      <c r="U92" s="107"/>
      <c r="V92" s="106"/>
      <c r="W92" s="107"/>
      <c r="X92" s="106"/>
      <c r="Y92" s="107"/>
      <c r="Z92" s="106"/>
      <c r="AA92" s="116"/>
      <c r="AB92" s="146" t="s">
        <v>325</v>
      </c>
    </row>
    <row r="93" ht="22.5" customHeight="1">
      <c r="A93" s="401"/>
      <c r="B93" s="60">
        <f>B89+1</f>
        <v>37</v>
      </c>
      <c r="C93" s="1511" t="s">
        <v>411</v>
      </c>
      <c r="D93" s="358"/>
      <c r="E93" s="358"/>
      <c r="F93" s="645" t="s">
        <v>51</v>
      </c>
      <c r="G93" s="362" t="s">
        <v>468</v>
      </c>
      <c r="H93" s="364" t="s">
        <v>469</v>
      </c>
      <c r="I93" s="673">
        <f t="shared" si="1"/>
        <v>1</v>
      </c>
      <c r="J93" s="90">
        <v>4.0</v>
      </c>
      <c r="K93" s="261">
        <v>44939.0</v>
      </c>
      <c r="L93" s="106" t="b">
        <v>1</v>
      </c>
      <c r="M93" s="261">
        <v>45180.0</v>
      </c>
      <c r="N93" s="98" t="b">
        <v>0</v>
      </c>
      <c r="O93" s="261">
        <v>45302.0</v>
      </c>
      <c r="P93" s="98" t="b">
        <v>0</v>
      </c>
      <c r="Q93" s="264">
        <v>45544.0</v>
      </c>
      <c r="R93" s="106" t="b">
        <v>0</v>
      </c>
      <c r="S93" s="107"/>
      <c r="T93" s="106"/>
      <c r="U93" s="107"/>
      <c r="V93" s="106"/>
      <c r="W93" s="107"/>
      <c r="X93" s="106"/>
      <c r="Y93" s="107"/>
      <c r="Z93" s="106"/>
      <c r="AA93" s="880"/>
      <c r="AB93" s="118"/>
    </row>
    <row r="94" ht="22.5" customHeight="1">
      <c r="A94" s="401"/>
      <c r="B94" s="60">
        <v>54.0</v>
      </c>
      <c r="C94" s="362" t="s">
        <v>773</v>
      </c>
      <c r="D94" s="358"/>
      <c r="E94" s="358"/>
      <c r="F94" s="645" t="s">
        <v>51</v>
      </c>
      <c r="G94" s="362"/>
      <c r="H94" s="364"/>
      <c r="I94" s="673">
        <f t="shared" si="1"/>
        <v>0</v>
      </c>
      <c r="J94" s="90">
        <v>4.0</v>
      </c>
      <c r="K94" s="261">
        <v>45393.0</v>
      </c>
      <c r="L94" s="99" t="b">
        <v>0</v>
      </c>
      <c r="M94" s="261">
        <v>45576.0</v>
      </c>
      <c r="N94" s="98" t="b">
        <v>0</v>
      </c>
      <c r="O94" s="261">
        <v>45758.0</v>
      </c>
      <c r="P94" s="130" t="b">
        <v>0</v>
      </c>
      <c r="Q94" s="264">
        <v>45941.0</v>
      </c>
      <c r="R94" s="164" t="b">
        <v>0</v>
      </c>
      <c r="S94" s="107"/>
      <c r="T94" s="106"/>
      <c r="U94" s="107"/>
      <c r="V94" s="106"/>
      <c r="W94" s="107"/>
      <c r="X94" s="106"/>
      <c r="Y94" s="107"/>
      <c r="Z94" s="106"/>
      <c r="AA94" s="862"/>
      <c r="AB94" s="118"/>
    </row>
    <row r="95" ht="22.5" customHeight="1">
      <c r="A95" s="401"/>
      <c r="B95" s="60">
        <v>55.0</v>
      </c>
      <c r="C95" s="70" t="s">
        <v>923</v>
      </c>
      <c r="D95" s="66"/>
      <c r="E95" s="66"/>
      <c r="F95" s="64" t="s">
        <v>51</v>
      </c>
      <c r="G95" s="70"/>
      <c r="H95" s="71"/>
      <c r="I95" s="88">
        <f t="shared" si="1"/>
        <v>0</v>
      </c>
      <c r="J95" s="90">
        <v>4.0</v>
      </c>
      <c r="K95" s="92">
        <v>45393.0</v>
      </c>
      <c r="L95" s="99" t="b">
        <v>0</v>
      </c>
      <c r="M95" s="101">
        <v>45576.0</v>
      </c>
      <c r="N95" s="98" t="b">
        <v>0</v>
      </c>
      <c r="O95" s="101">
        <v>45758.0</v>
      </c>
      <c r="P95" s="130" t="b">
        <v>0</v>
      </c>
      <c r="Q95" s="107">
        <v>45941.0</v>
      </c>
      <c r="R95" s="164" t="b">
        <v>0</v>
      </c>
      <c r="S95" s="107"/>
      <c r="T95" s="106"/>
      <c r="U95" s="107"/>
      <c r="V95" s="106"/>
      <c r="W95" s="107"/>
      <c r="X95" s="106"/>
      <c r="Y95" s="107"/>
      <c r="Z95" s="106"/>
      <c r="AA95" s="116"/>
      <c r="AB95" s="118"/>
    </row>
    <row r="96" ht="22.5" customHeight="1">
      <c r="A96" s="401"/>
      <c r="B96" s="60">
        <f>B85+1</f>
        <v>52</v>
      </c>
      <c r="C96" s="1512" t="s">
        <v>642</v>
      </c>
      <c r="D96" s="358" t="s">
        <v>660</v>
      </c>
      <c r="E96" s="358"/>
      <c r="F96" s="645" t="s">
        <v>51</v>
      </c>
      <c r="G96" s="358" t="s">
        <v>1054</v>
      </c>
      <c r="H96" s="364" t="s">
        <v>1055</v>
      </c>
      <c r="I96" s="673">
        <f t="shared" si="1"/>
        <v>4</v>
      </c>
      <c r="J96" s="90">
        <v>6.0</v>
      </c>
      <c r="K96" s="261">
        <v>44676.0</v>
      </c>
      <c r="L96" s="106" t="b">
        <v>1</v>
      </c>
      <c r="M96" s="261">
        <v>44879.0</v>
      </c>
      <c r="N96" s="98" t="b">
        <v>1</v>
      </c>
      <c r="O96" s="261">
        <v>45068.0</v>
      </c>
      <c r="P96" s="98" t="b">
        <v>1</v>
      </c>
      <c r="Q96" s="264">
        <v>45254.0</v>
      </c>
      <c r="R96" s="164" t="b">
        <v>1</v>
      </c>
      <c r="S96" s="107">
        <v>45418.0</v>
      </c>
      <c r="T96" s="106" t="b">
        <v>0</v>
      </c>
      <c r="U96" s="107">
        <v>45598.0</v>
      </c>
      <c r="V96" s="164" t="b">
        <v>0</v>
      </c>
      <c r="W96" s="107"/>
      <c r="X96" s="106"/>
      <c r="Y96" s="107"/>
      <c r="Z96" s="106"/>
      <c r="AA96" s="862"/>
      <c r="AB96" s="118"/>
    </row>
    <row r="97" ht="22.5" customHeight="1">
      <c r="A97" s="401"/>
      <c r="B97" s="60">
        <v>56.0</v>
      </c>
      <c r="C97" s="70" t="s">
        <v>930</v>
      </c>
      <c r="D97" s="66"/>
      <c r="E97" s="66"/>
      <c r="F97" s="64" t="s">
        <v>51</v>
      </c>
      <c r="G97" s="70"/>
      <c r="H97" s="71"/>
      <c r="I97" s="88">
        <f t="shared" si="1"/>
        <v>0</v>
      </c>
      <c r="J97" s="90">
        <v>4.0</v>
      </c>
      <c r="K97" s="92">
        <v>45393.0</v>
      </c>
      <c r="L97" s="99" t="b">
        <v>0</v>
      </c>
      <c r="M97" s="101">
        <v>45576.0</v>
      </c>
      <c r="N97" s="98" t="b">
        <v>0</v>
      </c>
      <c r="O97" s="101">
        <v>45758.0</v>
      </c>
      <c r="P97" s="130" t="b">
        <v>0</v>
      </c>
      <c r="Q97" s="107">
        <v>45941.0</v>
      </c>
      <c r="R97" s="164" t="b">
        <v>0</v>
      </c>
      <c r="S97" s="107"/>
      <c r="T97" s="106"/>
      <c r="U97" s="107"/>
      <c r="V97" s="106"/>
      <c r="W97" s="107"/>
      <c r="X97" s="106"/>
      <c r="Y97" s="107"/>
      <c r="Z97" s="106"/>
      <c r="AA97" s="116"/>
      <c r="AB97" s="118"/>
    </row>
    <row r="98" ht="22.5" customHeight="1">
      <c r="A98" s="401"/>
      <c r="B98" s="60">
        <v>57.0</v>
      </c>
      <c r="C98" s="362"/>
      <c r="D98" s="358"/>
      <c r="E98" s="358"/>
      <c r="F98" s="645" t="s">
        <v>51</v>
      </c>
      <c r="G98" s="362"/>
      <c r="H98" s="364"/>
      <c r="I98" s="673">
        <f t="shared" si="1"/>
        <v>0</v>
      </c>
      <c r="J98" s="90">
        <v>4.0</v>
      </c>
      <c r="K98" s="261">
        <v>45393.0</v>
      </c>
      <c r="L98" s="99" t="b">
        <v>0</v>
      </c>
      <c r="M98" s="261">
        <v>45576.0</v>
      </c>
      <c r="N98" s="98" t="b">
        <v>0</v>
      </c>
      <c r="O98" s="261">
        <v>45758.0</v>
      </c>
      <c r="P98" s="130" t="b">
        <v>0</v>
      </c>
      <c r="Q98" s="264">
        <v>45941.0</v>
      </c>
      <c r="R98" s="164" t="b">
        <v>0</v>
      </c>
      <c r="S98" s="107"/>
      <c r="T98" s="106"/>
      <c r="U98" s="107"/>
      <c r="V98" s="106"/>
      <c r="W98" s="107"/>
      <c r="X98" s="106"/>
      <c r="Y98" s="107"/>
      <c r="Z98" s="106"/>
      <c r="AA98" s="862"/>
      <c r="AB98" s="118"/>
    </row>
    <row r="99" ht="22.5" customHeight="1">
      <c r="A99" s="401"/>
      <c r="B99" s="60" t="str">
        <f t="shared" ref="B99:B100" si="2">#REF!+1</f>
        <v>#REF!</v>
      </c>
      <c r="C99" s="1513" t="s">
        <v>731</v>
      </c>
      <c r="D99" s="358" t="s">
        <v>47</v>
      </c>
      <c r="E99" s="1518" t="s">
        <v>49</v>
      </c>
      <c r="F99" s="645" t="s">
        <v>51</v>
      </c>
      <c r="G99" s="362" t="s">
        <v>168</v>
      </c>
      <c r="H99" s="364" t="s">
        <v>1201</v>
      </c>
      <c r="I99" s="673">
        <f t="shared" si="1"/>
        <v>1</v>
      </c>
      <c r="J99" s="90">
        <v>4.0</v>
      </c>
      <c r="K99" s="261">
        <v>45246.0</v>
      </c>
      <c r="L99" s="106" t="b">
        <v>1</v>
      </c>
      <c r="M99" s="261">
        <v>45427.0</v>
      </c>
      <c r="N99" s="130" t="b">
        <v>0</v>
      </c>
      <c r="O99" s="261">
        <v>45550.0</v>
      </c>
      <c r="P99" s="130" t="b">
        <v>0</v>
      </c>
      <c r="Q99" s="264">
        <v>45731.0</v>
      </c>
      <c r="R99" s="106" t="b">
        <v>0</v>
      </c>
      <c r="S99" s="107"/>
      <c r="T99" s="106"/>
      <c r="U99" s="107"/>
      <c r="V99" s="106"/>
      <c r="W99" s="107"/>
      <c r="X99" s="106"/>
      <c r="Y99" s="107"/>
      <c r="Z99" s="106"/>
      <c r="AA99" s="862"/>
      <c r="AB99" s="118"/>
    </row>
    <row r="100" ht="22.5" customHeight="1">
      <c r="A100" s="401"/>
      <c r="B100" s="60" t="str">
        <f t="shared" si="2"/>
        <v>#REF!</v>
      </c>
      <c r="C100" s="1473" t="s">
        <v>1203</v>
      </c>
      <c r="D100" s="358" t="s">
        <v>245</v>
      </c>
      <c r="E100" s="763" t="s">
        <v>246</v>
      </c>
      <c r="F100" s="645" t="s">
        <v>51</v>
      </c>
      <c r="G100" s="362" t="s">
        <v>256</v>
      </c>
      <c r="H100" s="364" t="s">
        <v>257</v>
      </c>
      <c r="I100" s="673">
        <f t="shared" si="1"/>
        <v>2</v>
      </c>
      <c r="J100" s="90">
        <v>4.0</v>
      </c>
      <c r="K100" s="261">
        <v>45013.0</v>
      </c>
      <c r="L100" s="106" t="b">
        <v>1</v>
      </c>
      <c r="M100" s="261">
        <v>45227.0</v>
      </c>
      <c r="N100" s="98" t="b">
        <v>1</v>
      </c>
      <c r="O100" s="261">
        <v>45399.0</v>
      </c>
      <c r="P100" s="98" t="b">
        <v>0</v>
      </c>
      <c r="Q100" s="264">
        <v>45582.0</v>
      </c>
      <c r="R100" s="106" t="b">
        <v>0</v>
      </c>
      <c r="S100" s="107"/>
      <c r="T100" s="106"/>
      <c r="U100" s="107"/>
      <c r="V100" s="106"/>
      <c r="W100" s="107"/>
      <c r="X100" s="106"/>
      <c r="Y100" s="107"/>
      <c r="Z100" s="106"/>
      <c r="AA100" s="880"/>
      <c r="AB100" s="118"/>
    </row>
    <row r="101" ht="22.5" customHeight="1">
      <c r="A101" s="131"/>
      <c r="B101" s="1320" t="str">
        <f t="shared" ref="B101:B102" si="3">B100+1</f>
        <v>#REF!</v>
      </c>
      <c r="C101" s="1473" t="s">
        <v>747</v>
      </c>
      <c r="D101" s="358" t="s">
        <v>65</v>
      </c>
      <c r="E101" s="763" t="s">
        <v>597</v>
      </c>
      <c r="F101" s="645" t="s">
        <v>51</v>
      </c>
      <c r="G101" s="362"/>
      <c r="H101" s="364" t="s">
        <v>73</v>
      </c>
      <c r="I101" s="673">
        <f t="shared" si="1"/>
        <v>1</v>
      </c>
      <c r="J101" s="90">
        <v>4.0</v>
      </c>
      <c r="K101" s="261">
        <v>45227.0</v>
      </c>
      <c r="L101" s="106" t="b">
        <v>1</v>
      </c>
      <c r="M101" s="261">
        <v>45332.0</v>
      </c>
      <c r="N101" s="130" t="b">
        <v>0</v>
      </c>
      <c r="O101" s="261">
        <v>45514.0</v>
      </c>
      <c r="P101" s="130" t="b">
        <v>0</v>
      </c>
      <c r="Q101" s="264">
        <v>45698.0</v>
      </c>
      <c r="R101" s="106" t="b">
        <v>0</v>
      </c>
      <c r="S101" s="107"/>
      <c r="T101" s="106"/>
      <c r="U101" s="107"/>
      <c r="V101" s="106"/>
      <c r="W101" s="107"/>
      <c r="X101" s="106"/>
      <c r="Y101" s="107"/>
      <c r="Z101" s="106"/>
      <c r="AA101" s="862"/>
      <c r="AB101" s="118"/>
    </row>
    <row r="102" ht="22.5" customHeight="1">
      <c r="A102" s="401"/>
      <c r="B102" s="60" t="str">
        <f t="shared" si="3"/>
        <v>#REF!</v>
      </c>
      <c r="C102" s="1473" t="s">
        <v>751</v>
      </c>
      <c r="D102" s="358" t="s">
        <v>93</v>
      </c>
      <c r="E102" s="763" t="s">
        <v>94</v>
      </c>
      <c r="F102" s="645" t="s">
        <v>51</v>
      </c>
      <c r="G102" s="362"/>
      <c r="H102" s="364"/>
      <c r="I102" s="673">
        <f t="shared" si="1"/>
        <v>1</v>
      </c>
      <c r="J102" s="90">
        <v>4.0</v>
      </c>
      <c r="K102" s="261">
        <v>45226.0</v>
      </c>
      <c r="L102" s="106" t="b">
        <v>1</v>
      </c>
      <c r="M102" s="261">
        <v>45408.0</v>
      </c>
      <c r="N102" s="130" t="b">
        <v>0</v>
      </c>
      <c r="O102" s="261">
        <v>45590.0</v>
      </c>
      <c r="P102" s="130" t="b">
        <v>0</v>
      </c>
      <c r="Q102" s="264">
        <v>45772.0</v>
      </c>
      <c r="R102" s="106" t="b">
        <v>0</v>
      </c>
      <c r="S102" s="107"/>
      <c r="T102" s="106"/>
      <c r="U102" s="107"/>
      <c r="V102" s="106"/>
      <c r="W102" s="107"/>
      <c r="X102" s="106"/>
      <c r="Y102" s="107"/>
      <c r="Z102" s="106"/>
      <c r="AA102" s="862"/>
      <c r="AB102" s="118"/>
    </row>
    <row r="103" ht="22.5" customHeight="1">
      <c r="A103" s="401"/>
      <c r="B103" s="60">
        <f>B98+1</f>
        <v>58</v>
      </c>
      <c r="C103" s="1536" t="s">
        <v>765</v>
      </c>
      <c r="D103" s="808" t="s">
        <v>111</v>
      </c>
      <c r="E103" s="1071" t="s">
        <v>150</v>
      </c>
      <c r="F103" s="821" t="s">
        <v>51</v>
      </c>
      <c r="G103" s="825"/>
      <c r="H103" s="811">
        <v>8.9454337E8</v>
      </c>
      <c r="I103" s="673">
        <f t="shared" si="1"/>
        <v>0</v>
      </c>
      <c r="J103" s="234">
        <v>4.0</v>
      </c>
      <c r="K103" s="1036">
        <v>45268.0</v>
      </c>
      <c r="L103" s="237" t="b">
        <v>0</v>
      </c>
      <c r="M103" s="1036">
        <v>45312.0</v>
      </c>
      <c r="N103" s="1544" t="b">
        <v>0</v>
      </c>
      <c r="O103" s="1036">
        <v>45494.0</v>
      </c>
      <c r="P103" s="1544" t="b">
        <v>0</v>
      </c>
      <c r="Q103" s="1036">
        <v>45646.0</v>
      </c>
      <c r="R103" s="237" t="b">
        <v>0</v>
      </c>
      <c r="S103" s="242"/>
      <c r="T103" s="237"/>
      <c r="U103" s="242"/>
      <c r="V103" s="237"/>
      <c r="W103" s="242"/>
      <c r="X103" s="237"/>
      <c r="Y103" s="242"/>
      <c r="Z103" s="237"/>
      <c r="AA103" s="1077"/>
      <c r="AB103" s="118"/>
    </row>
    <row r="104" ht="22.5" customHeight="1">
      <c r="A104" s="131"/>
      <c r="B104" s="1320" t="str">
        <f t="shared" ref="B104:B105" si="4">#REF!+1</f>
        <v>#REF!</v>
      </c>
      <c r="C104" s="1473" t="s">
        <v>1212</v>
      </c>
      <c r="D104" s="358" t="s">
        <v>48</v>
      </c>
      <c r="E104" s="941"/>
      <c r="F104" s="942" t="s">
        <v>51</v>
      </c>
      <c r="G104" s="953"/>
      <c r="H104" s="943"/>
      <c r="I104" s="673">
        <f t="shared" si="1"/>
        <v>3</v>
      </c>
      <c r="J104" s="90">
        <v>4.0</v>
      </c>
      <c r="K104" s="261">
        <v>44562.0</v>
      </c>
      <c r="L104" s="106" t="b">
        <v>1</v>
      </c>
      <c r="M104" s="261">
        <v>44623.0</v>
      </c>
      <c r="N104" s="98" t="b">
        <v>1</v>
      </c>
      <c r="O104" s="261">
        <v>45255.0</v>
      </c>
      <c r="P104" s="98" t="b">
        <v>1</v>
      </c>
      <c r="Q104" s="264">
        <v>45385.0</v>
      </c>
      <c r="R104" s="106" t="b">
        <v>0</v>
      </c>
      <c r="S104" s="107"/>
      <c r="T104" s="106"/>
      <c r="U104" s="107"/>
      <c r="V104" s="106"/>
      <c r="W104" s="107"/>
      <c r="X104" s="106"/>
      <c r="Y104" s="107"/>
      <c r="Z104" s="106"/>
      <c r="AA104" s="862"/>
      <c r="AB104" s="118"/>
    </row>
    <row r="105" ht="22.5" customHeight="1">
      <c r="A105" s="131"/>
      <c r="B105" s="1320" t="str">
        <f t="shared" si="4"/>
        <v>#REF!</v>
      </c>
      <c r="C105" s="362" t="s">
        <v>174</v>
      </c>
      <c r="D105" s="358" t="s">
        <v>48</v>
      </c>
      <c r="E105" s="358"/>
      <c r="F105" s="645" t="s">
        <v>51</v>
      </c>
      <c r="G105" s="362"/>
      <c r="H105" s="364"/>
      <c r="I105" s="673">
        <f t="shared" si="1"/>
        <v>1</v>
      </c>
      <c r="J105" s="90">
        <v>4.0</v>
      </c>
      <c r="K105" s="261">
        <v>45083.0</v>
      </c>
      <c r="L105" s="106" t="b">
        <v>1</v>
      </c>
      <c r="M105" s="261">
        <v>45266.0</v>
      </c>
      <c r="N105" s="1293" t="b">
        <v>0</v>
      </c>
      <c r="O105" s="261">
        <v>45449.0</v>
      </c>
      <c r="P105" s="1293" t="b">
        <v>0</v>
      </c>
      <c r="Q105" s="264">
        <v>45632.0</v>
      </c>
      <c r="R105" s="106" t="b">
        <v>0</v>
      </c>
      <c r="S105" s="107"/>
      <c r="T105" s="106"/>
      <c r="U105" s="107"/>
      <c r="V105" s="106"/>
      <c r="W105" s="107"/>
      <c r="X105" s="106"/>
      <c r="Y105" s="107"/>
      <c r="Z105" s="106"/>
      <c r="AA105" s="1022"/>
      <c r="AB105" s="118"/>
    </row>
    <row r="106" ht="22.5" customHeight="1">
      <c r="A106" s="401"/>
      <c r="B106" s="60">
        <f>B130+1</f>
        <v>1</v>
      </c>
      <c r="C106" s="810" t="s">
        <v>200</v>
      </c>
      <c r="D106" s="1025" t="s">
        <v>265</v>
      </c>
      <c r="E106" s="1545"/>
      <c r="F106" s="1546" t="s">
        <v>51</v>
      </c>
      <c r="G106" s="643" t="s">
        <v>395</v>
      </c>
      <c r="H106" s="1547" t="s">
        <v>396</v>
      </c>
      <c r="I106" s="673">
        <f t="shared" si="1"/>
        <v>3</v>
      </c>
      <c r="J106" s="269">
        <v>6.0</v>
      </c>
      <c r="K106" s="264">
        <v>44676.0</v>
      </c>
      <c r="L106" s="164" t="b">
        <v>1</v>
      </c>
      <c r="M106" s="264">
        <v>44880.0</v>
      </c>
      <c r="N106" s="339" t="b">
        <v>1</v>
      </c>
      <c r="O106" s="264">
        <v>45120.0</v>
      </c>
      <c r="P106" s="339" t="b">
        <v>1</v>
      </c>
      <c r="Q106" s="264">
        <v>45301.0</v>
      </c>
      <c r="R106" s="164" t="b">
        <v>0</v>
      </c>
      <c r="S106" s="107">
        <v>45483.0</v>
      </c>
      <c r="T106" s="164" t="b">
        <v>0</v>
      </c>
      <c r="U106" s="107">
        <v>45670.0</v>
      </c>
      <c r="V106" s="164" t="b">
        <v>0</v>
      </c>
      <c r="W106" s="107"/>
      <c r="X106" s="1281"/>
      <c r="Y106" s="107"/>
      <c r="Z106" s="1281"/>
      <c r="AA106" s="1548"/>
      <c r="AB106" s="118"/>
    </row>
    <row r="107" ht="22.5" customHeight="1">
      <c r="A107" s="401"/>
      <c r="B107" s="60" t="str">
        <f>#REF!+1</f>
        <v>#REF!</v>
      </c>
      <c r="C107" s="362" t="s">
        <v>222</v>
      </c>
      <c r="D107" s="358" t="s">
        <v>1213</v>
      </c>
      <c r="E107" s="358"/>
      <c r="F107" s="645" t="s">
        <v>51</v>
      </c>
      <c r="G107" s="362" t="s">
        <v>297</v>
      </c>
      <c r="H107" s="364" t="s">
        <v>412</v>
      </c>
      <c r="I107" s="673">
        <f t="shared" si="1"/>
        <v>1</v>
      </c>
      <c r="J107" s="90">
        <v>4.0</v>
      </c>
      <c r="K107" s="261">
        <v>44987.0</v>
      </c>
      <c r="L107" s="106" t="b">
        <v>1</v>
      </c>
      <c r="M107" s="261">
        <v>45184.0</v>
      </c>
      <c r="N107" s="321" t="b">
        <v>0</v>
      </c>
      <c r="O107" s="261">
        <v>45366.0</v>
      </c>
      <c r="P107" s="98" t="b">
        <v>0</v>
      </c>
      <c r="Q107" s="264">
        <v>45551.0</v>
      </c>
      <c r="R107" s="651" t="b">
        <v>0</v>
      </c>
      <c r="S107" s="107"/>
      <c r="T107" s="106"/>
      <c r="U107" s="107"/>
      <c r="V107" s="106"/>
      <c r="W107" s="107"/>
      <c r="X107" s="651"/>
      <c r="Y107" s="107"/>
      <c r="Z107" s="651"/>
      <c r="AA107" s="862"/>
      <c r="AB107" s="118"/>
    </row>
    <row r="108" ht="22.5" customHeight="1">
      <c r="A108" s="131"/>
      <c r="B108" s="1320" t="str">
        <f>B105+1</f>
        <v>#REF!</v>
      </c>
      <c r="C108" s="1511" t="s">
        <v>342</v>
      </c>
      <c r="D108" s="358" t="s">
        <v>346</v>
      </c>
      <c r="E108" s="358"/>
      <c r="F108" s="645" t="s">
        <v>51</v>
      </c>
      <c r="G108" s="362" t="s">
        <v>419</v>
      </c>
      <c r="H108" s="364"/>
      <c r="I108" s="673">
        <f t="shared" si="1"/>
        <v>0</v>
      </c>
      <c r="J108" s="90">
        <v>4.0</v>
      </c>
      <c r="K108" s="261">
        <v>45208.0</v>
      </c>
      <c r="L108" s="99" t="b">
        <v>0</v>
      </c>
      <c r="M108" s="261">
        <v>45334.0</v>
      </c>
      <c r="N108" s="323" t="b">
        <v>0</v>
      </c>
      <c r="O108" s="261">
        <v>45453.0</v>
      </c>
      <c r="P108" s="130" t="b">
        <v>0</v>
      </c>
      <c r="Q108" s="264">
        <v>45575.0</v>
      </c>
      <c r="R108" s="651" t="b">
        <v>0</v>
      </c>
      <c r="S108" s="107"/>
      <c r="T108" s="106"/>
      <c r="U108" s="107"/>
      <c r="V108" s="106"/>
      <c r="W108" s="107"/>
      <c r="X108" s="651"/>
      <c r="Y108" s="107"/>
      <c r="Z108" s="651"/>
      <c r="AA108" s="862"/>
      <c r="AB108" s="118"/>
    </row>
    <row r="109" ht="22.5" customHeight="1">
      <c r="A109" s="401"/>
      <c r="B109" s="60" t="str">
        <f>B108+1</f>
        <v>#REF!</v>
      </c>
      <c r="C109" s="362" t="s">
        <v>350</v>
      </c>
      <c r="D109" s="358" t="s">
        <v>465</v>
      </c>
      <c r="E109" s="358"/>
      <c r="F109" s="645" t="s">
        <v>51</v>
      </c>
      <c r="G109" s="362" t="s">
        <v>467</v>
      </c>
      <c r="H109" s="364" t="s">
        <v>427</v>
      </c>
      <c r="I109" s="673">
        <f t="shared" si="1"/>
        <v>2</v>
      </c>
      <c r="J109" s="90">
        <v>4.0</v>
      </c>
      <c r="K109" s="261">
        <v>45019.0</v>
      </c>
      <c r="L109" s="106" t="b">
        <v>1</v>
      </c>
      <c r="M109" s="261">
        <v>45201.0</v>
      </c>
      <c r="N109" s="321" t="b">
        <v>1</v>
      </c>
      <c r="O109" s="261">
        <v>45386.0</v>
      </c>
      <c r="P109" s="98" t="b">
        <v>0</v>
      </c>
      <c r="Q109" s="264">
        <v>45569.0</v>
      </c>
      <c r="R109" s="651" t="b">
        <v>0</v>
      </c>
      <c r="S109" s="107"/>
      <c r="T109" s="106"/>
      <c r="U109" s="107"/>
      <c r="V109" s="106"/>
      <c r="W109" s="107"/>
      <c r="X109" s="651"/>
      <c r="Y109" s="107"/>
      <c r="Z109" s="651"/>
      <c r="AA109" s="880"/>
      <c r="AB109" s="118"/>
    </row>
    <row r="110" ht="22.5" customHeight="1">
      <c r="A110" s="401"/>
      <c r="B110" s="60" t="str">
        <f>B111+1</f>
        <v>#REF!</v>
      </c>
      <c r="C110" s="1473" t="s">
        <v>474</v>
      </c>
      <c r="D110" s="358" t="s">
        <v>579</v>
      </c>
      <c r="E110" s="358" t="s">
        <v>581</v>
      </c>
      <c r="F110" s="645" t="s">
        <v>51</v>
      </c>
      <c r="G110" s="362" t="s">
        <v>582</v>
      </c>
      <c r="H110" s="364">
        <v>9.52565912E8</v>
      </c>
      <c r="I110" s="673">
        <f t="shared" si="1"/>
        <v>1</v>
      </c>
      <c r="J110" s="90">
        <v>4.0</v>
      </c>
      <c r="K110" s="261">
        <v>45255.0</v>
      </c>
      <c r="L110" s="106" t="b">
        <v>1</v>
      </c>
      <c r="M110" s="261">
        <v>45432.0</v>
      </c>
      <c r="N110" s="323" t="b">
        <v>0</v>
      </c>
      <c r="O110" s="261">
        <v>45617.0</v>
      </c>
      <c r="P110" s="130" t="b">
        <v>0</v>
      </c>
      <c r="Q110" s="264">
        <v>45798.0</v>
      </c>
      <c r="R110" s="651" t="b">
        <v>0</v>
      </c>
      <c r="S110" s="107"/>
      <c r="T110" s="106"/>
      <c r="U110" s="107"/>
      <c r="V110" s="106"/>
      <c r="W110" s="107"/>
      <c r="X110" s="651"/>
      <c r="Y110" s="107"/>
      <c r="Z110" s="651"/>
      <c r="AA110" s="862"/>
      <c r="AB110" s="118"/>
    </row>
    <row r="111" ht="22.5" customHeight="1">
      <c r="A111" s="131"/>
      <c r="B111" s="1320" t="str">
        <f>B113+1</f>
        <v>#REF!</v>
      </c>
      <c r="C111" s="1511" t="s">
        <v>416</v>
      </c>
      <c r="D111" s="358" t="s">
        <v>1215</v>
      </c>
      <c r="E111" s="358"/>
      <c r="F111" s="645" t="s">
        <v>51</v>
      </c>
      <c r="G111" s="362"/>
      <c r="H111" s="364" t="s">
        <v>477</v>
      </c>
      <c r="I111" s="673">
        <f t="shared" si="1"/>
        <v>1</v>
      </c>
      <c r="J111" s="90">
        <v>4.0</v>
      </c>
      <c r="K111" s="261">
        <v>45104.0</v>
      </c>
      <c r="L111" s="106" t="b">
        <v>1</v>
      </c>
      <c r="M111" s="261">
        <v>45282.0</v>
      </c>
      <c r="N111" s="323" t="b">
        <v>0</v>
      </c>
      <c r="O111" s="261">
        <v>45463.0</v>
      </c>
      <c r="P111" s="130" t="b">
        <v>0</v>
      </c>
      <c r="Q111" s="264">
        <v>45646.0</v>
      </c>
      <c r="R111" s="651" t="b">
        <v>0</v>
      </c>
      <c r="S111" s="107"/>
      <c r="T111" s="106"/>
      <c r="U111" s="107"/>
      <c r="V111" s="106"/>
      <c r="W111" s="107"/>
      <c r="X111" s="651"/>
      <c r="Y111" s="107"/>
      <c r="Z111" s="651"/>
      <c r="AA111" s="1022"/>
      <c r="AB111" s="118"/>
    </row>
    <row r="112" ht="22.5" customHeight="1">
      <c r="A112" s="401"/>
      <c r="B112" s="60">
        <f>B117+1</f>
        <v>1</v>
      </c>
      <c r="C112" s="1476" t="s">
        <v>438</v>
      </c>
      <c r="D112" s="358" t="s">
        <v>629</v>
      </c>
      <c r="E112" s="358"/>
      <c r="F112" s="645" t="s">
        <v>51</v>
      </c>
      <c r="G112" s="362" t="s">
        <v>883</v>
      </c>
      <c r="H112" s="364">
        <v>8.98119674E8</v>
      </c>
      <c r="I112" s="673">
        <f t="shared" si="1"/>
        <v>3</v>
      </c>
      <c r="J112" s="90">
        <v>4.0</v>
      </c>
      <c r="K112" s="261">
        <v>44718.0</v>
      </c>
      <c r="L112" s="106" t="b">
        <v>1</v>
      </c>
      <c r="M112" s="261">
        <v>44874.0</v>
      </c>
      <c r="N112" s="321" t="b">
        <v>1</v>
      </c>
      <c r="O112" s="261">
        <v>45082.0</v>
      </c>
      <c r="P112" s="98" t="b">
        <v>1</v>
      </c>
      <c r="Q112" s="264">
        <v>45239.0</v>
      </c>
      <c r="R112" s="651" t="b">
        <v>0</v>
      </c>
      <c r="S112" s="107"/>
      <c r="T112" s="106"/>
      <c r="U112" s="107"/>
      <c r="V112" s="106"/>
      <c r="W112" s="107"/>
      <c r="X112" s="651"/>
      <c r="Y112" s="107"/>
      <c r="Z112" s="651"/>
      <c r="AA112" s="862" t="s">
        <v>885</v>
      </c>
      <c r="AB112" s="118"/>
    </row>
    <row r="113" ht="22.5" customHeight="1">
      <c r="A113" s="401"/>
      <c r="B113" s="60" t="str">
        <f>#REF!+1</f>
        <v>#REF!</v>
      </c>
      <c r="C113" s="362" t="s">
        <v>481</v>
      </c>
      <c r="D113" s="358" t="s">
        <v>1130</v>
      </c>
      <c r="E113" s="358"/>
      <c r="F113" s="645" t="s">
        <v>51</v>
      </c>
      <c r="G113" s="362" t="s">
        <v>491</v>
      </c>
      <c r="H113" s="364"/>
      <c r="I113" s="673">
        <f t="shared" si="1"/>
        <v>0</v>
      </c>
      <c r="J113" s="90">
        <v>4.0</v>
      </c>
      <c r="K113" s="261">
        <v>45309.0</v>
      </c>
      <c r="L113" s="99" t="b">
        <v>0</v>
      </c>
      <c r="M113" s="261">
        <v>45428.0</v>
      </c>
      <c r="N113" s="323" t="b">
        <v>0</v>
      </c>
      <c r="O113" s="261">
        <v>45916.0</v>
      </c>
      <c r="P113" s="130" t="b">
        <v>0</v>
      </c>
      <c r="Q113" s="264">
        <v>45672.0</v>
      </c>
      <c r="R113" s="651" t="b">
        <v>0</v>
      </c>
      <c r="S113" s="107"/>
      <c r="T113" s="106"/>
      <c r="U113" s="107"/>
      <c r="V113" s="106"/>
      <c r="W113" s="107"/>
      <c r="X113" s="651"/>
      <c r="Y113" s="107"/>
      <c r="Z113" s="651"/>
      <c r="AA113" s="862"/>
      <c r="AB113" s="118"/>
    </row>
    <row r="114" ht="22.5" customHeight="1">
      <c r="A114" s="401"/>
      <c r="B114" s="60" t="str">
        <f>B104+1</f>
        <v>#REF!</v>
      </c>
      <c r="C114" s="362" t="s">
        <v>500</v>
      </c>
      <c r="D114" s="358" t="s">
        <v>683</v>
      </c>
      <c r="E114" s="358"/>
      <c r="F114" s="645" t="s">
        <v>51</v>
      </c>
      <c r="G114" s="362"/>
      <c r="H114" s="364" t="s">
        <v>1216</v>
      </c>
      <c r="I114" s="673">
        <f t="shared" si="1"/>
        <v>0</v>
      </c>
      <c r="J114" s="90">
        <v>4.0</v>
      </c>
      <c r="K114" s="261">
        <v>45393.0</v>
      </c>
      <c r="L114" s="99" t="b">
        <v>0</v>
      </c>
      <c r="M114" s="261">
        <v>45576.0</v>
      </c>
      <c r="N114" s="321" t="b">
        <v>0</v>
      </c>
      <c r="O114" s="261">
        <v>45758.0</v>
      </c>
      <c r="P114" s="130" t="b">
        <v>0</v>
      </c>
      <c r="Q114" s="264">
        <v>45941.0</v>
      </c>
      <c r="R114" s="1281" t="b">
        <v>0</v>
      </c>
      <c r="S114" s="107"/>
      <c r="T114" s="106"/>
      <c r="U114" s="107"/>
      <c r="V114" s="106"/>
      <c r="W114" s="107"/>
      <c r="X114" s="651"/>
      <c r="Y114" s="107"/>
      <c r="Z114" s="651"/>
      <c r="AA114" s="862"/>
      <c r="AB114" s="118"/>
    </row>
    <row r="115" ht="22.5" customHeight="1">
      <c r="A115" s="131"/>
      <c r="B115" s="1320" t="str">
        <f>#REF!+1</f>
        <v>#REF!</v>
      </c>
      <c r="C115" s="1555" t="s">
        <v>506</v>
      </c>
      <c r="D115" s="358" t="s">
        <v>111</v>
      </c>
      <c r="E115" s="358"/>
      <c r="F115" s="645" t="s">
        <v>51</v>
      </c>
      <c r="G115" s="362" t="s">
        <v>508</v>
      </c>
      <c r="H115" s="364" t="s">
        <v>509</v>
      </c>
      <c r="I115" s="673">
        <f t="shared" si="1"/>
        <v>3</v>
      </c>
      <c r="J115" s="90">
        <v>6.0</v>
      </c>
      <c r="K115" s="261">
        <v>44562.0</v>
      </c>
      <c r="L115" s="106" t="b">
        <v>1</v>
      </c>
      <c r="M115" s="261">
        <v>44562.0</v>
      </c>
      <c r="N115" s="321" t="b">
        <v>1</v>
      </c>
      <c r="O115" s="261">
        <v>45120.0</v>
      </c>
      <c r="P115" s="98" t="b">
        <v>1</v>
      </c>
      <c r="Q115" s="264">
        <v>45306.0</v>
      </c>
      <c r="R115" s="651" t="b">
        <v>0</v>
      </c>
      <c r="S115" s="107">
        <v>45427.0</v>
      </c>
      <c r="T115" s="106" t="b">
        <v>0</v>
      </c>
      <c r="U115" s="107">
        <v>45611.0</v>
      </c>
      <c r="V115" s="106" t="b">
        <v>0</v>
      </c>
      <c r="W115" s="107"/>
      <c r="X115" s="651"/>
      <c r="Y115" s="107"/>
      <c r="Z115" s="651"/>
      <c r="AA115" s="880"/>
      <c r="AB115" s="118"/>
    </row>
    <row r="116" ht="7.5" customHeight="1">
      <c r="A116" s="401"/>
      <c r="B116" s="1223"/>
      <c r="C116" s="695"/>
      <c r="D116" s="358"/>
      <c r="E116" s="358"/>
      <c r="F116" s="694"/>
      <c r="G116" s="695"/>
      <c r="H116" s="696"/>
      <c r="I116" s="697"/>
      <c r="J116" s="698"/>
      <c r="K116" s="699"/>
      <c r="L116" s="700" t="b">
        <v>0</v>
      </c>
      <c r="M116" s="702"/>
      <c r="N116" s="700" t="b">
        <v>0</v>
      </c>
      <c r="O116" s="702"/>
      <c r="P116" s="700" t="b">
        <v>0</v>
      </c>
      <c r="Q116" s="702"/>
      <c r="R116" s="700" t="b">
        <v>0</v>
      </c>
      <c r="S116" s="702"/>
      <c r="T116" s="700"/>
      <c r="U116" s="702"/>
      <c r="V116" s="700"/>
      <c r="W116" s="702"/>
      <c r="X116" s="700"/>
      <c r="Y116" s="702"/>
      <c r="Z116" s="700"/>
      <c r="AA116" s="712"/>
      <c r="AB116" s="118"/>
    </row>
  </sheetData>
  <autoFilter ref="$B$3:$AA$116">
    <sortState ref="B3:AA116">
      <sortCondition ref="B3:B116"/>
      <sortCondition ref="C3:C116"/>
      <sortCondition ref="D3:D116"/>
    </sortState>
  </autoFilter>
  <mergeCells count="10">
    <mergeCell ref="U3:V3"/>
    <mergeCell ref="W3:X3"/>
    <mergeCell ref="F1:AA1"/>
    <mergeCell ref="I3:J3"/>
    <mergeCell ref="K3:L3"/>
    <mergeCell ref="M3:N3"/>
    <mergeCell ref="O3:P3"/>
    <mergeCell ref="Q3:R3"/>
    <mergeCell ref="S3:T3"/>
    <mergeCell ref="Y3:Z3"/>
  </mergeCells>
  <conditionalFormatting sqref="K4:AA116">
    <cfRule type="cellIs" dxfId="0" priority="1" operator="equal">
      <formula>"TRUE"</formula>
    </cfRule>
  </conditionalFormatting>
  <conditionalFormatting sqref="K4:AA116">
    <cfRule type="expression" dxfId="1" priority="2">
      <formula>AND(ISNUMBER(K4),TRUNC(K4)&lt;TODAY())</formula>
    </cfRule>
  </conditionalFormatting>
  <conditionalFormatting sqref="K4:AA116">
    <cfRule type="expression" dxfId="2" priority="3">
      <formula>AND(ISNUMBER(K4),TRUNC(K4)&gt;TODAY())</formula>
    </cfRule>
  </conditionalFormatting>
  <dataValidations>
    <dataValidation type="list" allowBlank="1" showErrorMessage="1" sqref="F4:F116">
      <formula1>"Send,Signed,Paid,Waiting,Not renew"</formula1>
    </dataValidation>
  </dataValidations>
  <hyperlinks>
    <hyperlink r:id="rId1" ref="E68"/>
    <hyperlink r:id="rId2" ref="E72"/>
    <hyperlink r:id="rId3" ref="E74"/>
    <hyperlink r:id="rId4" ref="E77"/>
    <hyperlink r:id="rId5" ref="E83"/>
    <hyperlink r:id="rId6" ref="E99"/>
    <hyperlink r:id="rId7" ref="E100"/>
    <hyperlink r:id="rId8" ref="E101"/>
    <hyperlink r:id="rId9" ref="E102"/>
    <hyperlink r:id="rId10" ref="E103"/>
  </hyperlinks>
  <printOptions horizontalCentered="1"/>
  <pageMargins bottom="0.75" footer="0.0" header="0.0" left="0.25" right="0.25" top="0.75"/>
  <pageSetup fitToHeight="0" paperSize="9" orientation="landscape"/>
  <drawing r:id="rId11"/>
</worksheet>
</file>